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vupham/Downloads/"/>
    </mc:Choice>
  </mc:AlternateContent>
  <xr:revisionPtr revIDLastSave="0" documentId="13_ncr:1_{21437619-0E96-4341-97E6-DAC0C51DDCA0}" xr6:coauthVersionLast="47" xr6:coauthVersionMax="47" xr10:uidLastSave="{00000000-0000-0000-0000-000000000000}"/>
  <bookViews>
    <workbookView xWindow="0" yWindow="660" windowWidth="34560" windowHeight="20520" activeTab="4" xr2:uid="{00000000-000D-0000-FFFF-FFFF00000000}"/>
  </bookViews>
  <sheets>
    <sheet name="6cont" sheetId="19" state="hidden" r:id="rId1"/>
    <sheet name="17 cont" sheetId="18" state="hidden" r:id="rId2"/>
    <sheet name="20 cont" sheetId="17" state="hidden" r:id="rId3"/>
    <sheet name="BK T4 NPL" sheetId="14" state="hidden" r:id="rId4"/>
    <sheet name="T11" sheetId="15" r:id="rId5"/>
    <sheet name="Sheet1" sheetId="20" r:id="rId6"/>
  </sheets>
  <definedNames>
    <definedName name="_xlnm._FilterDatabase" localSheetId="1" hidden="1">'17 cont'!$A$16:$S$39</definedName>
    <definedName name="_xlnm._FilterDatabase" localSheetId="2" hidden="1">'20 cont'!$A$16:$S$42</definedName>
    <definedName name="_xlnm._FilterDatabase" localSheetId="0" hidden="1">'6cont'!$A$16:$T$28</definedName>
    <definedName name="_xlnm._FilterDatabase" localSheetId="3" hidden="1">'BK T4 NPL'!$A$16:$S$67</definedName>
    <definedName name="_xlnm._FilterDatabase" localSheetId="4" hidden="1">'T11'!$A$15:$V$386</definedName>
    <definedName name="_xlnm.Print_Area" localSheetId="1">'17 cont'!$A$1:$S$46</definedName>
    <definedName name="_xlnm.Print_Area" localSheetId="2">'20 cont'!$A$1:$S$49</definedName>
    <definedName name="_xlnm.Print_Area" localSheetId="0">'6cont'!$A$1:$T$35</definedName>
    <definedName name="_xlnm.Print_Area" localSheetId="3">'BK T4 NPL'!$A$1:$S$74</definedName>
    <definedName name="_xlnm.Print_Area" localSheetId="4">'T11'!$A$1:$V$101</definedName>
    <definedName name="_xlnm.Print_Titles" localSheetId="1">'17 cont'!$15:$16</definedName>
    <definedName name="_xlnm.Print_Titles" localSheetId="2">'20 cont'!$15:$16</definedName>
    <definedName name="_xlnm.Print_Titles" localSheetId="0">'6cont'!$15:$16</definedName>
    <definedName name="_xlnm.Print_Titles" localSheetId="3">'BK T4 NPL'!$15:$16</definedName>
    <definedName name="_xlnm.Print_Titles" localSheetId="4">'T11'!$15:$16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90" i="15" l="1"/>
  <c r="A320" i="15"/>
  <c r="T320" i="15"/>
  <c r="U320" i="15" s="1"/>
  <c r="W320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02" i="15"/>
  <c r="W203" i="15"/>
  <c r="W204" i="15"/>
  <c r="W205" i="15"/>
  <c r="W206" i="15"/>
  <c r="W207" i="15"/>
  <c r="W208" i="15"/>
  <c r="W209" i="15"/>
  <c r="W210" i="15"/>
  <c r="W211" i="15"/>
  <c r="W212" i="15"/>
  <c r="W213" i="15"/>
  <c r="W214" i="15"/>
  <c r="W215" i="15"/>
  <c r="W216" i="15"/>
  <c r="W217" i="15"/>
  <c r="W218" i="15"/>
  <c r="W219" i="15"/>
  <c r="W220" i="15"/>
  <c r="W221" i="15"/>
  <c r="W222" i="15"/>
  <c r="W223" i="15"/>
  <c r="W224" i="15"/>
  <c r="W225" i="15"/>
  <c r="W226" i="15"/>
  <c r="W227" i="15"/>
  <c r="W228" i="15"/>
  <c r="W229" i="15"/>
  <c r="W230" i="15"/>
  <c r="W231" i="15"/>
  <c r="W232" i="15"/>
  <c r="W233" i="15"/>
  <c r="W234" i="15"/>
  <c r="W235" i="15"/>
  <c r="W236" i="15"/>
  <c r="W237" i="15"/>
  <c r="W238" i="15"/>
  <c r="W239" i="15"/>
  <c r="W240" i="15"/>
  <c r="W241" i="15"/>
  <c r="W242" i="15"/>
  <c r="W243" i="15"/>
  <c r="W244" i="15"/>
  <c r="W245" i="15"/>
  <c r="W246" i="15"/>
  <c r="W247" i="15"/>
  <c r="W248" i="15"/>
  <c r="W249" i="15"/>
  <c r="W250" i="15"/>
  <c r="W251" i="15"/>
  <c r="W252" i="15"/>
  <c r="W253" i="15"/>
  <c r="W254" i="15"/>
  <c r="W255" i="15"/>
  <c r="W256" i="15"/>
  <c r="W257" i="15"/>
  <c r="W258" i="15"/>
  <c r="W259" i="15"/>
  <c r="W260" i="15"/>
  <c r="W261" i="15"/>
  <c r="W262" i="15"/>
  <c r="W263" i="15"/>
  <c r="W264" i="15"/>
  <c r="W265" i="15"/>
  <c r="W266" i="15"/>
  <c r="W267" i="15"/>
  <c r="W268" i="15"/>
  <c r="W269" i="15"/>
  <c r="W270" i="15"/>
  <c r="W271" i="15"/>
  <c r="W272" i="15"/>
  <c r="W273" i="15"/>
  <c r="W274" i="15"/>
  <c r="W275" i="15"/>
  <c r="W276" i="15"/>
  <c r="W277" i="15"/>
  <c r="W278" i="15"/>
  <c r="W279" i="15"/>
  <c r="W280" i="15"/>
  <c r="W281" i="15"/>
  <c r="W282" i="15"/>
  <c r="W283" i="15"/>
  <c r="W284" i="15"/>
  <c r="W285" i="15"/>
  <c r="W286" i="15"/>
  <c r="W287" i="15"/>
  <c r="W288" i="15"/>
  <c r="W289" i="15"/>
  <c r="W291" i="15"/>
  <c r="W292" i="15"/>
  <c r="W293" i="15"/>
  <c r="W294" i="15"/>
  <c r="W295" i="15"/>
  <c r="W296" i="15"/>
  <c r="W297" i="15"/>
  <c r="W298" i="15"/>
  <c r="W299" i="15"/>
  <c r="W300" i="15"/>
  <c r="W301" i="15"/>
  <c r="W302" i="15"/>
  <c r="W303" i="15"/>
  <c r="W304" i="15"/>
  <c r="W305" i="15"/>
  <c r="W306" i="15"/>
  <c r="W307" i="15"/>
  <c r="W308" i="15"/>
  <c r="W309" i="15"/>
  <c r="W310" i="15"/>
  <c r="W311" i="15"/>
  <c r="W312" i="15"/>
  <c r="W313" i="15"/>
  <c r="W314" i="15"/>
  <c r="W315" i="15"/>
  <c r="W316" i="15"/>
  <c r="W317" i="15"/>
  <c r="W318" i="15"/>
  <c r="W319" i="15"/>
  <c r="W321" i="15"/>
  <c r="W322" i="15"/>
  <c r="W323" i="15"/>
  <c r="W324" i="15"/>
  <c r="W325" i="15"/>
  <c r="W326" i="15"/>
  <c r="W327" i="15"/>
  <c r="W328" i="15"/>
  <c r="W329" i="15"/>
  <c r="W330" i="15"/>
  <c r="W331" i="15"/>
  <c r="W332" i="15"/>
  <c r="W333" i="15"/>
  <c r="W334" i="15"/>
  <c r="W335" i="15"/>
  <c r="W336" i="15"/>
  <c r="W337" i="15"/>
  <c r="W338" i="15"/>
  <c r="W339" i="15"/>
  <c r="W340" i="15"/>
  <c r="W341" i="15"/>
  <c r="W342" i="15"/>
  <c r="W343" i="15"/>
  <c r="W344" i="15"/>
  <c r="W345" i="15"/>
  <c r="W346" i="15"/>
  <c r="W347" i="15"/>
  <c r="W348" i="15"/>
  <c r="W349" i="15"/>
  <c r="W350" i="15"/>
  <c r="W351" i="15"/>
  <c r="W352" i="15"/>
  <c r="W353" i="15"/>
  <c r="W354" i="15"/>
  <c r="W355" i="15"/>
  <c r="W356" i="15"/>
  <c r="W357" i="15"/>
  <c r="W358" i="15"/>
  <c r="W359" i="15"/>
  <c r="W360" i="15"/>
  <c r="W361" i="15"/>
  <c r="W362" i="15"/>
  <c r="W363" i="15"/>
  <c r="W364" i="15"/>
  <c r="W365" i="15"/>
  <c r="W366" i="15"/>
  <c r="W367" i="15"/>
  <c r="W368" i="15"/>
  <c r="W369" i="15"/>
  <c r="W370" i="15"/>
  <c r="W371" i="15"/>
  <c r="W372" i="15"/>
  <c r="W373" i="15"/>
  <c r="T18" i="15" l="1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T114" i="15"/>
  <c r="T115" i="15"/>
  <c r="T116" i="15"/>
  <c r="T117" i="15"/>
  <c r="T118" i="15"/>
  <c r="T119" i="15"/>
  <c r="T120" i="15"/>
  <c r="T121" i="15"/>
  <c r="T122" i="15"/>
  <c r="T123" i="15"/>
  <c r="T124" i="15"/>
  <c r="T125" i="15"/>
  <c r="T126" i="15"/>
  <c r="T127" i="15"/>
  <c r="T128" i="15"/>
  <c r="T129" i="15"/>
  <c r="T130" i="15"/>
  <c r="T131" i="15"/>
  <c r="T132" i="15"/>
  <c r="T133" i="15"/>
  <c r="T134" i="15"/>
  <c r="T135" i="15"/>
  <c r="T136" i="15"/>
  <c r="T137" i="15"/>
  <c r="T138" i="15"/>
  <c r="T139" i="15"/>
  <c r="T140" i="15"/>
  <c r="T141" i="15"/>
  <c r="T142" i="15"/>
  <c r="T143" i="15"/>
  <c r="T144" i="15"/>
  <c r="T145" i="15"/>
  <c r="T146" i="15"/>
  <c r="T147" i="15"/>
  <c r="T148" i="15"/>
  <c r="T149" i="15"/>
  <c r="T150" i="15"/>
  <c r="T151" i="15"/>
  <c r="T152" i="15"/>
  <c r="T153" i="15"/>
  <c r="T154" i="15"/>
  <c r="T155" i="15"/>
  <c r="T156" i="15"/>
  <c r="T158" i="15"/>
  <c r="T159" i="15"/>
  <c r="T160" i="15"/>
  <c r="T161" i="15"/>
  <c r="T162" i="15"/>
  <c r="T163" i="15"/>
  <c r="T164" i="15"/>
  <c r="T165" i="15"/>
  <c r="T166" i="15"/>
  <c r="T167" i="15"/>
  <c r="T168" i="15"/>
  <c r="T169" i="15"/>
  <c r="T170" i="15"/>
  <c r="T171" i="15"/>
  <c r="T172" i="15"/>
  <c r="T173" i="15"/>
  <c r="T174" i="15"/>
  <c r="T175" i="15"/>
  <c r="T176" i="15"/>
  <c r="T177" i="15"/>
  <c r="T178" i="15"/>
  <c r="T179" i="15"/>
  <c r="T180" i="15"/>
  <c r="T181" i="15"/>
  <c r="T182" i="15"/>
  <c r="T183" i="15"/>
  <c r="T184" i="15"/>
  <c r="T185" i="15"/>
  <c r="T186" i="15"/>
  <c r="T187" i="15"/>
  <c r="T188" i="15"/>
  <c r="T189" i="15"/>
  <c r="T190" i="15"/>
  <c r="T192" i="15"/>
  <c r="T196" i="15"/>
  <c r="T197" i="15"/>
  <c r="T198" i="15"/>
  <c r="T199" i="15"/>
  <c r="T200" i="15"/>
  <c r="T201" i="15"/>
  <c r="T202" i="15"/>
  <c r="T203" i="15"/>
  <c r="T204" i="15"/>
  <c r="T205" i="15"/>
  <c r="T206" i="15"/>
  <c r="T207" i="15"/>
  <c r="T208" i="15"/>
  <c r="T209" i="15"/>
  <c r="T210" i="15"/>
  <c r="T211" i="15"/>
  <c r="T212" i="15"/>
  <c r="T213" i="15"/>
  <c r="T214" i="15"/>
  <c r="T215" i="15"/>
  <c r="T216" i="15"/>
  <c r="T217" i="15"/>
  <c r="T218" i="15"/>
  <c r="T219" i="15"/>
  <c r="T220" i="15"/>
  <c r="T221" i="15"/>
  <c r="T222" i="15"/>
  <c r="T223" i="15"/>
  <c r="T224" i="15"/>
  <c r="T225" i="15"/>
  <c r="T226" i="15"/>
  <c r="T227" i="15"/>
  <c r="T228" i="15"/>
  <c r="T229" i="15"/>
  <c r="T230" i="15"/>
  <c r="T231" i="15"/>
  <c r="T232" i="15"/>
  <c r="T233" i="15"/>
  <c r="T234" i="15"/>
  <c r="T235" i="15"/>
  <c r="T236" i="15"/>
  <c r="T237" i="15"/>
  <c r="T238" i="15"/>
  <c r="T239" i="15"/>
  <c r="T240" i="15"/>
  <c r="T241" i="15"/>
  <c r="T242" i="15"/>
  <c r="T243" i="15"/>
  <c r="T244" i="15"/>
  <c r="T245" i="15"/>
  <c r="T246" i="15"/>
  <c r="T247" i="15"/>
  <c r="T248" i="15"/>
  <c r="T249" i="15"/>
  <c r="T250" i="15"/>
  <c r="T251" i="15"/>
  <c r="T252" i="15"/>
  <c r="T253" i="15"/>
  <c r="T254" i="15"/>
  <c r="T255" i="15"/>
  <c r="T256" i="15"/>
  <c r="T257" i="15"/>
  <c r="T258" i="15"/>
  <c r="T259" i="15"/>
  <c r="T260" i="15"/>
  <c r="T261" i="15"/>
  <c r="T262" i="15"/>
  <c r="T263" i="15"/>
  <c r="T264" i="15"/>
  <c r="T265" i="15"/>
  <c r="T266" i="15"/>
  <c r="T267" i="15"/>
  <c r="T268" i="15"/>
  <c r="T269" i="15"/>
  <c r="T270" i="15"/>
  <c r="T271" i="15"/>
  <c r="T272" i="15"/>
  <c r="T273" i="15"/>
  <c r="T274" i="15"/>
  <c r="T275" i="15"/>
  <c r="T276" i="15"/>
  <c r="T277" i="15"/>
  <c r="T278" i="15"/>
  <c r="T279" i="15"/>
  <c r="T280" i="15"/>
  <c r="T281" i="15"/>
  <c r="T282" i="15"/>
  <c r="T283" i="15"/>
  <c r="T284" i="15"/>
  <c r="T285" i="15"/>
  <c r="T286" i="15"/>
  <c r="T287" i="15"/>
  <c r="T288" i="15"/>
  <c r="T289" i="15"/>
  <c r="T290" i="15"/>
  <c r="T291" i="15"/>
  <c r="T292" i="15"/>
  <c r="T293" i="15"/>
  <c r="T294" i="15"/>
  <c r="T295" i="15"/>
  <c r="T296" i="15"/>
  <c r="T297" i="15"/>
  <c r="T298" i="15"/>
  <c r="T299" i="15"/>
  <c r="T300" i="15"/>
  <c r="T301" i="15"/>
  <c r="T302" i="15"/>
  <c r="T303" i="15"/>
  <c r="T304" i="15"/>
  <c r="T305" i="15"/>
  <c r="T306" i="15"/>
  <c r="T307" i="15"/>
  <c r="T308" i="15"/>
  <c r="T309" i="15"/>
  <c r="T310" i="15"/>
  <c r="T311" i="15"/>
  <c r="T312" i="15"/>
  <c r="T313" i="15"/>
  <c r="T314" i="15"/>
  <c r="T315" i="15"/>
  <c r="T316" i="15"/>
  <c r="T317" i="15"/>
  <c r="T318" i="15"/>
  <c r="T319" i="15"/>
  <c r="T321" i="15"/>
  <c r="T322" i="15"/>
  <c r="T323" i="15"/>
  <c r="T324" i="15"/>
  <c r="T325" i="15"/>
  <c r="T326" i="15"/>
  <c r="T327" i="15"/>
  <c r="T328" i="15"/>
  <c r="T329" i="15"/>
  <c r="T330" i="15"/>
  <c r="T331" i="15"/>
  <c r="T332" i="15"/>
  <c r="T333" i="15"/>
  <c r="T334" i="15"/>
  <c r="T335" i="15"/>
  <c r="T336" i="15"/>
  <c r="T337" i="15"/>
  <c r="T338" i="15"/>
  <c r="T339" i="15"/>
  <c r="T340" i="15"/>
  <c r="T341" i="15"/>
  <c r="T342" i="15"/>
  <c r="T343" i="15"/>
  <c r="T344" i="15"/>
  <c r="T345" i="15"/>
  <c r="T346" i="15"/>
  <c r="T347" i="15"/>
  <c r="T348" i="15"/>
  <c r="T349" i="15"/>
  <c r="T350" i="15"/>
  <c r="T351" i="15"/>
  <c r="T352" i="15"/>
  <c r="T353" i="15"/>
  <c r="T354" i="15"/>
  <c r="T355" i="15"/>
  <c r="T356" i="15"/>
  <c r="T357" i="15"/>
  <c r="T358" i="15"/>
  <c r="T359" i="15"/>
  <c r="T360" i="15"/>
  <c r="T361" i="15"/>
  <c r="T362" i="15"/>
  <c r="T363" i="15"/>
  <c r="T364" i="15"/>
  <c r="T365" i="15"/>
  <c r="T366" i="15"/>
  <c r="T367" i="15"/>
  <c r="T368" i="15"/>
  <c r="T369" i="15"/>
  <c r="T370" i="15"/>
  <c r="T371" i="15"/>
  <c r="T372" i="15"/>
  <c r="T373" i="15"/>
  <c r="T374" i="15"/>
  <c r="T375" i="15"/>
  <c r="M148" i="15"/>
  <c r="S376" i="15"/>
  <c r="P376" i="15"/>
  <c r="O196" i="15"/>
  <c r="O195" i="15"/>
  <c r="T195" i="15" s="1"/>
  <c r="O194" i="15"/>
  <c r="T194" i="15" s="1"/>
  <c r="O193" i="15"/>
  <c r="T193" i="15" s="1"/>
  <c r="O192" i="15"/>
  <c r="O191" i="15"/>
  <c r="T191" i="15" s="1"/>
  <c r="M149" i="15" l="1"/>
  <c r="M59" i="15" l="1"/>
  <c r="M41" i="15"/>
  <c r="U375" i="15"/>
  <c r="U374" i="15"/>
  <c r="N376" i="15"/>
  <c r="E376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F382" i="15" l="1"/>
  <c r="O157" i="15"/>
  <c r="T157" i="15" s="1"/>
  <c r="W17" i="15" l="1"/>
  <c r="U18" i="15" l="1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40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133" i="15"/>
  <c r="U134" i="15"/>
  <c r="U135" i="15"/>
  <c r="U136" i="15"/>
  <c r="U137" i="15"/>
  <c r="U138" i="15"/>
  <c r="U139" i="15"/>
  <c r="U140" i="15"/>
  <c r="U141" i="15"/>
  <c r="U142" i="15"/>
  <c r="U143" i="15"/>
  <c r="U144" i="15"/>
  <c r="U145" i="15"/>
  <c r="U146" i="15"/>
  <c r="U147" i="15"/>
  <c r="U149" i="15"/>
  <c r="U150" i="15"/>
  <c r="U151" i="15"/>
  <c r="U152" i="15"/>
  <c r="U153" i="15"/>
  <c r="U154" i="15"/>
  <c r="U155" i="15"/>
  <c r="U156" i="15"/>
  <c r="U157" i="15"/>
  <c r="U158" i="15"/>
  <c r="U159" i="15"/>
  <c r="U160" i="15"/>
  <c r="U161" i="15"/>
  <c r="U162" i="15"/>
  <c r="U163" i="15"/>
  <c r="U164" i="15"/>
  <c r="U165" i="15"/>
  <c r="U166" i="15"/>
  <c r="U167" i="15"/>
  <c r="U168" i="15"/>
  <c r="U169" i="15"/>
  <c r="U170" i="15"/>
  <c r="U171" i="15"/>
  <c r="U172" i="15"/>
  <c r="U173" i="15"/>
  <c r="U174" i="15"/>
  <c r="U175" i="15"/>
  <c r="U176" i="15"/>
  <c r="U177" i="15"/>
  <c r="U178" i="15"/>
  <c r="U179" i="15"/>
  <c r="U180" i="15"/>
  <c r="U181" i="15"/>
  <c r="U182" i="15"/>
  <c r="U183" i="15"/>
  <c r="U184" i="15"/>
  <c r="U185" i="15"/>
  <c r="U186" i="15"/>
  <c r="U187" i="15"/>
  <c r="U188" i="15"/>
  <c r="U189" i="15"/>
  <c r="U190" i="15"/>
  <c r="U198" i="15"/>
  <c r="U199" i="15"/>
  <c r="U200" i="15"/>
  <c r="U204" i="15"/>
  <c r="U205" i="15"/>
  <c r="U206" i="15"/>
  <c r="U207" i="15"/>
  <c r="U208" i="15"/>
  <c r="U209" i="15"/>
  <c r="U210" i="15"/>
  <c r="U211" i="15"/>
  <c r="U212" i="15"/>
  <c r="U213" i="15"/>
  <c r="U214" i="15"/>
  <c r="U215" i="15"/>
  <c r="U216" i="15"/>
  <c r="U217" i="15"/>
  <c r="U218" i="15"/>
  <c r="U219" i="15"/>
  <c r="U220" i="15"/>
  <c r="U221" i="15"/>
  <c r="U222" i="15"/>
  <c r="U223" i="15"/>
  <c r="U224" i="15"/>
  <c r="U225" i="15"/>
  <c r="U226" i="15"/>
  <c r="U227" i="15"/>
  <c r="U228" i="15"/>
  <c r="U229" i="15"/>
  <c r="U230" i="15"/>
  <c r="U231" i="15"/>
  <c r="U232" i="15"/>
  <c r="U233" i="15"/>
  <c r="U234" i="15"/>
  <c r="U235" i="15"/>
  <c r="U236" i="15"/>
  <c r="U237" i="15"/>
  <c r="U238" i="15"/>
  <c r="U239" i="15"/>
  <c r="U240" i="15"/>
  <c r="U241" i="15"/>
  <c r="U242" i="15"/>
  <c r="U243" i="15"/>
  <c r="U244" i="15"/>
  <c r="U245" i="15"/>
  <c r="U246" i="15"/>
  <c r="U247" i="15"/>
  <c r="U248" i="15"/>
  <c r="U249" i="15"/>
  <c r="U250" i="15"/>
  <c r="U251" i="15"/>
  <c r="U252" i="15"/>
  <c r="U253" i="15"/>
  <c r="U254" i="15"/>
  <c r="U255" i="15"/>
  <c r="U256" i="15"/>
  <c r="U257" i="15"/>
  <c r="U258" i="15"/>
  <c r="U259" i="15"/>
  <c r="U260" i="15"/>
  <c r="U261" i="15"/>
  <c r="U262" i="15"/>
  <c r="U263" i="15"/>
  <c r="U264" i="15"/>
  <c r="U265" i="15"/>
  <c r="U266" i="15"/>
  <c r="U267" i="15"/>
  <c r="U268" i="15"/>
  <c r="U269" i="15"/>
  <c r="U270" i="15"/>
  <c r="U271" i="15"/>
  <c r="U272" i="15"/>
  <c r="U273" i="15"/>
  <c r="U274" i="15"/>
  <c r="U275" i="15"/>
  <c r="U276" i="15"/>
  <c r="U277" i="15"/>
  <c r="U278" i="15"/>
  <c r="U279" i="15"/>
  <c r="U280" i="15"/>
  <c r="U281" i="15"/>
  <c r="U282" i="15"/>
  <c r="U283" i="15"/>
  <c r="U284" i="15"/>
  <c r="U285" i="15"/>
  <c r="U286" i="15"/>
  <c r="U287" i="15"/>
  <c r="U288" i="15"/>
  <c r="U289" i="15"/>
  <c r="U290" i="15"/>
  <c r="U291" i="15"/>
  <c r="U292" i="15"/>
  <c r="U293" i="15"/>
  <c r="U294" i="15"/>
  <c r="U295" i="15"/>
  <c r="U296" i="15"/>
  <c r="U297" i="15"/>
  <c r="U298" i="15"/>
  <c r="U299" i="15"/>
  <c r="U300" i="15"/>
  <c r="U301" i="15"/>
  <c r="U302" i="15"/>
  <c r="U303" i="15"/>
  <c r="U304" i="15"/>
  <c r="U305" i="15"/>
  <c r="U306" i="15"/>
  <c r="U308" i="15"/>
  <c r="U309" i="15"/>
  <c r="U310" i="15"/>
  <c r="U311" i="15"/>
  <c r="U312" i="15"/>
  <c r="U313" i="15"/>
  <c r="U314" i="15"/>
  <c r="U315" i="15"/>
  <c r="U316" i="15"/>
  <c r="U317" i="15"/>
  <c r="U318" i="15"/>
  <c r="U319" i="15"/>
  <c r="U321" i="15"/>
  <c r="U322" i="15"/>
  <c r="U323" i="15"/>
  <c r="U324" i="15"/>
  <c r="U325" i="15"/>
  <c r="U326" i="15"/>
  <c r="U327" i="15"/>
  <c r="U328" i="15"/>
  <c r="U329" i="15"/>
  <c r="U330" i="15"/>
  <c r="U331" i="15"/>
  <c r="U332" i="15"/>
  <c r="U333" i="15"/>
  <c r="U334" i="15"/>
  <c r="U335" i="15"/>
  <c r="U336" i="15"/>
  <c r="U337" i="15"/>
  <c r="U338" i="15"/>
  <c r="U339" i="15"/>
  <c r="U340" i="15"/>
  <c r="U341" i="15"/>
  <c r="U342" i="15"/>
  <c r="U343" i="15"/>
  <c r="U344" i="15"/>
  <c r="U345" i="15"/>
  <c r="U346" i="15"/>
  <c r="U347" i="15"/>
  <c r="U348" i="15"/>
  <c r="U349" i="15"/>
  <c r="U350" i="15"/>
  <c r="U351" i="15"/>
  <c r="U352" i="15"/>
  <c r="U353" i="15"/>
  <c r="U354" i="15"/>
  <c r="U355" i="15"/>
  <c r="U356" i="15"/>
  <c r="U357" i="15"/>
  <c r="U358" i="15"/>
  <c r="U359" i="15"/>
  <c r="U360" i="15"/>
  <c r="U361" i="15"/>
  <c r="U362" i="15"/>
  <c r="U364" i="15"/>
  <c r="U365" i="15"/>
  <c r="U366" i="15"/>
  <c r="U367" i="15"/>
  <c r="U368" i="15"/>
  <c r="U369" i="15"/>
  <c r="U370" i="15"/>
  <c r="U371" i="15"/>
  <c r="U372" i="15"/>
  <c r="U373" i="15"/>
  <c r="O41" i="15"/>
  <c r="Q376" i="15"/>
  <c r="O376" i="15" l="1"/>
  <c r="T41" i="15"/>
  <c r="U41" i="15" s="1"/>
  <c r="A17" i="15" l="1"/>
  <c r="F380" i="15"/>
  <c r="U363" i="15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32" i="20"/>
  <c r="B133" i="20"/>
  <c r="B134" i="20"/>
  <c r="B135" i="20"/>
  <c r="B136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U197" i="15"/>
  <c r="U307" i="15"/>
  <c r="U148" i="15"/>
  <c r="U202" i="15"/>
  <c r="U203" i="15"/>
  <c r="U201" i="15"/>
  <c r="U194" i="15"/>
  <c r="U195" i="15"/>
  <c r="U196" i="15"/>
  <c r="U193" i="15"/>
  <c r="U192" i="15"/>
  <c r="U191" i="15"/>
  <c r="B63" i="20" l="1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M88" i="15" l="1"/>
  <c r="U88" i="15" s="1"/>
  <c r="M39" i="15" l="1"/>
  <c r="U39" i="15" s="1"/>
  <c r="M21" i="15" l="1"/>
  <c r="U21" i="15" s="1"/>
  <c r="M20" i="15"/>
  <c r="U20" i="15" s="1"/>
  <c r="M19" i="15"/>
  <c r="U19" i="15" s="1"/>
  <c r="M376" i="15" l="1"/>
  <c r="F379" i="15" s="1"/>
  <c r="T17" i="15"/>
  <c r="T376" i="15" s="1"/>
  <c r="F378" i="15" s="1"/>
  <c r="F383" i="15" l="1"/>
  <c r="F385" i="15" s="1"/>
  <c r="U17" i="15"/>
  <c r="U376" i="15" s="1"/>
  <c r="R376" i="15" l="1"/>
  <c r="B28" i="20" l="1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27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8" i="20"/>
  <c r="B9" i="20"/>
  <c r="B10" i="20"/>
  <c r="B11" i="20"/>
  <c r="B12" i="20"/>
  <c r="B7" i="20"/>
  <c r="D376" i="15" l="1"/>
  <c r="Q62" i="14" l="1"/>
  <c r="P62" i="14"/>
  <c r="O62" i="14"/>
  <c r="M62" i="14"/>
  <c r="F66" i="14" s="1"/>
  <c r="L62" i="14"/>
  <c r="F65" i="14" s="1"/>
  <c r="E62" i="14"/>
  <c r="D62" i="14"/>
  <c r="R61" i="14"/>
  <c r="S61" i="14" s="1"/>
  <c r="R60" i="14"/>
  <c r="S60" i="14" s="1"/>
  <c r="R59" i="14"/>
  <c r="S59" i="14" s="1"/>
  <c r="R58" i="14"/>
  <c r="S58" i="14" s="1"/>
  <c r="R57" i="14"/>
  <c r="S57" i="14" s="1"/>
  <c r="R56" i="14"/>
  <c r="S56" i="14" s="1"/>
  <c r="R55" i="14"/>
  <c r="S55" i="14" s="1"/>
  <c r="R54" i="14"/>
  <c r="S54" i="14" s="1"/>
  <c r="R53" i="14"/>
  <c r="S53" i="14" s="1"/>
  <c r="R52" i="14"/>
  <c r="S52" i="14" s="1"/>
  <c r="R51" i="14"/>
  <c r="S51" i="14" s="1"/>
  <c r="R50" i="14"/>
  <c r="S50" i="14" s="1"/>
  <c r="R49" i="14"/>
  <c r="S49" i="14" s="1"/>
  <c r="R48" i="14"/>
  <c r="S48" i="14" s="1"/>
  <c r="R47" i="14"/>
  <c r="S47" i="14" s="1"/>
  <c r="R46" i="14"/>
  <c r="S46" i="14" s="1"/>
  <c r="R45" i="14"/>
  <c r="S45" i="14" s="1"/>
  <c r="R44" i="14"/>
  <c r="S44" i="14" s="1"/>
  <c r="R43" i="14"/>
  <c r="S43" i="14" s="1"/>
  <c r="R42" i="14"/>
  <c r="S42" i="14" s="1"/>
  <c r="R41" i="14"/>
  <c r="S41" i="14" s="1"/>
  <c r="R40" i="14"/>
  <c r="S40" i="14" s="1"/>
  <c r="R39" i="14"/>
  <c r="S39" i="14" s="1"/>
  <c r="R38" i="14"/>
  <c r="S38" i="14" s="1"/>
  <c r="R37" i="14"/>
  <c r="S37" i="14" s="1"/>
  <c r="R36" i="14"/>
  <c r="S36" i="14" s="1"/>
  <c r="R35" i="14"/>
  <c r="S35" i="14" s="1"/>
  <c r="R34" i="14"/>
  <c r="S34" i="14" s="1"/>
  <c r="R33" i="14"/>
  <c r="S33" i="14" s="1"/>
  <c r="R32" i="14"/>
  <c r="S32" i="14" s="1"/>
  <c r="R31" i="14"/>
  <c r="S31" i="14" s="1"/>
  <c r="R30" i="14"/>
  <c r="S30" i="14" s="1"/>
  <c r="R29" i="14"/>
  <c r="S29" i="14" s="1"/>
  <c r="R28" i="14"/>
  <c r="S28" i="14" s="1"/>
  <c r="R27" i="14"/>
  <c r="S27" i="14" s="1"/>
  <c r="N26" i="14"/>
  <c r="R26" i="14" s="1"/>
  <c r="S26" i="14" s="1"/>
  <c r="N25" i="14"/>
  <c r="R25" i="14" s="1"/>
  <c r="S25" i="14" s="1"/>
  <c r="N24" i="14"/>
  <c r="R24" i="14" s="1"/>
  <c r="S24" i="14" s="1"/>
  <c r="N23" i="14"/>
  <c r="R23" i="14" s="1"/>
  <c r="S23" i="14" s="1"/>
  <c r="N22" i="14"/>
  <c r="N21" i="14"/>
  <c r="R21" i="14" s="1"/>
  <c r="S21" i="14" s="1"/>
  <c r="N20" i="14"/>
  <c r="R20" i="14" s="1"/>
  <c r="S20" i="14" s="1"/>
  <c r="N19" i="14"/>
  <c r="R19" i="14" s="1"/>
  <c r="S19" i="14" s="1"/>
  <c r="N18" i="14"/>
  <c r="R18" i="14" s="1"/>
  <c r="S18" i="14" s="1"/>
  <c r="N17" i="14"/>
  <c r="R17" i="14" s="1"/>
  <c r="S17" i="14" s="1"/>
  <c r="Q37" i="17"/>
  <c r="P37" i="17"/>
  <c r="O37" i="17"/>
  <c r="M37" i="17"/>
  <c r="F41" i="17" s="1"/>
  <c r="L37" i="17"/>
  <c r="F40" i="17" s="1"/>
  <c r="E37" i="17"/>
  <c r="D37" i="17"/>
  <c r="R36" i="17"/>
  <c r="S36" i="17" s="1"/>
  <c r="R35" i="17"/>
  <c r="S35" i="17" s="1"/>
  <c r="R34" i="17"/>
  <c r="S34" i="17" s="1"/>
  <c r="R33" i="17"/>
  <c r="S33" i="17" s="1"/>
  <c r="R32" i="17"/>
  <c r="S32" i="17" s="1"/>
  <c r="R31" i="17"/>
  <c r="S31" i="17" s="1"/>
  <c r="R30" i="17"/>
  <c r="S30" i="17" s="1"/>
  <c r="R29" i="17"/>
  <c r="S29" i="17" s="1"/>
  <c r="R28" i="17"/>
  <c r="S28" i="17" s="1"/>
  <c r="R27" i="17"/>
  <c r="S27" i="17" s="1"/>
  <c r="N26" i="17"/>
  <c r="R26" i="17" s="1"/>
  <c r="S26" i="17" s="1"/>
  <c r="N25" i="17"/>
  <c r="R25" i="17" s="1"/>
  <c r="S25" i="17" s="1"/>
  <c r="N24" i="17"/>
  <c r="R24" i="17" s="1"/>
  <c r="S24" i="17" s="1"/>
  <c r="N23" i="17"/>
  <c r="R23" i="17" s="1"/>
  <c r="S23" i="17" s="1"/>
  <c r="N22" i="17"/>
  <c r="R22" i="17" s="1"/>
  <c r="S22" i="17" s="1"/>
  <c r="N21" i="17"/>
  <c r="R21" i="17" s="1"/>
  <c r="S21" i="17" s="1"/>
  <c r="N20" i="17"/>
  <c r="R20" i="17" s="1"/>
  <c r="S20" i="17" s="1"/>
  <c r="N19" i="17"/>
  <c r="R19" i="17" s="1"/>
  <c r="S19" i="17" s="1"/>
  <c r="N18" i="17"/>
  <c r="R18" i="17" s="1"/>
  <c r="S18" i="17" s="1"/>
  <c r="N17" i="17"/>
  <c r="Q34" i="18"/>
  <c r="P34" i="18"/>
  <c r="O34" i="18"/>
  <c r="N34" i="18"/>
  <c r="M34" i="18"/>
  <c r="F38" i="18" s="1"/>
  <c r="L34" i="18"/>
  <c r="F37" i="18" s="1"/>
  <c r="E34" i="18"/>
  <c r="D34" i="18"/>
  <c r="R33" i="18"/>
  <c r="S33" i="18" s="1"/>
  <c r="R32" i="18"/>
  <c r="S32" i="18" s="1"/>
  <c r="R31" i="18"/>
  <c r="S31" i="18" s="1"/>
  <c r="R30" i="18"/>
  <c r="S30" i="18" s="1"/>
  <c r="R29" i="18"/>
  <c r="S29" i="18" s="1"/>
  <c r="R28" i="18"/>
  <c r="S28" i="18" s="1"/>
  <c r="R27" i="18"/>
  <c r="S27" i="18" s="1"/>
  <c r="R26" i="18"/>
  <c r="S26" i="18" s="1"/>
  <c r="R25" i="18"/>
  <c r="S25" i="18" s="1"/>
  <c r="R24" i="18"/>
  <c r="S24" i="18" s="1"/>
  <c r="R23" i="18"/>
  <c r="S23" i="18" s="1"/>
  <c r="R22" i="18"/>
  <c r="S22" i="18" s="1"/>
  <c r="R21" i="18"/>
  <c r="S21" i="18" s="1"/>
  <c r="R20" i="18"/>
  <c r="S20" i="18" s="1"/>
  <c r="R19" i="18"/>
  <c r="S19" i="18" s="1"/>
  <c r="R18" i="18"/>
  <c r="S18" i="18" s="1"/>
  <c r="R17" i="18"/>
  <c r="R23" i="19"/>
  <c r="Q23" i="19"/>
  <c r="P23" i="19"/>
  <c r="N23" i="19"/>
  <c r="M23" i="19"/>
  <c r="F27" i="19" s="1"/>
  <c r="L23" i="19"/>
  <c r="F26" i="19" s="1"/>
  <c r="E23" i="19"/>
  <c r="D23" i="19"/>
  <c r="S22" i="19"/>
  <c r="O22" i="19"/>
  <c r="S21" i="19"/>
  <c r="O21" i="19"/>
  <c r="S20" i="19"/>
  <c r="O20" i="19"/>
  <c r="S19" i="19"/>
  <c r="O19" i="19"/>
  <c r="S18" i="19"/>
  <c r="O18" i="19"/>
  <c r="S17" i="19"/>
  <c r="O17" i="19"/>
  <c r="N62" i="14" l="1"/>
  <c r="T18" i="19"/>
  <c r="T19" i="19"/>
  <c r="T20" i="19"/>
  <c r="T21" i="19"/>
  <c r="T22" i="19"/>
  <c r="N37" i="17"/>
  <c r="R17" i="17"/>
  <c r="R37" i="17" s="1"/>
  <c r="R22" i="14"/>
  <c r="S22" i="14" s="1"/>
  <c r="S62" i="14" s="1"/>
  <c r="F64" i="14" s="1"/>
  <c r="R34" i="18"/>
  <c r="O23" i="19"/>
  <c r="S23" i="19"/>
  <c r="T17" i="19"/>
  <c r="R62" i="14"/>
  <c r="S17" i="18"/>
  <c r="S34" i="18" s="1"/>
  <c r="F36" i="18" s="1"/>
  <c r="T23" i="19" l="1"/>
  <c r="F25" i="19" s="1"/>
  <c r="S17" i="17"/>
  <c r="S37" i="17" s="1"/>
  <c r="F3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kinhdoanh_03</author>
  </authors>
  <commentList>
    <comment ref="O191" authorId="0" shapeId="0" xr:uid="{CC3DA265-11B8-4C24-8AF4-F1042352B70C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CHUYỂN KHO TỪ PRIME WOOD QA NĂM CHÂU LẤY HÀNG PHỤ THU 500K
</t>
        </r>
      </text>
    </comment>
    <comment ref="O192" authorId="0" shapeId="0" xr:uid="{51E3561D-F93A-4679-AFE4-92640E442B88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CHUYỂN KHO TỪ PRIME WOOD QA NĂM CHÂU LẤY HÀNG PHỤ THU 500K
</t>
        </r>
      </text>
    </comment>
    <comment ref="O193" authorId="0" shapeId="0" xr:uid="{CB0E914E-45F8-45D0-A4A6-BAA7B0F145B8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CHUYỂN KHO TỪ PRIME WOOD QUA KHO NAUTRAL LẤY HÀNG PHỤ THU 2TR/1 XE
</t>
        </r>
      </text>
    </comment>
    <comment ref="O194" authorId="0" shapeId="0" xr:uid="{F08E2D1A-E0AB-439B-A9DC-DBE384BEB125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CHUYỂN KHO TỪ PRIME WOOD QUA KHO NAUTRAL LẤY HÀNG PHỤ THU 2TR/1 </t>
        </r>
      </text>
    </comment>
    <comment ref="O195" authorId="0" shapeId="0" xr:uid="{38483901-ACE2-4883-965F-99CFBF607C95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CHUYỂN KHO TỪ PRIME WOOD QUA KHO NAUTRAL LẤY HÀNG PHỤ THU 2TR/1 </t>
        </r>
      </text>
    </comment>
    <comment ref="O196" authorId="0" shapeId="0" xr:uid="{0B4AEB80-8264-425D-81EC-912B94CF0CB1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CHUYỂN KHO TỪ PRIME WOOD QUA KHO NAUTRAL LẤY HÀNG PHỤ THU 2TR/1 </t>
        </r>
      </text>
    </comment>
    <comment ref="O217" authorId="0" shapeId="0" xr:uid="{D9820D97-686A-4825-B082-4FCBBF4ABB6C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CONT REUSE
</t>
        </r>
      </text>
    </comment>
    <comment ref="O218" authorId="0" shapeId="0" xr:uid="{656F814D-9E0E-4F0A-8779-AA1A5B36536E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CONT REUSE</t>
        </r>
      </text>
    </comment>
    <comment ref="O304" authorId="0" shapeId="0" xr:uid="{D3BFD994-9C5C-4467-9FCF-6ED0758D0448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kiểm hóa
</t>
        </r>
      </text>
    </comment>
    <comment ref="O363" authorId="0" shapeId="0" xr:uid="{654C3ACE-08FA-4126-812D-0B54660469D7}">
      <text>
        <r>
          <rPr>
            <b/>
            <sz val="9"/>
            <color indexed="81"/>
            <rFont val="Tahoma"/>
            <family val="2"/>
          </rPr>
          <t>kinhdoanh_03:</t>
        </r>
        <r>
          <rPr>
            <sz val="9"/>
            <color indexed="81"/>
            <rFont val="Tahoma"/>
            <family val="2"/>
          </rPr>
          <t xml:space="preserve">
VÉ PHÍ SP 260K
</t>
        </r>
      </text>
    </comment>
  </commentList>
</comments>
</file>

<file path=xl/sharedStrings.xml><?xml version="1.0" encoding="utf-8"?>
<sst xmlns="http://schemas.openxmlformats.org/spreadsheetml/2006/main" count="3872" uniqueCount="1026">
  <si>
    <t xml:space="preserve">                     BẢNG KÊ VẬN CHUYỂN KIÊM BIÊN BẢN BÀN GIAO HÀNG HÓA THÁNG 04/2025</t>
  </si>
  <si>
    <t>Đính kèm HĐ số : 00001400, kí hiệu 1C25TPL, Ngày 29/04/2025</t>
  </si>
  <si>
    <t xml:space="preserve">             </t>
  </si>
  <si>
    <t xml:space="preserve">Đơn vị vận chuyển: </t>
  </si>
  <si>
    <t>CÔNG TY CỔ PHẦN LOGISTICS nPL</t>
  </si>
  <si>
    <t>Địa chỉ:</t>
  </si>
  <si>
    <t>13C Đường số 13C, Phường Bình Trị Đông B, Quận Bình Tân, Thành Phố Hồ Chí Minh, Việt Nam</t>
  </si>
  <si>
    <t>Số tài khoản:</t>
  </si>
  <si>
    <t>0313103204</t>
  </si>
  <si>
    <t>Điện thoại:</t>
  </si>
  <si>
    <t xml:space="preserve">Đơn vị  thuê vận chuyển: </t>
  </si>
  <si>
    <t>CÔNG TY TNHH SMART CHOICE LOGISTICS</t>
  </si>
  <si>
    <t>Lầu 5 sau, Tòa nhà PLS Số 23 Đường Tân Cảng, Phường 25, Quận Bình Thạnh, Thành Phố Hồ Chí Minh, Việt Nam</t>
  </si>
  <si>
    <t>Mã số thuế</t>
  </si>
  <si>
    <t>0317852620</t>
  </si>
  <si>
    <t>STT</t>
  </si>
  <si>
    <t>Ngày vận chuyển</t>
  </si>
  <si>
    <t>Số Bill</t>
  </si>
  <si>
    <t>Loại cont</t>
  </si>
  <si>
    <t>Số Cont</t>
  </si>
  <si>
    <t>Kho đóng hàng/giao hàng</t>
  </si>
  <si>
    <t>Địa điểm đóng hàng/giao hàng</t>
  </si>
  <si>
    <t>Nơi lấy cont</t>
  </si>
  <si>
    <t>Nơi hạ cont</t>
  </si>
  <si>
    <t>HĐ hạ</t>
  </si>
  <si>
    <t>phí hạ</t>
  </si>
  <si>
    <t>Cược cont</t>
  </si>
  <si>
    <t xml:space="preserve"> Các khoản dịch vụ </t>
  </si>
  <si>
    <t>Thành tiền dịch vụ (cả VAT)</t>
  </si>
  <si>
    <t>Phí vận chuyển</t>
  </si>
  <si>
    <t>Thuế VAT (8%)</t>
  </si>
  <si>
    <t>Phí cân xe</t>
  </si>
  <si>
    <t>Phí hạ/lấy rỗng xa</t>
  </si>
  <si>
    <t>Phí BOT SP-ITC</t>
  </si>
  <si>
    <t>19/04/2025</t>
  </si>
  <si>
    <t>LHV3612543</t>
  </si>
  <si>
    <t>ECMU7016114</t>
  </si>
  <si>
    <t>Kho Thuận An</t>
  </si>
  <si>
    <t>Chơn Thành, Bình Phước</t>
  </si>
  <si>
    <t>Cát Lái</t>
  </si>
  <si>
    <t>Tây Nam Bình Dương</t>
  </si>
  <si>
    <t>00023218</t>
  </si>
  <si>
    <t>FBLU0206674</t>
  </si>
  <si>
    <t>00023435</t>
  </si>
  <si>
    <t>SEGU5324634</t>
  </si>
  <si>
    <t>00023268</t>
  </si>
  <si>
    <t>TGCU0060842</t>
  </si>
  <si>
    <t>00023052</t>
  </si>
  <si>
    <t>TLLU4531948</t>
  </si>
  <si>
    <t>00023074</t>
  </si>
  <si>
    <t>TLLU5109752</t>
  </si>
  <si>
    <t>00023114</t>
  </si>
  <si>
    <t>Tổng cộng</t>
  </si>
  <si>
    <t>Chúng tôi xác nhận công nợ vận chuyển tháng 04/2025 như sau:</t>
  </si>
  <si>
    <t>Phí Chi hộ</t>
  </si>
  <si>
    <t>Phí cược cont</t>
  </si>
  <si>
    <t>ĐẠI DIỆN BÊN THUÊ VẬN CHUYỂN</t>
  </si>
  <si>
    <t>ĐẠI DIỆN VẬN CHUYỂN</t>
  </si>
  <si>
    <t>Đính kèm HĐ số 00001399, kí hiệu 1C25TPL, Ngày 29/04/2025</t>
  </si>
  <si>
    <t>MEDURA136981</t>
  </si>
  <si>
    <t>DFSU7790868</t>
  </si>
  <si>
    <t>Solog Sóng Thần</t>
  </si>
  <si>
    <t>00072343</t>
  </si>
  <si>
    <t>MEDU7762504</t>
  </si>
  <si>
    <t>00072647</t>
  </si>
  <si>
    <t>MSCU5330017</t>
  </si>
  <si>
    <t>00072218</t>
  </si>
  <si>
    <t>MEDU4771729</t>
  </si>
  <si>
    <t>00072234</t>
  </si>
  <si>
    <t>CAIU7218110</t>
  </si>
  <si>
    <t>00072402</t>
  </si>
  <si>
    <t>22/04/2025</t>
  </si>
  <si>
    <t>MEDUFK245977</t>
  </si>
  <si>
    <t>BSIU9420260</t>
  </si>
  <si>
    <t>Medlog Song Than 3</t>
  </si>
  <si>
    <t>11738</t>
  </si>
  <si>
    <t>CAIU7769555</t>
  </si>
  <si>
    <t>11759</t>
  </si>
  <si>
    <t>DFSU7298837</t>
  </si>
  <si>
    <t>11740</t>
  </si>
  <si>
    <t>CXDU2118462</t>
  </si>
  <si>
    <t>11700</t>
  </si>
  <si>
    <t>CARU9771368</t>
  </si>
  <si>
    <t>11657</t>
  </si>
  <si>
    <t>24/04/2025</t>
  </si>
  <si>
    <t>EGLV064500006463</t>
  </si>
  <si>
    <t>TEMU6266668</t>
  </si>
  <si>
    <t>G-Fortune Đồng An</t>
  </si>
  <si>
    <t>139853</t>
  </si>
  <si>
    <t>EITU9095232</t>
  </si>
  <si>
    <t>139780</t>
  </si>
  <si>
    <t>TGBU4682537</t>
  </si>
  <si>
    <t>139903</t>
  </si>
  <si>
    <t>EMCU8355468</t>
  </si>
  <si>
    <t>139792</t>
  </si>
  <si>
    <t>TCNU1659533</t>
  </si>
  <si>
    <t>00140125</t>
  </si>
  <si>
    <t>EITU1834790</t>
  </si>
  <si>
    <t>00142174</t>
  </si>
  <si>
    <t>TEMU6121197</t>
  </si>
  <si>
    <t>00141426</t>
  </si>
  <si>
    <t>Đính kèm HĐ số 00001401, kí hiệu 1C25TPL Ngày 29/04/2025</t>
  </si>
  <si>
    <t xml:space="preserve"> Các khoản dịch vụ</t>
  </si>
  <si>
    <t>N755275679</t>
  </si>
  <si>
    <t>CAIU7872732</t>
  </si>
  <si>
    <t>00066016</t>
  </si>
  <si>
    <t>SEGU5483209</t>
  </si>
  <si>
    <t>00020182</t>
  </si>
  <si>
    <t>TGBU5564040</t>
  </si>
  <si>
    <t>00121079</t>
  </si>
  <si>
    <t>YMMU6821171</t>
  </si>
  <si>
    <t>00120522</t>
  </si>
  <si>
    <t>YMMU6999630</t>
  </si>
  <si>
    <t>00120413</t>
  </si>
  <si>
    <t>TCNU1444303</t>
  </si>
  <si>
    <t>00020523</t>
  </si>
  <si>
    <t>TEMU7714140</t>
  </si>
  <si>
    <t>00120561</t>
  </si>
  <si>
    <t>TEMU8945333</t>
  </si>
  <si>
    <t>00120034</t>
  </si>
  <si>
    <t>TGBU6760475</t>
  </si>
  <si>
    <t>00120045</t>
  </si>
  <si>
    <t>YMMU6860809</t>
  </si>
  <si>
    <t>00120653</t>
  </si>
  <si>
    <t>MEDUFK105452</t>
  </si>
  <si>
    <t>SEGU6109256</t>
  </si>
  <si>
    <t>11638</t>
  </si>
  <si>
    <t>MSCU5284652</t>
  </si>
  <si>
    <t>11685</t>
  </si>
  <si>
    <t>CAIU9799543</t>
  </si>
  <si>
    <t>11691</t>
  </si>
  <si>
    <t>MSMU7589455</t>
  </si>
  <si>
    <t>11706</t>
  </si>
  <si>
    <t>MSNU5124149</t>
  </si>
  <si>
    <t>11712</t>
  </si>
  <si>
    <t>23/04/2025</t>
  </si>
  <si>
    <t>UETU5580670</t>
  </si>
  <si>
    <t>11920</t>
  </si>
  <si>
    <t>TRHU7998224</t>
  </si>
  <si>
    <t>12019</t>
  </si>
  <si>
    <t>MSMU5222558</t>
  </si>
  <si>
    <t>12004</t>
  </si>
  <si>
    <t>MSDU6047577</t>
  </si>
  <si>
    <t>11973</t>
  </si>
  <si>
    <t>CAAU7126509</t>
  </si>
  <si>
    <t>11977</t>
  </si>
  <si>
    <t>Đính kèm HĐ số….. Ngày ,,,,,</t>
  </si>
  <si>
    <t xml:space="preserve"> Các khoản dịch vụ (Đã bao gồm VAT) </t>
  </si>
  <si>
    <t>14/04/2025</t>
  </si>
  <si>
    <t>COSU6408782930</t>
  </si>
  <si>
    <t>UETU6533668</t>
  </si>
  <si>
    <t>Kho Brotex</t>
  </si>
  <si>
    <t>KCN Phước Đông, Tây Ninh</t>
  </si>
  <si>
    <t>Chân Thật Sóng Thần</t>
  </si>
  <si>
    <t>00051437</t>
  </si>
  <si>
    <t>TGHU9725145</t>
  </si>
  <si>
    <t>00051553</t>
  </si>
  <si>
    <t>Số xe</t>
  </si>
  <si>
    <t>CẢNH LÂM</t>
  </si>
  <si>
    <t>neo xe</t>
  </si>
  <si>
    <t>Tổng thanh toán</t>
  </si>
  <si>
    <t>Đơn vị vận chuyển:       CÔNG TY CỔ PHẦN LOGISTICS nPL</t>
  </si>
  <si>
    <t>Địa chỉ:                         13C Đường số 13C, Phường An Lạc, Thành phố Hồ Chí Minh, Việt Nam</t>
  </si>
  <si>
    <t>Mã số thuế:                   0313103204</t>
  </si>
  <si>
    <t>Tài khoản :                   11800 266 7817  Ngân hàng Vietinbank - Chi nhánh 3 - Tp.HCM</t>
  </si>
  <si>
    <t>Đơn vị vận chuyển:       CÔNG TY TNHH VẬN TẢI TÀI ĐỨC</t>
  </si>
  <si>
    <t>Địa chỉ:                          Số 4D/4A Đường Nguyễn Du, Phường Bình Hòa, Thành phố Thuận An, Tỉnh Bình Dương, Việt Nam</t>
  </si>
  <si>
    <t>Mã số thuế:                    3703283283</t>
  </si>
  <si>
    <t xml:space="preserve">Đính kèm HĐ số  , Ký hiệu, ngày 0/10/2025 </t>
  </si>
  <si>
    <t xml:space="preserve">                     BẢNG KÊ VẬN CHUYỂN KIÊM BIÊN BẢN BÀN GIAO HÀNG HÓA THÁNG 10/2025</t>
  </si>
  <si>
    <t>HĐ hạn/ nâng</t>
  </si>
  <si>
    <t>phí hạ/ nâng</t>
  </si>
  <si>
    <t>XÃ CHƠN THÀNH, TỈNH ĐỒNG NAI</t>
  </si>
  <si>
    <t>TCS Depot (TANCANG SHIPPING DEPOT)</t>
  </si>
  <si>
    <t>Depot Chân Thật Sóng Thần</t>
  </si>
  <si>
    <t>CHÂN THẬT SÓNG THẦN</t>
  </si>
  <si>
    <t>DONG LIU</t>
  </si>
  <si>
    <t>51C-34641</t>
  </si>
  <si>
    <t>50LD-18392</t>
  </si>
  <si>
    <t>PRIME WOOD</t>
  </si>
  <si>
    <t>HỚN QUẢN, BÌNH PHƯỚC</t>
  </si>
  <si>
    <t>61E-03521</t>
  </si>
  <si>
    <t>50E-33511</t>
  </si>
  <si>
    <t>50H-60254</t>
  </si>
  <si>
    <t>51C-59658</t>
  </si>
  <si>
    <t>51C-54560</t>
  </si>
  <si>
    <t>50H-61485</t>
  </si>
  <si>
    <t>50H-61118</t>
  </si>
  <si>
    <t>50H-02426</t>
  </si>
  <si>
    <t>50H-61025</t>
  </si>
  <si>
    <t>51C-49237</t>
  </si>
  <si>
    <t>51D-14138</t>
  </si>
  <si>
    <t>51D-63673</t>
  </si>
  <si>
    <t>50H-60825</t>
  </si>
  <si>
    <t>51D-14187</t>
  </si>
  <si>
    <t>50H-09623</t>
  </si>
  <si>
    <t>50E-32983</t>
  </si>
  <si>
    <t>51C-59687</t>
  </si>
  <si>
    <t>14138-51D</t>
  </si>
  <si>
    <t>11470-51D</t>
  </si>
  <si>
    <t>02426-50H</t>
  </si>
  <si>
    <t>33511-50E</t>
  </si>
  <si>
    <t>59687-51C</t>
  </si>
  <si>
    <t>61118-50H</t>
  </si>
  <si>
    <t>Suối Tiên Long Thạnh Mỹ Depot</t>
  </si>
  <si>
    <t>14187-51D</t>
  </si>
  <si>
    <t>31965-50E</t>
  </si>
  <si>
    <t>05239-50H</t>
  </si>
  <si>
    <t>61025-50H</t>
  </si>
  <si>
    <t>32983-50E</t>
  </si>
  <si>
    <t>60825-50H</t>
  </si>
  <si>
    <t>61485-50H</t>
  </si>
  <si>
    <t>69603-51C</t>
  </si>
  <si>
    <t>54560-51C</t>
  </si>
  <si>
    <t>64390-51C</t>
  </si>
  <si>
    <t>63673-51D</t>
  </si>
  <si>
    <t>ZIMUNYC9105455</t>
  </si>
  <si>
    <t>ĐÃ VAT</t>
  </si>
  <si>
    <t>YMJAN851149171</t>
  </si>
  <si>
    <t>YMMU6226693</t>
  </si>
  <si>
    <t>YMMU6759136</t>
  </si>
  <si>
    <t>47877-51C</t>
  </si>
  <si>
    <t>YMMU7045067</t>
  </si>
  <si>
    <t>11483-51D</t>
  </si>
  <si>
    <t>YMLU8941341</t>
  </si>
  <si>
    <t>YMLU8851470</t>
  </si>
  <si>
    <t>CHƠN THÀNH, BÌNH PHƯỚC</t>
  </si>
  <si>
    <t>00133277</t>
  </si>
  <si>
    <t>00133325</t>
  </si>
  <si>
    <t>JXLU4717448</t>
  </si>
  <si>
    <t>ZCSU6728821</t>
  </si>
  <si>
    <t>JXLU4677860</t>
  </si>
  <si>
    <t>TCNU5337176</t>
  </si>
  <si>
    <t>49237-51C</t>
  </si>
  <si>
    <t>JXLU4420423</t>
  </si>
  <si>
    <t>TCLU5342914</t>
  </si>
  <si>
    <t>GAOU7155216</t>
  </si>
  <si>
    <t>TCNU4236833</t>
  </si>
  <si>
    <t>0027364</t>
  </si>
  <si>
    <t>0027312</t>
  </si>
  <si>
    <t>0027342</t>
  </si>
  <si>
    <t>0027292</t>
  </si>
  <si>
    <t>0027323</t>
  </si>
  <si>
    <t>0027363</t>
  </si>
  <si>
    <t>0027305</t>
  </si>
  <si>
    <t>0027358</t>
  </si>
  <si>
    <t>ZCSU7277640</t>
  </si>
  <si>
    <t>0027360</t>
  </si>
  <si>
    <t>OOLU2762243970</t>
  </si>
  <si>
    <t>SEGU6905438</t>
  </si>
  <si>
    <t>61H-08950</t>
  </si>
  <si>
    <t>OOCU8804032</t>
  </si>
  <si>
    <t>50H-60906</t>
  </si>
  <si>
    <t>OOCU8236143</t>
  </si>
  <si>
    <t>50H-18454</t>
  </si>
  <si>
    <t>OOCU7806616</t>
  </si>
  <si>
    <t>50H-61092</t>
  </si>
  <si>
    <t>CSNU7176795</t>
  </si>
  <si>
    <t>32702-50E</t>
  </si>
  <si>
    <t>G-FORTUNE ĐỒNG AN</t>
  </si>
  <si>
    <t>387085</t>
  </si>
  <si>
    <t>386039</t>
  </si>
  <si>
    <t>386813</t>
  </si>
  <si>
    <t>386843</t>
  </si>
  <si>
    <t>387533</t>
  </si>
  <si>
    <t>OCGU8011370</t>
  </si>
  <si>
    <t>FFAU1257531</t>
  </si>
  <si>
    <t>50H-68384</t>
  </si>
  <si>
    <t>00133671</t>
  </si>
  <si>
    <t>SEGU5288434</t>
  </si>
  <si>
    <t>TRHU4527220</t>
  </si>
  <si>
    <t>50H-91733</t>
  </si>
  <si>
    <t>TRHU4653614</t>
  </si>
  <si>
    <t>50H-25450</t>
  </si>
  <si>
    <t>CSNU6188467</t>
  </si>
  <si>
    <t>50H - 188.34</t>
  </si>
  <si>
    <t>CSNU7464343</t>
  </si>
  <si>
    <t>50H-292.75</t>
  </si>
  <si>
    <t>CCLU7969851</t>
  </si>
  <si>
    <t>50H-75755</t>
  </si>
  <si>
    <t>FFAU2742531</t>
  </si>
  <si>
    <t>CSNU8324557</t>
  </si>
  <si>
    <t xml:space="preserve">NĂM CHÂU </t>
  </si>
  <si>
    <t>00121547</t>
  </si>
  <si>
    <t xml:space="preserve"> 00121499</t>
  </si>
  <si>
    <t>00121715</t>
  </si>
  <si>
    <t xml:space="preserve"> 00121756</t>
  </si>
  <si>
    <t xml:space="preserve"> 00121769</t>
  </si>
  <si>
    <t xml:space="preserve"> 00121762</t>
  </si>
  <si>
    <t xml:space="preserve"> 00121405</t>
  </si>
  <si>
    <t>00121397</t>
  </si>
  <si>
    <t>COAU7262946030</t>
  </si>
  <si>
    <t>TGBU4841881</t>
  </si>
  <si>
    <t>CSLU6331210</t>
  </si>
  <si>
    <t>50H-29627</t>
  </si>
  <si>
    <t>TIIU5260561</t>
  </si>
  <si>
    <t>UETU5759563</t>
  </si>
  <si>
    <t>51C-29222</t>
  </si>
  <si>
    <t>CCLU7823147</t>
  </si>
  <si>
    <t>04289-50H</t>
  </si>
  <si>
    <t>SOLOG SÓNG THẦN</t>
  </si>
  <si>
    <t xml:space="preserve"> 00212585</t>
  </si>
  <si>
    <t xml:space="preserve"> 00212255</t>
  </si>
  <si>
    <t xml:space="preserve"> 00212298</t>
  </si>
  <si>
    <t xml:space="preserve"> 00212558</t>
  </si>
  <si>
    <t>00212506</t>
  </si>
  <si>
    <t>TGHU6847828</t>
  </si>
  <si>
    <t xml:space="preserve"> 00212748</t>
  </si>
  <si>
    <t>FCIU9498316</t>
  </si>
  <si>
    <t>CSNU6358434</t>
  </si>
  <si>
    <t>TGBU7963311</t>
  </si>
  <si>
    <t>CSNU8750357</t>
  </si>
  <si>
    <t>00122040</t>
  </si>
  <si>
    <t>00122072</t>
  </si>
  <si>
    <t>00122071</t>
  </si>
  <si>
    <t>00122181</t>
  </si>
  <si>
    <t>CSNU7179731</t>
  </si>
  <si>
    <t>CBHU9446654</t>
  </si>
  <si>
    <t>50H-91448</t>
  </si>
  <si>
    <t>CSNU7228749</t>
  </si>
  <si>
    <t>CSNU8479287</t>
  </si>
  <si>
    <t>61H-15392</t>
  </si>
  <si>
    <t>CSNU7251013</t>
  </si>
  <si>
    <t>50H-24336</t>
  </si>
  <si>
    <t>CSNU7419724</t>
  </si>
  <si>
    <t>50H-68371</t>
  </si>
  <si>
    <t>CSNU6787341</t>
  </si>
  <si>
    <t>CSNU8559016</t>
  </si>
  <si>
    <t>00122310</t>
  </si>
  <si>
    <t>00122044</t>
  </si>
  <si>
    <t>00122385</t>
  </si>
  <si>
    <t xml:space="preserve"> 00122225</t>
  </si>
  <si>
    <t>00122243</t>
  </si>
  <si>
    <t>00122207</t>
  </si>
  <si>
    <t>00122055</t>
  </si>
  <si>
    <t>LEHF30183800</t>
  </si>
  <si>
    <t>KKFU8144661</t>
  </si>
  <si>
    <t>KKFU7835144</t>
  </si>
  <si>
    <t>60254-50H</t>
  </si>
  <si>
    <t>GAOU6546176</t>
  </si>
  <si>
    <t>FFAU6449178</t>
  </si>
  <si>
    <t>NYKU0799299</t>
  </si>
  <si>
    <t>TÂN CẢNG TÂN VẠN</t>
  </si>
  <si>
    <t>00064308</t>
  </si>
  <si>
    <t>00064389</t>
  </si>
  <si>
    <t>00007145</t>
  </si>
  <si>
    <t>00007141</t>
  </si>
  <si>
    <t>00064330</t>
  </si>
  <si>
    <t>EGLV540500133273</t>
  </si>
  <si>
    <t>EGSU1237816</t>
  </si>
  <si>
    <t>EGHU9195550</t>
  </si>
  <si>
    <t>59658-51C</t>
  </si>
  <si>
    <t>EGHU9520310</t>
  </si>
  <si>
    <t>TRIỆU VƯỢNG</t>
  </si>
  <si>
    <t>THỦ DẦU MỘT, BÌNH DƯƠNG</t>
  </si>
  <si>
    <t>00123311</t>
  </si>
  <si>
    <t>00123160</t>
  </si>
  <si>
    <t>00123185</t>
  </si>
  <si>
    <t>EGLV404540886423</t>
  </si>
  <si>
    <t>EGSU9703320</t>
  </si>
  <si>
    <t>CAAU5747657</t>
  </si>
  <si>
    <t>G-FORTUNE TAN VAN 2 DEPOT</t>
  </si>
  <si>
    <t>MRKU5232506</t>
  </si>
  <si>
    <t>MIEU3062340</t>
  </si>
  <si>
    <t>UETU6997165</t>
  </si>
  <si>
    <t>TCKU6802642</t>
  </si>
  <si>
    <t>MRSU4302535</t>
  </si>
  <si>
    <t>MRKU3376675</t>
  </si>
  <si>
    <t>TIIU4699098</t>
  </si>
  <si>
    <t>SEKU6977350</t>
  </si>
  <si>
    <t>NAM KHÁNH DEPOT</t>
  </si>
  <si>
    <t>00120362</t>
  </si>
  <si>
    <t>00120361</t>
  </si>
  <si>
    <t>00120391</t>
  </si>
  <si>
    <t>00120392</t>
  </si>
  <si>
    <t>00120268</t>
  </si>
  <si>
    <t>00120206</t>
  </si>
  <si>
    <t>00120200</t>
  </si>
  <si>
    <t>OOCU9670339</t>
  </si>
  <si>
    <t>BEAU5652349</t>
  </si>
  <si>
    <t>00391698</t>
  </si>
  <si>
    <t>00391601</t>
  </si>
  <si>
    <t>ZIMUORF987190</t>
  </si>
  <si>
    <t>JXLU4317708</t>
  </si>
  <si>
    <t>BSIU9834254</t>
  </si>
  <si>
    <t>KSSU1004541</t>
  </si>
  <si>
    <t>JXLU7843917</t>
  </si>
  <si>
    <t>ZCSU7479364</t>
  </si>
  <si>
    <t>CAAU9581775</t>
  </si>
  <si>
    <t>JXLU6296878</t>
  </si>
  <si>
    <t>00394388</t>
  </si>
  <si>
    <t>00394743</t>
  </si>
  <si>
    <t>00393967</t>
  </si>
  <si>
    <t>00393584</t>
  </si>
  <si>
    <t>00394044</t>
  </si>
  <si>
    <t>00393318</t>
  </si>
  <si>
    <t>FDCU0107426</t>
  </si>
  <si>
    <t>OOCU8048911</t>
  </si>
  <si>
    <t>00124188</t>
  </si>
  <si>
    <t>COSU6425804580</t>
  </si>
  <si>
    <t>TGBU4361645</t>
  </si>
  <si>
    <t>TCKU7665415</t>
  </si>
  <si>
    <t>SEGU4043530</t>
  </si>
  <si>
    <t>00393802</t>
  </si>
  <si>
    <t>00393903</t>
  </si>
  <si>
    <t>00393431</t>
  </si>
  <si>
    <t>EGLV400500356447</t>
  </si>
  <si>
    <t>TGBU7285209</t>
  </si>
  <si>
    <t>EMCU8973701</t>
  </si>
  <si>
    <t>EMCU8250261</t>
  </si>
  <si>
    <t>00124538</t>
  </si>
  <si>
    <t xml:space="preserve"> 00124734</t>
  </si>
  <si>
    <t>00124807</t>
  </si>
  <si>
    <t>đn ct</t>
  </si>
  <si>
    <t>OOCU9433379</t>
  </si>
  <si>
    <t>00121431</t>
  </si>
  <si>
    <t>SEGU5807360</t>
  </si>
  <si>
    <t>0027368</t>
  </si>
  <si>
    <t>EGHU9612761</t>
  </si>
  <si>
    <t>50H-91407</t>
  </si>
  <si>
    <t xml:space="preserve"> 00123239</t>
  </si>
  <si>
    <t>OOCU8594110</t>
  </si>
  <si>
    <t>163FA06777</t>
  </si>
  <si>
    <t>WHSU5793367</t>
  </si>
  <si>
    <t>WHSU6085845</t>
  </si>
  <si>
    <t>50H-45841</t>
  </si>
  <si>
    <t>PHÚC XUÂN TÂN VẠN DEPOT</t>
  </si>
  <si>
    <t xml:space="preserve"> 00133339
 00003753</t>
  </si>
  <si>
    <t>00133378
 00003754</t>
  </si>
  <si>
    <t xml:space="preserve"> 00133300
00003749</t>
  </si>
  <si>
    <t xml:space="preserve"> 00134329
1433912</t>
  </si>
  <si>
    <t>00120539</t>
  </si>
  <si>
    <t xml:space="preserve"> 00124158</t>
  </si>
  <si>
    <t>73555
'01456387</t>
  </si>
  <si>
    <t>SEGU6414049</t>
  </si>
  <si>
    <t>OOCU8019024</t>
  </si>
  <si>
    <t>00125177</t>
  </si>
  <si>
    <t>00125174</t>
  </si>
  <si>
    <t>CSLU6335982</t>
  </si>
  <si>
    <t>FFAU6032435</t>
  </si>
  <si>
    <t>00125164</t>
  </si>
  <si>
    <t>00136008</t>
  </si>
  <si>
    <t>OOCU8613859</t>
  </si>
  <si>
    <t>CAAU8201850</t>
  </si>
  <si>
    <t>NAM KHÁNH DEPOT (SÓNG THẦN)</t>
  </si>
  <si>
    <t>00125191</t>
  </si>
  <si>
    <t>00121867</t>
  </si>
  <si>
    <t>SNLFHMCL013852</t>
  </si>
  <si>
    <t>TCNU3356074</t>
  </si>
  <si>
    <t>SNBU8472527</t>
  </si>
  <si>
    <t>SNBU8465549</t>
  </si>
  <si>
    <t>50E-32702</t>
  </si>
  <si>
    <t>51C-47877</t>
  </si>
  <si>
    <t>51D-11483</t>
  </si>
  <si>
    <t>50H-05239</t>
  </si>
  <si>
    <t>51D-11470</t>
  </si>
  <si>
    <t>50H-03629</t>
  </si>
  <si>
    <t>50E-31800</t>
  </si>
  <si>
    <t>51C-64390</t>
  </si>
  <si>
    <t>50E-31965</t>
  </si>
  <si>
    <t>51C-69603</t>
  </si>
  <si>
    <t>MRSU7048846</t>
  </si>
  <si>
    <t>G-FORTUNE THỦ ĐỨC</t>
  </si>
  <si>
    <t>SP ICT</t>
  </si>
  <si>
    <t xml:space="preserve">	00400355</t>
  </si>
  <si>
    <t>OOCU7471256</t>
  </si>
  <si>
    <t>TRHU4377286</t>
  </si>
  <si>
    <t>TIIU6429419</t>
  </si>
  <si>
    <t>61H-20470</t>
  </si>
  <si>
    <t>TRHU4724699</t>
  </si>
  <si>
    <t>00125957</t>
  </si>
  <si>
    <t>00125993</t>
  </si>
  <si>
    <t xml:space="preserve"> 00125993</t>
  </si>
  <si>
    <t>00126012</t>
  </si>
  <si>
    <t>NAM7950363</t>
  </si>
  <si>
    <t>CMAU9579840</t>
  </si>
  <si>
    <t>TCNU4013038</t>
  </si>
  <si>
    <t>HPCU4276327</t>
  </si>
  <si>
    <t>TCLU6561711</t>
  </si>
  <si>
    <t>TCLU5084018</t>
  </si>
  <si>
    <t>CMAU9383456</t>
  </si>
  <si>
    <t>SEKU5633129</t>
  </si>
  <si>
    <t>CMAU9287869</t>
  </si>
  <si>
    <t>SEKU6592997</t>
  </si>
  <si>
    <t>50H-29513</t>
  </si>
  <si>
    <t>MAGU5349366</t>
  </si>
  <si>
    <t>G-FORTUNE DĨ AN</t>
  </si>
  <si>
    <t>00007478</t>
  </si>
  <si>
    <t>00007466</t>
  </si>
  <si>
    <t>SNLFHMCL013613</t>
  </si>
  <si>
    <t>TCNU3824489</t>
  </si>
  <si>
    <t>HASU4385150</t>
  </si>
  <si>
    <t>MTSU9634963</t>
  </si>
  <si>
    <t>MRKU3948425</t>
  </si>
  <si>
    <t>CẢNG BÌNH DƯƠNG</t>
  </si>
  <si>
    <t>00123568</t>
  </si>
  <si>
    <t>00123544</t>
  </si>
  <si>
    <t>00292476</t>
  </si>
  <si>
    <t>00123514</t>
  </si>
  <si>
    <t>UETU7809658</t>
  </si>
  <si>
    <t>TCNU4133141</t>
  </si>
  <si>
    <t>TIIU6225879</t>
  </si>
  <si>
    <t>TCNU4292992</t>
  </si>
  <si>
    <t>TLLU4399235</t>
  </si>
  <si>
    <t>TGBU6815109</t>
  </si>
  <si>
    <t>0007523</t>
  </si>
  <si>
    <t>0007546</t>
  </si>
  <si>
    <t>HASU4359274</t>
  </si>
  <si>
    <t>MRKU6191850</t>
  </si>
  <si>
    <t>MRSU3378557</t>
  </si>
  <si>
    <t>MRKU2449838</t>
  </si>
  <si>
    <t>MSKU9089000</t>
  </si>
  <si>
    <t>MRKU4417906</t>
  </si>
  <si>
    <t>TCLU8786656</t>
  </si>
  <si>
    <t>MRSU4649524</t>
  </si>
  <si>
    <t>HASU4568166</t>
  </si>
  <si>
    <t>00125027</t>
  </si>
  <si>
    <t>00125050</t>
  </si>
  <si>
    <t>00220614</t>
  </si>
  <si>
    <t>00221055</t>
  </si>
  <si>
    <t>MSKU0512595</t>
  </si>
  <si>
    <t>00124689</t>
  </si>
  <si>
    <t>TRHU5208784</t>
  </si>
  <si>
    <t>HASU4977652</t>
  </si>
  <si>
    <t>TIIU5171274</t>
  </si>
  <si>
    <t>00001226</t>
  </si>
  <si>
    <t>00221532</t>
  </si>
  <si>
    <t>00221715</t>
  </si>
  <si>
    <t>ZIMUNYC9110340</t>
  </si>
  <si>
    <t>JXLU6322597</t>
  </si>
  <si>
    <t>ZCSU7789797</t>
  </si>
  <si>
    <t>ZCSU7627775</t>
  </si>
  <si>
    <t>CAAU5291021</t>
  </si>
  <si>
    <t>00405719</t>
  </si>
  <si>
    <t>00405922</t>
  </si>
  <si>
    <t>00405513</t>
  </si>
  <si>
    <t>CHV202511170</t>
  </si>
  <si>
    <t>FCIU8052510</t>
  </si>
  <si>
    <t>FCIU9298642</t>
  </si>
  <si>
    <t>TÂN VẠN SMART</t>
  </si>
  <si>
    <t>EGLV404540986771</t>
  </si>
  <si>
    <t>EITU1045765</t>
  </si>
  <si>
    <t>GAOU6977065</t>
  </si>
  <si>
    <t>TGBU8654554</t>
  </si>
  <si>
    <t>00127761</t>
  </si>
  <si>
    <t>00127904</t>
  </si>
  <si>
    <t>00127778</t>
  </si>
  <si>
    <t>ZIMUSAV9091072</t>
  </si>
  <si>
    <t>TCNU5410180</t>
  </si>
  <si>
    <t>12011
'0014970</t>
  </si>
  <si>
    <t>00124665</t>
  </si>
  <si>
    <t>FFAU6695802</t>
  </si>
  <si>
    <t>50E-15823</t>
  </si>
  <si>
    <t>SOLOG THỦ ĐỨC</t>
  </si>
  <si>
    <t>COSU6425808478</t>
  </si>
  <si>
    <t>NAM7889442</t>
  </si>
  <si>
    <t>TGHU6347231</t>
  </si>
  <si>
    <t>CMAU9581111</t>
  </si>
  <si>
    <t>CAAU6344701</t>
  </si>
  <si>
    <t>TCLU6531888</t>
  </si>
  <si>
    <t>MAGU5465617</t>
  </si>
  <si>
    <t>00405143</t>
  </si>
  <si>
    <t>k có phiếu eir</t>
  </si>
  <si>
    <t>ZIMUNYC9107008</t>
  </si>
  <si>
    <t>ZCSU6630054</t>
  </si>
  <si>
    <t>TGBU7088051</t>
  </si>
  <si>
    <t>ZCSU7644659</t>
  </si>
  <si>
    <t>51C-73515</t>
  </si>
  <si>
    <t>00030296</t>
  </si>
  <si>
    <t>0030292</t>
  </si>
  <si>
    <t>0030290</t>
  </si>
  <si>
    <t xml:space="preserve">ngày 9 còn 1 đơn chưa chia </t>
  </si>
  <si>
    <t>MRSU7345865</t>
  </si>
  <si>
    <t>MRSU8317235</t>
  </si>
  <si>
    <t>MRSU7294599</t>
  </si>
  <si>
    <t>GCXU5685585</t>
  </si>
  <si>
    <t>GAOU7552466</t>
  </si>
  <si>
    <t>00222449</t>
  </si>
  <si>
    <t>00222419</t>
  </si>
  <si>
    <t>00222516</t>
  </si>
  <si>
    <t>00222475</t>
  </si>
  <si>
    <t>00222476</t>
  </si>
  <si>
    <t>SEKU4482183</t>
  </si>
  <si>
    <t>TCKU7845802</t>
  </si>
  <si>
    <t>CAAU6590602</t>
  </si>
  <si>
    <t>MRSU4294960</t>
  </si>
  <si>
    <t>MRKU4270902</t>
  </si>
  <si>
    <t>00125236</t>
  </si>
  <si>
    <t>00125086</t>
  </si>
  <si>
    <t>00125233</t>
  </si>
  <si>
    <t>00125401</t>
  </si>
  <si>
    <t>00125231</t>
  </si>
  <si>
    <t>MRKU3064980</t>
  </si>
  <si>
    <t>MRSU5607307</t>
  </si>
  <si>
    <t>MRKU5444850</t>
  </si>
  <si>
    <t>MRKU4141361</t>
  </si>
  <si>
    <t>UETU8521671</t>
  </si>
  <si>
    <t xml:space="preserve">MRSU3937233 </t>
  </si>
  <si>
    <t>00125147</t>
  </si>
  <si>
    <t>00125304</t>
  </si>
  <si>
    <t>00125241</t>
  </si>
  <si>
    <t>00125181</t>
  </si>
  <si>
    <t>00125146</t>
  </si>
  <si>
    <t>CAAU8922861</t>
  </si>
  <si>
    <t>SP ITC</t>
  </si>
  <si>
    <t>CMAU8978589</t>
  </si>
  <si>
    <t>TLLU7637975</t>
  </si>
  <si>
    <t>CMAU6364489</t>
  </si>
  <si>
    <t>00007732</t>
  </si>
  <si>
    <t>00407863</t>
  </si>
  <si>
    <t>00408744</t>
  </si>
  <si>
    <t>EGLV540500133851</t>
  </si>
  <si>
    <t>MRSU4349152</t>
  </si>
  <si>
    <t>MSKU1664294</t>
  </si>
  <si>
    <t>MRSU7871875</t>
  </si>
  <si>
    <t xml:space="preserve">	00408191</t>
  </si>
  <si>
    <t xml:space="preserve">	00408583</t>
  </si>
  <si>
    <t xml:space="preserve">	00408213</t>
  </si>
  <si>
    <t>EITU1259181</t>
  </si>
  <si>
    <t>00128467</t>
  </si>
  <si>
    <t>MRKU4619316</t>
  </si>
  <si>
    <t>SEGU4304525</t>
  </si>
  <si>
    <t>00014868</t>
  </si>
  <si>
    <t>00014864</t>
  </si>
  <si>
    <t>MRKU3564230</t>
  </si>
  <si>
    <t>SOLOG PHÚ LỢI</t>
  </si>
  <si>
    <t>00007816</t>
  </si>
  <si>
    <t>EGLV404540902462</t>
  </si>
  <si>
    <t>EGHU9679050</t>
  </si>
  <si>
    <t>03900-50H</t>
  </si>
  <si>
    <t>EGSU9817066</t>
  </si>
  <si>
    <t>TRHU5023055</t>
  </si>
  <si>
    <t>ĐỒNG PHÚ, BÌNH PHƯỚC</t>
  </si>
  <si>
    <t>BẮC TÂN UYÊN, BÌNH DƯƠNG</t>
  </si>
  <si>
    <t>00128785</t>
  </si>
  <si>
    <t>00128872</t>
  </si>
  <si>
    <t>00128968</t>
  </si>
  <si>
    <t>FFAU7440339</t>
  </si>
  <si>
    <t>MRSU7393143</t>
  </si>
  <si>
    <t>TRHU4028978</t>
  </si>
  <si>
    <t>SELU4011391</t>
  </si>
  <si>
    <t>00126549</t>
  </si>
  <si>
    <t>00126469</t>
  </si>
  <si>
    <t>00126515</t>
  </si>
  <si>
    <t>00126587</t>
  </si>
  <si>
    <t>00014867</t>
  </si>
  <si>
    <t>00014865</t>
  </si>
  <si>
    <t>OOCU8207227</t>
  </si>
  <si>
    <t>HCMNSA25S11061</t>
  </si>
  <si>
    <t>XYLU8194953</t>
  </si>
  <si>
    <t>XYLU8215613</t>
  </si>
  <si>
    <t>FFAU4973416</t>
  </si>
  <si>
    <t>CBHU8910837</t>
  </si>
  <si>
    <t>EGLV400500344172</t>
  </si>
  <si>
    <t>TXGU6699418</t>
  </si>
  <si>
    <t>TGBU6957314</t>
  </si>
  <si>
    <t>00128354</t>
  </si>
  <si>
    <t>00128435</t>
  </si>
  <si>
    <t>00125150</t>
  </si>
  <si>
    <t>MRKU3622655</t>
  </si>
  <si>
    <t>TCNU1931359</t>
  </si>
  <si>
    <t>MSKU0949693</t>
  </si>
  <si>
    <t>MSKU1321680</t>
  </si>
  <si>
    <t>MRKU2078470</t>
  </si>
  <si>
    <t>00015039</t>
  </si>
  <si>
    <t>00015056</t>
  </si>
  <si>
    <t>00015026</t>
  </si>
  <si>
    <t>00015075</t>
  </si>
  <si>
    <t>00015031</t>
  </si>
  <si>
    <t>00015057</t>
  </si>
  <si>
    <t>00015027</t>
  </si>
  <si>
    <t>00015076</t>
  </si>
  <si>
    <t>00015032</t>
  </si>
  <si>
    <t>HLCUBSC250902942</t>
  </si>
  <si>
    <t>HAMU1472120</t>
  </si>
  <si>
    <t>UACU5833650</t>
  </si>
  <si>
    <t>CAIU4407296</t>
  </si>
  <si>
    <t>FANU1717292</t>
  </si>
  <si>
    <t>HAMU4005638</t>
  </si>
  <si>
    <t>TGHU9542735</t>
  </si>
  <si>
    <t>HLBU1437068</t>
  </si>
  <si>
    <t>HAMU4635745</t>
  </si>
  <si>
    <t>E-DEPOT TÂN BÌNH</t>
  </si>
  <si>
    <t>00124639</t>
  </si>
  <si>
    <t>00124165
00149714</t>
  </si>
  <si>
    <t>ZIMUORF9089116</t>
  </si>
  <si>
    <t>ZCSU7647452</t>
  </si>
  <si>
    <t>00031193</t>
  </si>
  <si>
    <t>OOLU2311537840</t>
  </si>
  <si>
    <t>UETU5268894</t>
  </si>
  <si>
    <t>BSIU9532716</t>
  </si>
  <si>
    <t>CSNU6513612</t>
  </si>
  <si>
    <t>TGBU8848457</t>
  </si>
  <si>
    <t>CSNU8917085</t>
  </si>
  <si>
    <t>TÂM CẢNG THỦ ĐỨC</t>
  </si>
  <si>
    <t>00073725</t>
  </si>
  <si>
    <t>00073523</t>
  </si>
  <si>
    <t>00073607</t>
  </si>
  <si>
    <t>00073815</t>
  </si>
  <si>
    <t>MRKU4489486</t>
  </si>
  <si>
    <t>MSKU8760730</t>
  </si>
  <si>
    <t>00127442</t>
  </si>
  <si>
    <t>MRSU4119632</t>
  </si>
  <si>
    <t>BEAU5025293</t>
  </si>
  <si>
    <t>GAOU7180923</t>
  </si>
  <si>
    <t>00128107</t>
  </si>
  <si>
    <t>00015294</t>
  </si>
  <si>
    <t>00015293</t>
  </si>
  <si>
    <t>MRKU4942186</t>
  </si>
  <si>
    <t>PHÚ GIAO, BÌNH DƯƠNG</t>
  </si>
  <si>
    <t>00128101</t>
  </si>
  <si>
    <t>MRKU6112064</t>
  </si>
  <si>
    <t>00128083</t>
  </si>
  <si>
    <t>HLCUBSC2509ARII8</t>
  </si>
  <si>
    <t>UACU5891908</t>
  </si>
  <si>
    <t>FFAU5459016</t>
  </si>
  <si>
    <t>FANU1423786</t>
  </si>
  <si>
    <t>HAMU2149575</t>
  </si>
  <si>
    <t>TRHU4957664</t>
  </si>
  <si>
    <t>HAMU4217257</t>
  </si>
  <si>
    <t>CIMC LOGISTICS(NGUYỄN XIỂN)</t>
  </si>
  <si>
    <t>00007994</t>
  </si>
  <si>
    <t>00415071</t>
  </si>
  <si>
    <t>NAM7782215</t>
  </si>
  <si>
    <t>BEAU6132763</t>
  </si>
  <si>
    <t>51D-08191</t>
  </si>
  <si>
    <t>FFAU5221964</t>
  </si>
  <si>
    <t>50E-39877</t>
  </si>
  <si>
    <t>00001421</t>
  </si>
  <si>
    <t>NAM7970884</t>
  </si>
  <si>
    <t>TEMU7523077</t>
  </si>
  <si>
    <t>50H-17836</t>
  </si>
  <si>
    <t>APZU4694085</t>
  </si>
  <si>
    <t>51C-06433</t>
  </si>
  <si>
    <t>00415238</t>
  </si>
  <si>
    <t>COSU6426457430</t>
  </si>
  <si>
    <t>TRHU5830988</t>
  </si>
  <si>
    <t>51C-45422</t>
  </si>
  <si>
    <t>TLLU5728802</t>
  </si>
  <si>
    <t>50H-30559</t>
  </si>
  <si>
    <t>TGBU5632058</t>
  </si>
  <si>
    <t>50H-45385</t>
  </si>
  <si>
    <t>UETU5409544</t>
  </si>
  <si>
    <t>50H-10357</t>
  </si>
  <si>
    <t>00129924</t>
  </si>
  <si>
    <t>00129978</t>
  </si>
  <si>
    <t>00129970</t>
  </si>
  <si>
    <t>00015292</t>
  </si>
  <si>
    <t>00015291</t>
  </si>
  <si>
    <t>TIIU5790598</t>
  </si>
  <si>
    <t>TIIU6439839</t>
  </si>
  <si>
    <t>CSNU7031106</t>
  </si>
  <si>
    <t>OOCU7114080</t>
  </si>
  <si>
    <t xml:space="preserve">	00415018</t>
  </si>
  <si>
    <t>COAU7263424980</t>
  </si>
  <si>
    <t>CSNU6994360</t>
  </si>
  <si>
    <t>51C-77950</t>
  </si>
  <si>
    <t>00141471</t>
  </si>
  <si>
    <t>TEMU8114242</t>
  </si>
  <si>
    <t>60C-34966</t>
  </si>
  <si>
    <t>MSKU1599120</t>
  </si>
  <si>
    <t>51D-66204</t>
  </si>
  <si>
    <t>00015530</t>
  </si>
  <si>
    <t>00015515</t>
  </si>
  <si>
    <t>MRKU4998251</t>
  </si>
  <si>
    <t>MRSU3957672</t>
  </si>
  <si>
    <t>CAAU8263321</t>
  </si>
  <si>
    <t>HASU4520861</t>
  </si>
  <si>
    <t>MRSU3828567</t>
  </si>
  <si>
    <t>00128461</t>
  </si>
  <si>
    <t>00128639</t>
  </si>
  <si>
    <t>00128457</t>
  </si>
  <si>
    <t>00128504</t>
  </si>
  <si>
    <t>00128495</t>
  </si>
  <si>
    <t>TCNU6735359</t>
  </si>
  <si>
    <t>REUSE KHO NĂM CHÂU</t>
  </si>
  <si>
    <t>00302489</t>
  </si>
  <si>
    <t>00015531</t>
  </si>
  <si>
    <t>00015514</t>
  </si>
  <si>
    <t>TCKU6364079</t>
  </si>
  <si>
    <t>CMZ1705798</t>
  </si>
  <si>
    <t>KHO MING SHUN</t>
  </si>
  <si>
    <t>TÂN UYÊN, BÌNH DƯƠNG</t>
  </si>
  <si>
    <t>00008109</t>
  </si>
  <si>
    <t>OOLU2762792976</t>
  </si>
  <si>
    <t>CSNU8492632</t>
  </si>
  <si>
    <t>SINOVNL CÁT LÁI</t>
  </si>
  <si>
    <t>00149295</t>
  </si>
  <si>
    <t>00401557</t>
  </si>
  <si>
    <t>FFAU3037860</t>
  </si>
  <si>
    <t>CSNU7555865</t>
  </si>
  <si>
    <t>CSNU6159880</t>
  </si>
  <si>
    <t>FFAU3160284</t>
  </si>
  <si>
    <t>50H-173.34</t>
  </si>
  <si>
    <t>50H-17288</t>
  </si>
  <si>
    <t>50H-188.03</t>
  </si>
  <si>
    <t>00070609</t>
  </si>
  <si>
    <t>00070563</t>
  </si>
  <si>
    <t>00070504</t>
  </si>
  <si>
    <t>00070809</t>
  </si>
  <si>
    <t>NAM7945113</t>
  </si>
  <si>
    <t>CMAU6905599</t>
  </si>
  <si>
    <t>TCNU3375480</t>
  </si>
  <si>
    <t>50H-18686</t>
  </si>
  <si>
    <t>FFAU4554066</t>
  </si>
  <si>
    <t>CHÂN THẬT TÂY NAM BÌNH DƯƠNG</t>
  </si>
  <si>
    <t xml:space="preserve"> REUSE TRIỆU VƯỢNG</t>
  </si>
  <si>
    <t>WFLHCMTXG25100054</t>
  </si>
  <si>
    <t>WFTU2015557</t>
  </si>
  <si>
    <t>BEAU4396263</t>
  </si>
  <si>
    <t>61C-35796</t>
  </si>
  <si>
    <t>CIPU5186533</t>
  </si>
  <si>
    <t>61C-43753</t>
  </si>
  <si>
    <t>CIPU5189975</t>
  </si>
  <si>
    <t>61H-15972</t>
  </si>
  <si>
    <t>WFTU2016039</t>
  </si>
  <si>
    <t>61H13442</t>
  </si>
  <si>
    <t>00416056</t>
  </si>
  <si>
    <t>00415320</t>
  </si>
  <si>
    <t>00415527</t>
  </si>
  <si>
    <t>00415654</t>
  </si>
  <si>
    <t>00415749</t>
  </si>
  <si>
    <t>COSU6428879090</t>
  </si>
  <si>
    <t>FSCU8675165</t>
  </si>
  <si>
    <t>FFAU3251297</t>
  </si>
  <si>
    <t>CSNU6822313</t>
  </si>
  <si>
    <t>00229284</t>
  </si>
  <si>
    <t>00229324</t>
  </si>
  <si>
    <t>00229272</t>
  </si>
  <si>
    <t>CSNU7273774</t>
  </si>
  <si>
    <t>SEGU6827551</t>
  </si>
  <si>
    <t>CCLU7450254</t>
  </si>
  <si>
    <t>BSIU9573757</t>
  </si>
  <si>
    <t>MSKU1903022</t>
  </si>
  <si>
    <t>CAAU6605019</t>
  </si>
  <si>
    <t>CAAU6583080</t>
  </si>
  <si>
    <t>SOWATCO LONG BÌNH DEPOT</t>
  </si>
  <si>
    <t>YMJAI226462815</t>
  </si>
  <si>
    <t>YMMU6244568</t>
  </si>
  <si>
    <t>KHO EVERCREST</t>
  </si>
  <si>
    <t>Thủ Dầu Một, Bình Dương</t>
  </si>
  <si>
    <t>00062111</t>
  </si>
  <si>
    <t>CBHU9472118</t>
  </si>
  <si>
    <t>KHO MỸ PHƯỚC 3</t>
  </si>
  <si>
    <t>BẾN CÁT, BÌNH DƯƠNG</t>
  </si>
  <si>
    <t>SNLFHMCL013812</t>
  </si>
  <si>
    <t>FCIU7238325</t>
  </si>
  <si>
    <t>SLPU5020000</t>
  </si>
  <si>
    <t>00418875</t>
  </si>
  <si>
    <t>00418847</t>
  </si>
  <si>
    <t>YMJAI226462816</t>
  </si>
  <si>
    <t>TRHU4797334</t>
  </si>
  <si>
    <t>ONEYRICFEL177600</t>
  </si>
  <si>
    <t>00008134</t>
  </si>
  <si>
    <t>REUSE MỸ PHƯỚC 3</t>
  </si>
  <si>
    <t>TRHU5822880</t>
  </si>
  <si>
    <t>TGBU4906405</t>
  </si>
  <si>
    <t>00417845</t>
  </si>
  <si>
    <t>00417982</t>
  </si>
  <si>
    <t>TCNU3918490</t>
  </si>
  <si>
    <t>00062074</t>
  </si>
  <si>
    <t>HXCGHMDG25007004</t>
  </si>
  <si>
    <t>CAAU9409370</t>
  </si>
  <si>
    <t>SELU4189845</t>
  </si>
  <si>
    <t>CAAU8387786</t>
  </si>
  <si>
    <t>CAAU8741082</t>
  </si>
  <si>
    <t>CAAU9409196</t>
  </si>
  <si>
    <t>KHO HOA MẬU</t>
  </si>
  <si>
    <t>SITC GIANG NAM</t>
  </si>
  <si>
    <t>FSCU8660247</t>
  </si>
  <si>
    <t>00306255</t>
  </si>
  <si>
    <t>ZIMUORF9090126</t>
  </si>
  <si>
    <t>ZCSU6694594</t>
  </si>
  <si>
    <t>00032174</t>
  </si>
  <si>
    <t>NĂM CHÂU</t>
  </si>
  <si>
    <t>MSKU0798914</t>
  </si>
  <si>
    <t>54417-51C</t>
  </si>
  <si>
    <t>rich wood</t>
  </si>
  <si>
    <t>TCKU7317657</t>
  </si>
  <si>
    <t>00130125</t>
  </si>
  <si>
    <t>00003304</t>
  </si>
  <si>
    <t>641-51C-3</t>
  </si>
  <si>
    <t>513-50H-2</t>
  </si>
  <si>
    <t>50H-03900</t>
  </si>
  <si>
    <t>51C-54417</t>
  </si>
  <si>
    <t>COSU6428643840</t>
  </si>
  <si>
    <t>FCIU7193318</t>
  </si>
  <si>
    <t>OOLU9787189</t>
  </si>
  <si>
    <t>03609-50H</t>
  </si>
  <si>
    <t>00232382</t>
  </si>
  <si>
    <t>JXLU6166370</t>
  </si>
  <si>
    <t>FSCU8225996</t>
  </si>
  <si>
    <t>ZCSU6782930</t>
  </si>
  <si>
    <t>00032591</t>
  </si>
  <si>
    <t>00032732</t>
  </si>
  <si>
    <t>00032659</t>
  </si>
  <si>
    <t>TLLU5340231</t>
  </si>
  <si>
    <t>MSKU1147840</t>
  </si>
  <si>
    <t>00016116</t>
  </si>
  <si>
    <t>00016141</t>
  </si>
  <si>
    <t>HASU5127592</t>
  </si>
  <si>
    <t>CAAU8937985</t>
  </si>
  <si>
    <t>MRSU4880127</t>
  </si>
  <si>
    <t>FFAU5154418</t>
  </si>
  <si>
    <t>SEKU6920294</t>
  </si>
  <si>
    <t>HASU5203429</t>
  </si>
  <si>
    <t>00131294</t>
  </si>
  <si>
    <t>00131650</t>
  </si>
  <si>
    <t>00131411</t>
  </si>
  <si>
    <t>00016140</t>
  </si>
  <si>
    <t>00131680</t>
  </si>
  <si>
    <t>00131675</t>
  </si>
  <si>
    <t>CCLU7603820</t>
  </si>
  <si>
    <t>TGBU4076355</t>
  </si>
  <si>
    <t>00308990</t>
  </si>
  <si>
    <t>00309152</t>
  </si>
  <si>
    <t>OOLU2764513170</t>
  </si>
  <si>
    <t>CSNU6344087</t>
  </si>
  <si>
    <t>CBHU7083884</t>
  </si>
  <si>
    <t>CXDU1047894</t>
  </si>
  <si>
    <t xml:space="preserve">	00018181</t>
  </si>
  <si>
    <t>00424886</t>
  </si>
  <si>
    <t xml:space="preserve">	00424925</t>
  </si>
  <si>
    <t>MSKU1260190</t>
  </si>
  <si>
    <t>MSKU8604609</t>
  </si>
  <si>
    <t>HASU4199577</t>
  </si>
  <si>
    <t>MRSU5531963</t>
  </si>
  <si>
    <t>00131652</t>
  </si>
  <si>
    <t>00131685</t>
  </si>
  <si>
    <t>00131686</t>
  </si>
  <si>
    <t>00131676</t>
  </si>
  <si>
    <t>00131583</t>
  </si>
  <si>
    <t>CAAU5379149</t>
  </si>
  <si>
    <t>00008297</t>
  </si>
  <si>
    <t>UETU5221583</t>
  </si>
  <si>
    <t>FFAU2046739</t>
  </si>
  <si>
    <t>FFAU3442360</t>
  </si>
  <si>
    <t xml:space="preserve">	00309727</t>
  </si>
  <si>
    <t>CSNU7244950</t>
  </si>
  <si>
    <t>00309637</t>
  </si>
  <si>
    <t xml:space="preserve">	00309306</t>
  </si>
  <si>
    <t xml:space="preserve">	00309684</t>
  </si>
  <si>
    <t xml:space="preserve">	00309151</t>
  </si>
  <si>
    <t>KHO NATURAL</t>
  </si>
  <si>
    <t>MAGU5587087</t>
  </si>
  <si>
    <t>45301-51C</t>
  </si>
  <si>
    <t xml:space="preserve">	00309204</t>
  </si>
  <si>
    <t>CAAU6930913</t>
  </si>
  <si>
    <t>TÂN CẢNG MỸ THỦY</t>
  </si>
  <si>
    <t>OOLU2765123900</t>
  </si>
  <si>
    <t>OOLU9408140</t>
  </si>
  <si>
    <t>03629-50H</t>
  </si>
  <si>
    <t>TCNU3461486</t>
  </si>
  <si>
    <t>HASU4415526</t>
  </si>
  <si>
    <t>SOGLOG PHÚ HỮU</t>
  </si>
  <si>
    <t>00001694</t>
  </si>
  <si>
    <t>00001693</t>
  </si>
  <si>
    <t>00132099</t>
  </si>
  <si>
    <t>REUSE TRIỆU VƯỢNG</t>
  </si>
  <si>
    <t>TGHU6413483</t>
  </si>
  <si>
    <t>CBHU8969347</t>
  </si>
  <si>
    <t>50LD-18417</t>
  </si>
  <si>
    <t>CSLU6168381</t>
  </si>
  <si>
    <t>00075814</t>
  </si>
  <si>
    <t>00075803</t>
  </si>
  <si>
    <t>00075781</t>
  </si>
  <si>
    <t xml:space="preserve">	00426837</t>
  </si>
  <si>
    <t>NAM7992753</t>
  </si>
  <si>
    <t>TEMU8435746</t>
  </si>
  <si>
    <t>77C-15305</t>
  </si>
  <si>
    <t>TCNU2876472</t>
  </si>
  <si>
    <t>TCLU1870066</t>
  </si>
  <si>
    <t>TRHU8916010</t>
  </si>
  <si>
    <t>SEGU4694932</t>
  </si>
  <si>
    <t>KHO SAIYANG</t>
  </si>
  <si>
    <t xml:space="preserve">	00424731</t>
  </si>
  <si>
    <t xml:space="preserve">	00425454</t>
  </si>
  <si>
    <t xml:space="preserve">	00424178</t>
  </si>
  <si>
    <t xml:space="preserve">	00424245</t>
  </si>
  <si>
    <t xml:space="preserve">	00424304</t>
  </si>
  <si>
    <t>00232453</t>
  </si>
  <si>
    <t>YMJAI245327516</t>
  </si>
  <si>
    <t>TCNU4696649</t>
  </si>
  <si>
    <t>KHO TOÀN THÀNH</t>
  </si>
  <si>
    <t>STRAIGHTWAY</t>
  </si>
  <si>
    <t>00009509</t>
  </si>
  <si>
    <t>0350752</t>
  </si>
  <si>
    <t>HASU4284489</t>
  </si>
  <si>
    <t>GAOU7118357</t>
  </si>
  <si>
    <t>FCLU9600989</t>
  </si>
  <si>
    <t>MRKU3869060</t>
  </si>
  <si>
    <t>MRSU4814974</t>
  </si>
  <si>
    <t>CIPU5085409</t>
  </si>
  <si>
    <t>NAM KHÁNH DEPOT SÓNG THẦN</t>
  </si>
  <si>
    <t>00133330</t>
  </si>
  <si>
    <t>00133519</t>
  </si>
  <si>
    <t>00133452</t>
  </si>
  <si>
    <t>00133488</t>
  </si>
  <si>
    <t>00133655</t>
  </si>
  <si>
    <t>00131678</t>
  </si>
  <si>
    <t>TGBU8853875</t>
  </si>
  <si>
    <t>00077073</t>
  </si>
  <si>
    <t>CSNU7547350</t>
  </si>
  <si>
    <t>MRSU4339133</t>
  </si>
  <si>
    <t>TCNU6896097</t>
  </si>
  <si>
    <t>HASU4591295</t>
  </si>
  <si>
    <t>51D-65301</t>
  </si>
  <si>
    <t>50H-04981</t>
  </si>
  <si>
    <t>'00128466</t>
  </si>
  <si>
    <t>00128806</t>
  </si>
  <si>
    <t>JXLU4682362</t>
  </si>
  <si>
    <t>00032860</t>
  </si>
  <si>
    <t>Chúng tôi xác nhận công nợ vận chuyển tháng 11/2025 như sau:</t>
  </si>
  <si>
    <t>00070430</t>
  </si>
  <si>
    <t>0073716</t>
  </si>
  <si>
    <t>21/11/2025</t>
  </si>
  <si>
    <t>CHUYỂN KHO MOOR SÀN</t>
  </si>
  <si>
    <t>KHÔNG CÓ SỐ CONT</t>
  </si>
  <si>
    <t>50E-32583</t>
  </si>
  <si>
    <t>51C-59767</t>
  </si>
  <si>
    <t>Kho Huize Wood</t>
  </si>
  <si>
    <t>Tân Uyên, Bình Dương-Thuân An, Bình Dương</t>
  </si>
  <si>
    <t>T10/2025 Cước Năm Châu tính nhầm cước Cảnh Lâm số cont TWCU8131061 5tr3-4tr5=800k+ vat 64k</t>
  </si>
  <si>
    <t>CHUYỂN KHO</t>
  </si>
  <si>
    <t xml:space="preserve">Chuyển kho </t>
  </si>
  <si>
    <t xml:space="preserve">Cước vận chuyển từ Tân Uyên, Bình Dương-Thuân An, Bình Dương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</si>
</sst>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-* #,##0\ _€_-;\-* #,##0\ _€_-;_-* &quot;-&quot;??\ _€_-;_-@"/>
    <numFmt numFmtId="166" formatCode="mm\/dd\/yyyy"/>
    <numFmt numFmtId="167" formatCode="_ * #,##0_ ;_ * \-#,##0_ ;_ * &quot;-&quot;??_ ;_ @_ "/>
    <numFmt numFmtId="168" formatCode="#,##0;\(#,##0\)"/>
    <numFmt numFmtId="169" formatCode="[$-1010000]d/m/yyyy;@"/>
    <numFmt numFmtId="170" formatCode="0;[Red]0"/>
  </numFmts>
  <fonts count="17" x14ac:knownFonts="1">
    <font>
      <sz val="11"/>
      <color theme="1"/>
      <name val="Calibri"/>
      <charset val="134"/>
      <scheme val="minor"/>
    </font>
    <font>
      <b/>
      <sz val="13"/>
      <name val="Arial"/>
      <family val="2"/>
    </font>
    <font>
      <sz val="13"/>
      <name val="Arial"/>
      <family val="2"/>
    </font>
    <font>
      <sz val="13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3A3A3A"/>
      <name val="Times New Roman"/>
      <family val="1"/>
    </font>
    <font>
      <sz val="13"/>
      <color rgb="FFFF0000"/>
      <name val="Times New Roman"/>
      <family val="1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2"/>
      <name val="Times New Roman"/>
      <family val="1"/>
    </font>
    <font>
      <sz val="13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0" fontId="5" fillId="0" borderId="0"/>
    <xf numFmtId="0" fontId="6" fillId="0" borderId="0"/>
  </cellStyleXfs>
  <cellXfs count="30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49" fontId="2" fillId="2" borderId="0" xfId="0" applyNumberFormat="1" applyFont="1" applyFill="1"/>
    <xf numFmtId="164" fontId="2" fillId="2" borderId="0" xfId="1" applyNumberFormat="1" applyFont="1" applyFill="1"/>
    <xf numFmtId="0" fontId="2" fillId="2" borderId="0" xfId="3" applyFont="1" applyFill="1" applyAlignment="1">
      <alignment horizontal="center" vertical="center"/>
    </xf>
    <xf numFmtId="14" fontId="2" fillId="2" borderId="0" xfId="3" applyNumberFormat="1" applyFont="1" applyFill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0" xfId="3" applyFont="1" applyFill="1" applyAlignment="1">
      <alignment horizontal="center" vertical="center" wrapText="1"/>
    </xf>
    <xf numFmtId="0" fontId="1" fillId="2" borderId="0" xfId="3" applyFont="1" applyFill="1" applyAlignment="1">
      <alignment horizontal="center" vertical="center"/>
    </xf>
    <xf numFmtId="14" fontId="2" fillId="2" borderId="0" xfId="3" applyNumberFormat="1" applyFont="1" applyFill="1" applyAlignment="1">
      <alignment horizontal="center" vertical="center"/>
    </xf>
    <xf numFmtId="0" fontId="2" fillId="2" borderId="0" xfId="3" applyFont="1" applyFill="1" applyAlignment="1">
      <alignment vertical="top"/>
    </xf>
    <xf numFmtId="0" fontId="2" fillId="2" borderId="0" xfId="3" applyFont="1" applyFill="1" applyAlignment="1">
      <alignment vertical="center"/>
    </xf>
    <xf numFmtId="0" fontId="2" fillId="2" borderId="0" xfId="3" applyFont="1" applyFill="1" applyAlignment="1">
      <alignment horizontal="center" vertical="top" wrapText="1"/>
    </xf>
    <xf numFmtId="0" fontId="2" fillId="2" borderId="0" xfId="3" applyFont="1" applyFill="1" applyAlignment="1">
      <alignment horizontal="left" vertical="top"/>
    </xf>
    <xf numFmtId="14" fontId="2" fillId="2" borderId="0" xfId="3" applyNumberFormat="1" applyFont="1" applyFill="1" applyAlignment="1">
      <alignment horizontal="left" vertical="top"/>
    </xf>
    <xf numFmtId="165" fontId="2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vertical="top" wrapText="1" readingOrder="1"/>
    </xf>
    <xf numFmtId="0" fontId="2" fillId="2" borderId="0" xfId="3" applyFont="1" applyFill="1" applyAlignment="1">
      <alignment horizontal="left" vertical="center"/>
    </xf>
    <xf numFmtId="14" fontId="2" fillId="2" borderId="0" xfId="3" applyNumberFormat="1" applyFont="1" applyFill="1" applyAlignment="1">
      <alignment horizontal="left" vertical="center"/>
    </xf>
    <xf numFmtId="0" fontId="1" fillId="2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2" fillId="2" borderId="0" xfId="3" applyFont="1" applyFill="1"/>
    <xf numFmtId="49" fontId="2" fillId="2" borderId="0" xfId="3" applyNumberFormat="1" applyFont="1" applyFill="1"/>
    <xf numFmtId="49" fontId="2" fillId="2" borderId="0" xfId="3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0" fontId="2" fillId="2" borderId="0" xfId="3" applyFont="1" applyFill="1" applyAlignment="1">
      <alignment horizontal="center" vertical="top"/>
    </xf>
    <xf numFmtId="49" fontId="2" fillId="2" borderId="0" xfId="3" applyNumberFormat="1" applyFont="1" applyFill="1" applyAlignment="1">
      <alignment vertical="top"/>
    </xf>
    <xf numFmtId="164" fontId="2" fillId="2" borderId="0" xfId="1" applyNumberFormat="1" applyFont="1" applyFill="1" applyAlignment="1">
      <alignment vertical="top"/>
    </xf>
    <xf numFmtId="165" fontId="2" fillId="2" borderId="0" xfId="3" applyNumberFormat="1" applyFont="1" applyFill="1" applyAlignment="1">
      <alignment vertical="center"/>
    </xf>
    <xf numFmtId="165" fontId="2" fillId="2" borderId="0" xfId="3" applyNumberFormat="1" applyFont="1" applyFill="1" applyAlignment="1">
      <alignment horizontal="center" vertical="center"/>
    </xf>
    <xf numFmtId="49" fontId="2" fillId="2" borderId="0" xfId="3" applyNumberFormat="1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49" fontId="2" fillId="2" borderId="0" xfId="3" applyNumberFormat="1" applyFont="1" applyFill="1" applyAlignment="1">
      <alignment horizontal="left" vertical="center"/>
    </xf>
    <xf numFmtId="164" fontId="2" fillId="2" borderId="0" xfId="1" applyNumberFormat="1" applyFont="1" applyFill="1" applyAlignment="1">
      <alignment horizontal="left" vertical="center"/>
    </xf>
    <xf numFmtId="167" fontId="1" fillId="2" borderId="1" xfId="3" applyNumberFormat="1" applyFont="1" applyFill="1" applyBorder="1" applyAlignment="1">
      <alignment horizontal="center" vertical="center" wrapText="1"/>
    </xf>
    <xf numFmtId="167" fontId="1" fillId="2" borderId="5" xfId="3" applyNumberFormat="1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49" fontId="2" fillId="2" borderId="1" xfId="3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7" fontId="2" fillId="2" borderId="1" xfId="3" applyNumberFormat="1" applyFont="1" applyFill="1" applyBorder="1" applyAlignment="1">
      <alignment horizontal="center" vertical="center" wrapText="1"/>
    </xf>
    <xf numFmtId="0" fontId="1" fillId="2" borderId="0" xfId="3" applyFont="1" applyFill="1" applyAlignment="1">
      <alignment vertical="top"/>
    </xf>
    <xf numFmtId="0" fontId="1" fillId="2" borderId="0" xfId="3" applyFont="1" applyFill="1" applyAlignment="1">
      <alignment horizontal="left" vertical="center"/>
    </xf>
    <xf numFmtId="164" fontId="1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8" fontId="1" fillId="2" borderId="1" xfId="3" applyNumberFormat="1" applyFont="1" applyFill="1" applyBorder="1" applyAlignment="1">
      <alignment horizontal="center" vertical="center"/>
    </xf>
    <xf numFmtId="168" fontId="1" fillId="2" borderId="1" xfId="3" applyNumberFormat="1" applyFont="1" applyFill="1" applyBorder="1" applyAlignment="1">
      <alignment vertical="center"/>
    </xf>
    <xf numFmtId="168" fontId="1" fillId="2" borderId="1" xfId="3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14" fontId="1" fillId="2" borderId="0" xfId="3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4" fontId="2" fillId="2" borderId="0" xfId="3" applyNumberFormat="1" applyFont="1" applyFill="1" applyAlignment="1">
      <alignment vertical="center"/>
    </xf>
    <xf numFmtId="0" fontId="1" fillId="2" borderId="0" xfId="3" applyFont="1" applyFill="1" applyAlignment="1">
      <alignment vertical="center"/>
    </xf>
    <xf numFmtId="164" fontId="1" fillId="2" borderId="0" xfId="3" applyNumberFormat="1" applyFont="1" applyFill="1" applyAlignment="1">
      <alignment vertical="center"/>
    </xf>
    <xf numFmtId="0" fontId="1" fillId="2" borderId="0" xfId="3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49" fontId="1" fillId="2" borderId="1" xfId="3" applyNumberFormat="1" applyFont="1" applyFill="1" applyBorder="1" applyAlignment="1">
      <alignment vertical="center"/>
    </xf>
    <xf numFmtId="164" fontId="1" fillId="2" borderId="1" xfId="1" applyNumberFormat="1" applyFont="1" applyFill="1" applyBorder="1" applyAlignment="1">
      <alignment vertical="center"/>
    </xf>
    <xf numFmtId="49" fontId="1" fillId="2" borderId="0" xfId="3" applyNumberFormat="1" applyFont="1" applyFill="1" applyAlignment="1">
      <alignment vertical="center"/>
    </xf>
    <xf numFmtId="164" fontId="1" fillId="2" borderId="0" xfId="1" applyNumberFormat="1" applyFont="1" applyFill="1" applyAlignment="1">
      <alignment vertical="center"/>
    </xf>
    <xf numFmtId="3" fontId="1" fillId="2" borderId="0" xfId="3" applyNumberFormat="1" applyFont="1" applyFill="1" applyAlignment="1">
      <alignment vertical="center"/>
    </xf>
    <xf numFmtId="3" fontId="1" fillId="2" borderId="0" xfId="3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3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 wrapText="1"/>
    </xf>
    <xf numFmtId="49" fontId="2" fillId="3" borderId="1" xfId="3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167" fontId="2" fillId="3" borderId="1" xfId="3" applyNumberFormat="1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49" fontId="2" fillId="4" borderId="1" xfId="3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167" fontId="2" fillId="4" borderId="1" xfId="3" applyNumberFormat="1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 wrapText="1"/>
    </xf>
    <xf numFmtId="49" fontId="2" fillId="5" borderId="1" xfId="3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167" fontId="2" fillId="5" borderId="1" xfId="3" applyNumberFormat="1" applyFont="1" applyFill="1" applyBorder="1" applyAlignment="1">
      <alignment horizontal="center" vertical="center" wrapText="1"/>
    </xf>
    <xf numFmtId="164" fontId="2" fillId="3" borderId="1" xfId="1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2" fillId="3" borderId="0" xfId="0" applyFont="1" applyFill="1" applyAlignment="1">
      <alignment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/>
    </xf>
    <xf numFmtId="1" fontId="2" fillId="2" borderId="0" xfId="0" quotePrefix="1" applyNumberFormat="1" applyFont="1" applyFill="1"/>
    <xf numFmtId="0" fontId="2" fillId="2" borderId="0" xfId="3" quotePrefix="1" applyFont="1" applyFill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7" fontId="7" fillId="2" borderId="1" xfId="3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 wrapText="1"/>
    </xf>
    <xf numFmtId="167" fontId="7" fillId="0" borderId="1" xfId="3" applyNumberFormat="1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10" fillId="0" borderId="1" xfId="1" applyNumberFormat="1" applyFont="1" applyFill="1" applyBorder="1" applyAlignment="1">
      <alignment horizontal="center" vertical="center" wrapText="1"/>
    </xf>
    <xf numFmtId="167" fontId="10" fillId="0" borderId="1" xfId="3" applyNumberFormat="1" applyFont="1" applyBorder="1" applyAlignment="1">
      <alignment horizontal="center" vertical="center" wrapText="1"/>
    </xf>
    <xf numFmtId="169" fontId="7" fillId="8" borderId="1" xfId="2" applyNumberFormat="1" applyFont="1" applyFill="1" applyBorder="1" applyAlignment="1">
      <alignment horizontal="center"/>
    </xf>
    <xf numFmtId="0" fontId="7" fillId="8" borderId="1" xfId="2" applyFont="1" applyFill="1" applyBorder="1" applyAlignment="1">
      <alignment horizontal="center"/>
    </xf>
    <xf numFmtId="170" fontId="7" fillId="8" borderId="1" xfId="2" applyNumberFormat="1" applyFont="1" applyFill="1" applyBorder="1" applyAlignment="1">
      <alignment horizontal="center"/>
    </xf>
    <xf numFmtId="1" fontId="7" fillId="8" borderId="1" xfId="2" applyNumberFormat="1" applyFont="1" applyFill="1" applyBorder="1" applyAlignment="1">
      <alignment horizontal="center"/>
    </xf>
    <xf numFmtId="3" fontId="7" fillId="8" borderId="1" xfId="2" applyNumberFormat="1" applyFont="1" applyFill="1" applyBorder="1" applyAlignment="1">
      <alignment horizontal="center"/>
    </xf>
    <xf numFmtId="169" fontId="7" fillId="2" borderId="1" xfId="2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170" fontId="7" fillId="2" borderId="1" xfId="2" applyNumberFormat="1" applyFont="1" applyFill="1" applyBorder="1" applyAlignment="1">
      <alignment horizontal="center"/>
    </xf>
    <xf numFmtId="1" fontId="7" fillId="2" borderId="1" xfId="2" applyNumberFormat="1" applyFont="1" applyFill="1" applyBorder="1" applyAlignment="1">
      <alignment horizontal="center"/>
    </xf>
    <xf numFmtId="3" fontId="7" fillId="2" borderId="1" xfId="2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7" fontId="7" fillId="2" borderId="1" xfId="3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11" fontId="9" fillId="0" borderId="0" xfId="0" applyNumberFormat="1" applyFont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49" fontId="7" fillId="0" borderId="1" xfId="3" quotePrefix="1" applyNumberFormat="1" applyFont="1" applyBorder="1" applyAlignment="1">
      <alignment horizontal="center" vertical="center" wrapText="1"/>
    </xf>
    <xf numFmtId="167" fontId="7" fillId="0" borderId="1" xfId="3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14" fontId="7" fillId="0" borderId="0" xfId="3" applyNumberFormat="1" applyFont="1" applyAlignment="1">
      <alignment horizontal="center"/>
    </xf>
    <xf numFmtId="0" fontId="7" fillId="0" borderId="0" xfId="3" applyFont="1" applyAlignment="1">
      <alignment horizontal="center"/>
    </xf>
    <xf numFmtId="0" fontId="7" fillId="0" borderId="0" xfId="3" applyFont="1" applyAlignment="1">
      <alignment horizontal="center" vertical="center" wrapText="1"/>
    </xf>
    <xf numFmtId="0" fontId="7" fillId="0" borderId="0" xfId="3" applyFont="1"/>
    <xf numFmtId="49" fontId="7" fillId="0" borderId="0" xfId="3" applyNumberFormat="1" applyFont="1"/>
    <xf numFmtId="164" fontId="7" fillId="0" borderId="0" xfId="1" applyNumberFormat="1" applyFont="1" applyFill="1"/>
    <xf numFmtId="0" fontId="7" fillId="0" borderId="0" xfId="0" applyFont="1"/>
    <xf numFmtId="0" fontId="8" fillId="0" borderId="0" xfId="3" applyFont="1" applyAlignment="1">
      <alignment horizontal="center" vertical="center"/>
    </xf>
    <xf numFmtId="14" fontId="7" fillId="0" borderId="0" xfId="3" applyNumberFormat="1" applyFont="1" applyAlignment="1">
      <alignment horizontal="center" vertical="center"/>
    </xf>
    <xf numFmtId="49" fontId="7" fillId="0" borderId="0" xfId="3" applyNumberFormat="1" applyFont="1" applyAlignment="1">
      <alignment horizontal="center" vertical="center"/>
    </xf>
    <xf numFmtId="164" fontId="7" fillId="0" borderId="0" xfId="1" applyNumberFormat="1" applyFont="1" applyFill="1" applyAlignment="1">
      <alignment horizontal="center" vertical="center"/>
    </xf>
    <xf numFmtId="0" fontId="7" fillId="0" borderId="0" xfId="3" applyFont="1" applyAlignment="1">
      <alignment vertical="top"/>
    </xf>
    <xf numFmtId="0" fontId="7" fillId="0" borderId="0" xfId="3" applyFont="1" applyAlignment="1">
      <alignment horizontal="center" vertical="top"/>
    </xf>
    <xf numFmtId="49" fontId="7" fillId="0" borderId="0" xfId="3" applyNumberFormat="1" applyFont="1" applyAlignment="1">
      <alignment vertical="top"/>
    </xf>
    <xf numFmtId="164" fontId="7" fillId="0" borderId="0" xfId="1" applyNumberFormat="1" applyFont="1" applyFill="1" applyAlignment="1">
      <alignment vertical="top"/>
    </xf>
    <xf numFmtId="0" fontId="8" fillId="0" borderId="0" xfId="3" applyFont="1" applyAlignment="1">
      <alignment vertical="top"/>
    </xf>
    <xf numFmtId="49" fontId="7" fillId="0" borderId="0" xfId="3" applyNumberFormat="1" applyFont="1" applyAlignment="1">
      <alignment vertical="center"/>
    </xf>
    <xf numFmtId="164" fontId="7" fillId="0" borderId="0" xfId="1" applyNumberFormat="1" applyFont="1" applyFill="1" applyAlignment="1">
      <alignment vertical="center"/>
    </xf>
    <xf numFmtId="0" fontId="7" fillId="0" borderId="0" xfId="3" applyFont="1" applyAlignment="1">
      <alignment vertical="center"/>
    </xf>
    <xf numFmtId="0" fontId="7" fillId="0" borderId="0" xfId="3" applyFont="1" applyAlignment="1">
      <alignment horizontal="center" vertical="top" wrapText="1"/>
    </xf>
    <xf numFmtId="165" fontId="7" fillId="0" borderId="0" xfId="3" applyNumberFormat="1" applyFont="1" applyAlignment="1">
      <alignment vertical="center"/>
    </xf>
    <xf numFmtId="165" fontId="7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left" vertical="top"/>
    </xf>
    <xf numFmtId="14" fontId="7" fillId="0" borderId="0" xfId="3" applyNumberFormat="1" applyFont="1" applyAlignment="1">
      <alignment horizontal="left" vertical="top"/>
    </xf>
    <xf numFmtId="0" fontId="7" fillId="0" borderId="0" xfId="3" applyFont="1" applyAlignment="1">
      <alignment horizontal="left" vertical="center"/>
    </xf>
    <xf numFmtId="14" fontId="7" fillId="0" borderId="0" xfId="3" applyNumberFormat="1" applyFont="1" applyAlignment="1">
      <alignment horizontal="left" vertical="center"/>
    </xf>
    <xf numFmtId="49" fontId="7" fillId="0" borderId="0" xfId="3" applyNumberFormat="1" applyFont="1" applyAlignment="1">
      <alignment horizontal="left" vertical="center"/>
    </xf>
    <xf numFmtId="164" fontId="7" fillId="0" borderId="0" xfId="1" applyNumberFormat="1" applyFont="1" applyFill="1" applyAlignment="1">
      <alignment horizontal="left" vertical="center"/>
    </xf>
    <xf numFmtId="0" fontId="8" fillId="0" borderId="0" xfId="3" applyFont="1" applyAlignment="1">
      <alignment horizontal="left" vertical="center"/>
    </xf>
    <xf numFmtId="167" fontId="8" fillId="0" borderId="1" xfId="3" applyNumberFormat="1" applyFont="1" applyBorder="1" applyAlignment="1">
      <alignment horizontal="center" vertical="center" wrapText="1"/>
    </xf>
    <xf numFmtId="49" fontId="8" fillId="0" borderId="1" xfId="3" applyNumberFormat="1" applyFont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horizontal="center" vertical="center" wrapText="1"/>
    </xf>
    <xf numFmtId="14" fontId="7" fillId="0" borderId="1" xfId="3" applyNumberFormat="1" applyFont="1" applyBorder="1" applyAlignment="1">
      <alignment horizontal="center" vertical="center"/>
    </xf>
    <xf numFmtId="49" fontId="7" fillId="0" borderId="1" xfId="3" quotePrefix="1" applyNumberFormat="1" applyFont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1" fontId="7" fillId="0" borderId="1" xfId="0" applyNumberFormat="1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10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9" fontId="7" fillId="0" borderId="5" xfId="3" quotePrefix="1" applyNumberFormat="1" applyFont="1" applyBorder="1" applyAlignment="1">
      <alignment horizontal="center" vertical="center" wrapText="1"/>
    </xf>
    <xf numFmtId="0" fontId="7" fillId="0" borderId="0" xfId="0" quotePrefix="1" applyFont="1" applyAlignment="1">
      <alignment horizontal="center" vertical="center"/>
    </xf>
    <xf numFmtId="167" fontId="7" fillId="0" borderId="3" xfId="3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14" fontId="7" fillId="0" borderId="1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 wrapText="1"/>
    </xf>
    <xf numFmtId="11" fontId="7" fillId="0" borderId="0" xfId="0" applyNumberFormat="1" applyFont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1" fontId="7" fillId="0" borderId="2" xfId="0" applyNumberFormat="1" applyFont="1" applyBorder="1" applyAlignment="1">
      <alignment horizontal="center" vertical="center"/>
    </xf>
    <xf numFmtId="168" fontId="8" fillId="0" borderId="1" xfId="3" applyNumberFormat="1" applyFont="1" applyBorder="1" applyAlignment="1">
      <alignment horizontal="center" vertical="center"/>
    </xf>
    <xf numFmtId="168" fontId="8" fillId="0" borderId="3" xfId="3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8" fontId="8" fillId="0" borderId="1" xfId="3" applyNumberFormat="1" applyFont="1" applyBorder="1" applyAlignment="1">
      <alignment horizontal="center" vertical="center" wrapText="1"/>
    </xf>
    <xf numFmtId="49" fontId="7" fillId="0" borderId="2" xfId="3" applyNumberFormat="1" applyFont="1" applyBorder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43" fontId="7" fillId="0" borderId="2" xfId="3" applyNumberFormat="1" applyFont="1" applyBorder="1" applyAlignment="1">
      <alignment horizontal="center" vertical="center"/>
    </xf>
    <xf numFmtId="14" fontId="8" fillId="0" borderId="0" xfId="3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9" fontId="8" fillId="0" borderId="0" xfId="3" applyNumberFormat="1" applyFont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8" fillId="0" borderId="0" xfId="3" applyNumberFormat="1" applyFont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 wrapText="1"/>
    </xf>
    <xf numFmtId="3" fontId="8" fillId="0" borderId="0" xfId="3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wrapText="1"/>
    </xf>
    <xf numFmtId="49" fontId="7" fillId="0" borderId="0" xfId="0" applyNumberFormat="1" applyFont="1"/>
    <xf numFmtId="0" fontId="7" fillId="0" borderId="0" xfId="0" applyFont="1" applyAlignment="1">
      <alignment horizont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11" fontId="9" fillId="0" borderId="1" xfId="0" applyNumberFormat="1" applyFont="1" applyBorder="1" applyAlignment="1">
      <alignment horizontal="center" vertical="center"/>
    </xf>
    <xf numFmtId="11" fontId="7" fillId="0" borderId="1" xfId="0" applyNumberFormat="1" applyFont="1" applyBorder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top" wrapText="1"/>
    </xf>
    <xf numFmtId="164" fontId="7" fillId="0" borderId="0" xfId="0" applyNumberFormat="1" applyFont="1"/>
    <xf numFmtId="164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3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7" fontId="1" fillId="2" borderId="1" xfId="3" applyNumberFormat="1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vertical="center"/>
    </xf>
    <xf numFmtId="0" fontId="1" fillId="2" borderId="1" xfId="3" applyFont="1" applyFill="1" applyBorder="1" applyAlignment="1">
      <alignment horizontal="center" vertical="center" wrapText="1"/>
    </xf>
    <xf numFmtId="167" fontId="1" fillId="2" borderId="4" xfId="3" applyNumberFormat="1" applyFont="1" applyFill="1" applyBorder="1" applyAlignment="1">
      <alignment horizontal="center" vertical="center" wrapText="1"/>
    </xf>
    <xf numFmtId="167" fontId="1" fillId="2" borderId="6" xfId="3" applyNumberFormat="1" applyFont="1" applyFill="1" applyBorder="1" applyAlignment="1">
      <alignment horizontal="center" vertical="center" wrapText="1"/>
    </xf>
    <xf numFmtId="167" fontId="1" fillId="2" borderId="5" xfId="3" applyNumberFormat="1" applyFont="1" applyFill="1" applyBorder="1" applyAlignment="1">
      <alignment horizontal="center" vertical="center" wrapText="1"/>
    </xf>
    <xf numFmtId="168" fontId="1" fillId="2" borderId="4" xfId="3" applyNumberFormat="1" applyFont="1" applyFill="1" applyBorder="1" applyAlignment="1">
      <alignment vertical="center"/>
    </xf>
    <xf numFmtId="168" fontId="1" fillId="2" borderId="6" xfId="3" applyNumberFormat="1" applyFont="1" applyFill="1" applyBorder="1" applyAlignment="1">
      <alignment vertical="center"/>
    </xf>
    <xf numFmtId="168" fontId="1" fillId="2" borderId="5" xfId="3" applyNumberFormat="1" applyFont="1" applyFill="1" applyBorder="1" applyAlignment="1">
      <alignment vertical="center"/>
    </xf>
    <xf numFmtId="0" fontId="1" fillId="2" borderId="0" xfId="3" applyFont="1" applyFill="1" applyAlignment="1">
      <alignment horizontal="center" vertical="center"/>
    </xf>
    <xf numFmtId="14" fontId="1" fillId="2" borderId="1" xfId="3" applyNumberFormat="1" applyFont="1" applyFill="1" applyBorder="1" applyAlignment="1">
      <alignment horizontal="center" vertical="center" wrapText="1"/>
    </xf>
    <xf numFmtId="14" fontId="1" fillId="2" borderId="1" xfId="3" applyNumberFormat="1" applyFont="1" applyFill="1" applyBorder="1" applyAlignment="1">
      <alignment vertical="center"/>
    </xf>
    <xf numFmtId="0" fontId="1" fillId="2" borderId="1" xfId="3" applyFont="1" applyFill="1" applyBorder="1" applyAlignment="1">
      <alignment horizontal="center" vertical="center"/>
    </xf>
    <xf numFmtId="49" fontId="1" fillId="2" borderId="2" xfId="3" applyNumberFormat="1" applyFont="1" applyFill="1" applyBorder="1" applyAlignment="1">
      <alignment horizontal="center" vertical="center"/>
    </xf>
    <xf numFmtId="49" fontId="1" fillId="2" borderId="3" xfId="3" applyNumberFormat="1" applyFont="1" applyFill="1" applyBorder="1" applyAlignment="1">
      <alignment horizontal="center" vertical="center"/>
    </xf>
    <xf numFmtId="164" fontId="1" fillId="2" borderId="2" xfId="1" applyNumberFormat="1" applyFont="1" applyFill="1" applyBorder="1" applyAlignment="1">
      <alignment horizontal="center" vertical="center"/>
    </xf>
    <xf numFmtId="164" fontId="1" fillId="2" borderId="3" xfId="1" applyNumberFormat="1" applyFont="1" applyFill="1" applyBorder="1" applyAlignment="1">
      <alignment horizontal="center" vertical="center"/>
    </xf>
    <xf numFmtId="0" fontId="2" fillId="2" borderId="0" xfId="3" applyFont="1" applyFill="1" applyAlignment="1">
      <alignment horizontal="left" vertical="top" wrapText="1" readingOrder="1"/>
    </xf>
    <xf numFmtId="0" fontId="2" fillId="2" borderId="0" xfId="3" applyFont="1" applyFill="1" applyAlignment="1">
      <alignment horizontal="left" vertical="top" readingOrder="1"/>
    </xf>
    <xf numFmtId="0" fontId="2" fillId="2" borderId="0" xfId="3" applyFont="1" applyFill="1" applyAlignment="1">
      <alignment vertical="center"/>
    </xf>
    <xf numFmtId="0" fontId="2" fillId="2" borderId="0" xfId="3" applyFont="1" applyFill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14" fontId="8" fillId="0" borderId="1" xfId="3" applyNumberFormat="1" applyFont="1" applyBorder="1" applyAlignment="1">
      <alignment horizontal="center" vertical="center" wrapText="1"/>
    </xf>
    <xf numFmtId="14" fontId="8" fillId="0" borderId="2" xfId="3" applyNumberFormat="1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top" readingOrder="1"/>
    </xf>
    <xf numFmtId="0" fontId="7" fillId="0" borderId="0" xfId="3" applyFont="1" applyAlignment="1">
      <alignment horizontal="left" vertical="top" wrapText="1" readingOrder="1"/>
    </xf>
    <xf numFmtId="0" fontId="7" fillId="0" borderId="0" xfId="3" applyFont="1" applyAlignment="1">
      <alignment horizontal="left" vertical="top"/>
    </xf>
    <xf numFmtId="167" fontId="8" fillId="0" borderId="1" xfId="3" applyNumberFormat="1" applyFont="1" applyBorder="1" applyAlignment="1">
      <alignment horizontal="center" vertical="center" wrapText="1"/>
    </xf>
    <xf numFmtId="168" fontId="8" fillId="0" borderId="1" xfId="3" applyNumberFormat="1" applyFont="1" applyBorder="1" applyAlignment="1">
      <alignment horizontal="center" vertical="center"/>
    </xf>
    <xf numFmtId="168" fontId="8" fillId="0" borderId="3" xfId="3" applyNumberFormat="1" applyFont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49" fontId="8" fillId="0" borderId="1" xfId="3" applyNumberFormat="1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38225" cy="456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38225" cy="456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38225" cy="456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791366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38225" cy="456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154517</xdr:colOff>
      <xdr:row>0</xdr:row>
      <xdr:rowOff>148167</xdr:rowOff>
    </xdr:from>
    <xdr:to>
      <xdr:col>1</xdr:col>
      <xdr:colOff>696116</xdr:colOff>
      <xdr:row>2</xdr:row>
      <xdr:rowOff>2909</xdr:rowOff>
    </xdr:to>
    <xdr:pic>
      <xdr:nvPicPr>
        <xdr:cNvPr id="2" name="Picture 1" descr="logonPL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4231" t="11052" r="9995" b="26657"/>
        <a:stretch>
          <a:fillRect/>
        </a:stretch>
      </xdr:blipFill>
      <xdr:spPr>
        <a:xfrm>
          <a:off x="154305" y="147955"/>
          <a:ext cx="1038225" cy="456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U69"/>
  <sheetViews>
    <sheetView view="pageBreakPreview" topLeftCell="A10" zoomScale="85" zoomScaleNormal="69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2" width="17.5" style="6" customWidth="1"/>
    <col min="13" max="13" width="17.5" style="6" hidden="1" customWidth="1"/>
    <col min="14" max="15" width="20.33203125" style="3" customWidth="1"/>
    <col min="16" max="16" width="15.6640625" style="3" hidden="1" customWidth="1"/>
    <col min="17" max="17" width="16.5" style="3" hidden="1" customWidth="1"/>
    <col min="18" max="18" width="17.1640625" style="6" customWidth="1"/>
    <col min="19" max="19" width="17" style="3" customWidth="1"/>
    <col min="20" max="20" width="19.6640625" style="3" customWidth="1"/>
    <col min="21" max="16384" width="9" style="3"/>
  </cols>
  <sheetData>
    <row r="1" spans="1:21" x14ac:dyDescent="0.2">
      <c r="A1" s="7"/>
      <c r="B1" s="8"/>
      <c r="C1" s="9"/>
      <c r="D1" s="7"/>
      <c r="E1" s="7"/>
      <c r="F1" s="7"/>
      <c r="G1" s="10"/>
      <c r="H1" s="31"/>
      <c r="I1" s="9"/>
      <c r="J1" s="31"/>
      <c r="K1" s="32"/>
      <c r="N1" s="31"/>
      <c r="O1" s="31"/>
      <c r="P1" s="31"/>
      <c r="Q1" s="31"/>
      <c r="S1" s="31"/>
      <c r="T1" s="31"/>
    </row>
    <row r="2" spans="1:21" ht="30.5" customHeight="1" x14ac:dyDescent="0.2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</row>
    <row r="3" spans="1:21" x14ac:dyDescent="0.2">
      <c r="A3" s="288" t="s">
        <v>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</row>
    <row r="4" spans="1:21" ht="4.5" customHeight="1" x14ac:dyDescent="0.2">
      <c r="A4" s="288" t="s">
        <v>2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</row>
    <row r="5" spans="1:21" ht="4.5" customHeight="1" x14ac:dyDescent="0.2">
      <c r="A5" s="7"/>
      <c r="B5" s="12"/>
      <c r="C5" s="7"/>
      <c r="D5" s="7"/>
      <c r="E5" s="7"/>
      <c r="F5" s="7"/>
      <c r="G5" s="10"/>
      <c r="H5" s="7"/>
      <c r="I5" s="7"/>
      <c r="J5" s="7"/>
      <c r="K5" s="33"/>
      <c r="L5" s="34"/>
      <c r="M5" s="34"/>
      <c r="N5" s="7"/>
      <c r="O5" s="7"/>
      <c r="P5" s="7"/>
      <c r="Q5" s="7"/>
      <c r="R5" s="34"/>
      <c r="S5" s="7"/>
      <c r="T5" s="7"/>
    </row>
    <row r="6" spans="1:21" x14ac:dyDescent="0.2">
      <c r="A6" s="285" t="s">
        <v>3</v>
      </c>
      <c r="B6" s="285"/>
      <c r="C6" s="285"/>
      <c r="E6" s="13" t="s">
        <v>4</v>
      </c>
      <c r="F6" s="14"/>
      <c r="G6" s="15"/>
      <c r="H6" s="13"/>
      <c r="I6" s="35"/>
      <c r="J6" s="13"/>
      <c r="K6" s="36"/>
      <c r="L6" s="37"/>
      <c r="M6" s="37"/>
      <c r="N6" s="13"/>
      <c r="O6" s="13"/>
      <c r="P6" s="50"/>
      <c r="Q6" s="13"/>
      <c r="R6" s="37"/>
      <c r="S6" s="13"/>
      <c r="T6" s="13"/>
    </row>
    <row r="7" spans="1:21" x14ac:dyDescent="0.2">
      <c r="A7" s="285" t="s">
        <v>5</v>
      </c>
      <c r="B7" s="285"/>
      <c r="C7" s="285"/>
      <c r="E7" s="13" t="s">
        <v>6</v>
      </c>
      <c r="F7" s="14"/>
      <c r="G7" s="15"/>
      <c r="H7" s="38"/>
      <c r="I7" s="39"/>
      <c r="J7" s="38"/>
      <c r="K7" s="40"/>
      <c r="L7" s="41"/>
      <c r="M7" s="41"/>
      <c r="N7" s="13"/>
      <c r="O7" s="13"/>
      <c r="P7" s="13"/>
      <c r="Q7" s="13"/>
      <c r="R7" s="37"/>
      <c r="S7" s="13"/>
      <c r="T7" s="13"/>
    </row>
    <row r="8" spans="1:21" x14ac:dyDescent="0.2">
      <c r="A8" s="285" t="s">
        <v>7</v>
      </c>
      <c r="B8" s="285"/>
      <c r="C8" s="285"/>
      <c r="E8" s="113" t="s">
        <v>8</v>
      </c>
      <c r="F8" s="14"/>
      <c r="G8" s="15"/>
      <c r="H8" s="38"/>
      <c r="I8" s="39"/>
      <c r="J8" s="38"/>
      <c r="K8" s="40"/>
      <c r="L8" s="41"/>
      <c r="M8" s="41"/>
      <c r="N8" s="13"/>
      <c r="O8" s="13"/>
      <c r="P8" s="13"/>
      <c r="Q8" s="13"/>
      <c r="R8" s="37"/>
      <c r="S8" s="13"/>
      <c r="T8" s="13"/>
    </row>
    <row r="9" spans="1:21" x14ac:dyDescent="0.2">
      <c r="A9" s="285" t="s">
        <v>9</v>
      </c>
      <c r="B9" s="285"/>
      <c r="C9" s="285"/>
      <c r="E9" s="13"/>
      <c r="F9" s="14"/>
      <c r="G9" s="15"/>
      <c r="H9" s="38"/>
      <c r="I9" s="39"/>
      <c r="J9" s="38"/>
      <c r="K9" s="40"/>
      <c r="L9" s="41"/>
      <c r="M9" s="41"/>
      <c r="N9" s="13"/>
      <c r="O9" s="13"/>
      <c r="P9" s="13"/>
      <c r="Q9" s="13"/>
      <c r="R9" s="37"/>
      <c r="S9" s="13"/>
      <c r="T9" s="13"/>
    </row>
    <row r="10" spans="1:21" x14ac:dyDescent="0.2">
      <c r="A10" s="16"/>
      <c r="B10" s="17"/>
      <c r="C10" s="16"/>
      <c r="E10" s="13"/>
      <c r="F10" s="14"/>
      <c r="G10" s="15"/>
      <c r="H10" s="38"/>
      <c r="I10" s="39"/>
      <c r="J10" s="38"/>
      <c r="K10" s="40"/>
      <c r="L10" s="41"/>
      <c r="M10" s="41"/>
      <c r="N10" s="13"/>
      <c r="O10" s="13"/>
      <c r="P10" s="13"/>
      <c r="Q10" s="13"/>
      <c r="R10" s="37"/>
      <c r="S10" s="13"/>
      <c r="T10" s="13"/>
    </row>
    <row r="11" spans="1:21" x14ac:dyDescent="0.2">
      <c r="A11" s="286" t="s">
        <v>10</v>
      </c>
      <c r="B11" s="286"/>
      <c r="C11" s="286"/>
      <c r="E11" s="13" t="s">
        <v>11</v>
      </c>
      <c r="F11" s="14"/>
      <c r="G11" s="15"/>
      <c r="H11" s="13"/>
      <c r="I11" s="35"/>
      <c r="J11" s="13"/>
      <c r="K11" s="36"/>
      <c r="L11" s="37"/>
      <c r="M11" s="37"/>
      <c r="N11" s="13"/>
      <c r="O11" s="13"/>
      <c r="P11" s="50"/>
      <c r="Q11" s="13"/>
      <c r="R11" s="37"/>
      <c r="S11" s="13"/>
      <c r="T11" s="13"/>
    </row>
    <row r="12" spans="1:21" x14ac:dyDescent="0.2">
      <c r="A12" s="285" t="s">
        <v>5</v>
      </c>
      <c r="B12" s="285"/>
      <c r="C12" s="285"/>
      <c r="E12" s="13" t="s">
        <v>12</v>
      </c>
      <c r="F12" s="14"/>
      <c r="G12" s="18"/>
      <c r="H12" s="38"/>
      <c r="I12" s="39"/>
      <c r="J12" s="38"/>
      <c r="K12" s="40"/>
      <c r="L12" s="41"/>
      <c r="M12" s="41"/>
      <c r="N12" s="13"/>
      <c r="O12" s="13"/>
      <c r="P12" s="13"/>
      <c r="Q12" s="13"/>
      <c r="R12" s="37"/>
      <c r="S12" s="13"/>
      <c r="T12" s="13"/>
    </row>
    <row r="13" spans="1:21" ht="20.25" customHeight="1" x14ac:dyDescent="0.2">
      <c r="A13" s="13" t="s">
        <v>13</v>
      </c>
      <c r="B13" s="19"/>
      <c r="C13" s="14"/>
      <c r="E13" s="114" t="s">
        <v>14</v>
      </c>
      <c r="F13" s="14"/>
      <c r="G13" s="287"/>
      <c r="H13" s="287"/>
      <c r="I13" s="7"/>
      <c r="J13" s="14"/>
      <c r="K13" s="40"/>
      <c r="L13" s="41"/>
      <c r="M13" s="41"/>
      <c r="N13" s="14"/>
      <c r="O13" s="14"/>
      <c r="P13" s="14"/>
      <c r="Q13" s="14"/>
      <c r="R13" s="41"/>
      <c r="S13" s="14"/>
      <c r="T13" s="14"/>
    </row>
    <row r="14" spans="1:21" x14ac:dyDescent="0.2">
      <c r="A14" s="20"/>
      <c r="B14" s="21"/>
      <c r="C14" s="20"/>
      <c r="D14" s="20"/>
      <c r="E14" s="20"/>
      <c r="F14" s="20"/>
      <c r="G14" s="10"/>
      <c r="H14" s="20"/>
      <c r="I14" s="7"/>
      <c r="J14" s="20"/>
      <c r="K14" s="42"/>
      <c r="L14" s="43"/>
      <c r="M14" s="43"/>
      <c r="N14" s="20"/>
      <c r="O14" s="20"/>
      <c r="P14" s="51"/>
      <c r="Q14" s="20"/>
      <c r="R14" s="43"/>
      <c r="S14" s="20"/>
      <c r="T14" s="20"/>
    </row>
    <row r="15" spans="1:21" s="1" customFormat="1" ht="30" customHeight="1" x14ac:dyDescent="0.2">
      <c r="A15" s="270" t="s">
        <v>15</v>
      </c>
      <c r="B15" s="278" t="s">
        <v>16</v>
      </c>
      <c r="C15" s="270" t="s">
        <v>17</v>
      </c>
      <c r="D15" s="270" t="s">
        <v>18</v>
      </c>
      <c r="E15" s="270"/>
      <c r="F15" s="270" t="s">
        <v>19</v>
      </c>
      <c r="G15" s="270" t="s">
        <v>20</v>
      </c>
      <c r="H15" s="270" t="s">
        <v>21</v>
      </c>
      <c r="I15" s="268" t="s">
        <v>22</v>
      </c>
      <c r="J15" s="268" t="s">
        <v>23</v>
      </c>
      <c r="K15" s="281" t="s">
        <v>24</v>
      </c>
      <c r="L15" s="283" t="s">
        <v>25</v>
      </c>
      <c r="M15" s="283" t="s">
        <v>26</v>
      </c>
      <c r="N15" s="271" t="s">
        <v>27</v>
      </c>
      <c r="O15" s="272"/>
      <c r="P15" s="272"/>
      <c r="Q15" s="272"/>
      <c r="R15" s="272"/>
      <c r="S15" s="273"/>
      <c r="T15" s="268" t="s">
        <v>28</v>
      </c>
      <c r="U15" s="3"/>
    </row>
    <row r="16" spans="1:21" s="1" customFormat="1" ht="68.25" customHeight="1" x14ac:dyDescent="0.2">
      <c r="A16" s="269"/>
      <c r="B16" s="279"/>
      <c r="C16" s="270"/>
      <c r="D16" s="22">
        <v>20</v>
      </c>
      <c r="E16" s="22">
        <v>40</v>
      </c>
      <c r="F16" s="269"/>
      <c r="G16" s="270"/>
      <c r="H16" s="269"/>
      <c r="I16" s="280"/>
      <c r="J16" s="269"/>
      <c r="K16" s="282"/>
      <c r="L16" s="284"/>
      <c r="M16" s="284"/>
      <c r="N16" s="45" t="s">
        <v>29</v>
      </c>
      <c r="O16" s="44" t="s">
        <v>30</v>
      </c>
      <c r="P16" s="44" t="s">
        <v>31</v>
      </c>
      <c r="Q16" s="44" t="s">
        <v>32</v>
      </c>
      <c r="R16" s="52" t="s">
        <v>33</v>
      </c>
      <c r="S16" s="44" t="s">
        <v>30</v>
      </c>
      <c r="T16" s="269"/>
      <c r="U16" s="3"/>
    </row>
    <row r="17" spans="1:21" s="1" customFormat="1" ht="39.75" customHeight="1" x14ac:dyDescent="0.2">
      <c r="A17" s="23">
        <v>1</v>
      </c>
      <c r="B17" s="30" t="s">
        <v>34</v>
      </c>
      <c r="C17" s="28" t="s">
        <v>35</v>
      </c>
      <c r="D17" s="28"/>
      <c r="E17" s="26">
        <v>1</v>
      </c>
      <c r="F17" s="28" t="s">
        <v>36</v>
      </c>
      <c r="G17" s="29" t="s">
        <v>37</v>
      </c>
      <c r="H17" s="26" t="s">
        <v>38</v>
      </c>
      <c r="I17" s="46" t="s">
        <v>39</v>
      </c>
      <c r="J17" s="46" t="s">
        <v>40</v>
      </c>
      <c r="K17" s="47" t="s">
        <v>41</v>
      </c>
      <c r="L17" s="48">
        <v>1500000</v>
      </c>
      <c r="M17" s="48"/>
      <c r="N17" s="49">
        <v>4100000</v>
      </c>
      <c r="O17" s="49">
        <f>N17*0.08</f>
        <v>328000</v>
      </c>
      <c r="P17" s="49"/>
      <c r="Q17" s="49"/>
      <c r="R17" s="111">
        <v>203704</v>
      </c>
      <c r="S17" s="112">
        <f>R17*0.08</f>
        <v>16296.32</v>
      </c>
      <c r="T17" s="54">
        <f>N17+O17+R17+S17</f>
        <v>4648000.32</v>
      </c>
      <c r="U17" s="2"/>
    </row>
    <row r="18" spans="1:21" s="1" customFormat="1" ht="39.75" customHeight="1" x14ac:dyDescent="0.2">
      <c r="A18" s="23">
        <v>2</v>
      </c>
      <c r="B18" s="30" t="s">
        <v>34</v>
      </c>
      <c r="C18" s="28" t="s">
        <v>35</v>
      </c>
      <c r="D18" s="28"/>
      <c r="E18" s="26">
        <v>1</v>
      </c>
      <c r="F18" s="28" t="s">
        <v>42</v>
      </c>
      <c r="G18" s="29" t="s">
        <v>37</v>
      </c>
      <c r="H18" s="26" t="s">
        <v>38</v>
      </c>
      <c r="I18" s="46" t="s">
        <v>39</v>
      </c>
      <c r="J18" s="46" t="s">
        <v>40</v>
      </c>
      <c r="K18" s="47" t="s">
        <v>43</v>
      </c>
      <c r="L18" s="48">
        <v>1500000</v>
      </c>
      <c r="M18" s="48"/>
      <c r="N18" s="49">
        <v>4100000</v>
      </c>
      <c r="O18" s="49">
        <f t="shared" ref="O18:O22" si="0">N18*0.08</f>
        <v>328000</v>
      </c>
      <c r="P18" s="49"/>
      <c r="Q18" s="49"/>
      <c r="R18" s="111">
        <v>203704</v>
      </c>
      <c r="S18" s="112">
        <f t="shared" ref="S18:S22" si="1">R18*0.08</f>
        <v>16296.32</v>
      </c>
      <c r="T18" s="54">
        <f t="shared" ref="T18:T22" si="2">N18+O18+R18+S18</f>
        <v>4648000.32</v>
      </c>
      <c r="U18" s="2"/>
    </row>
    <row r="19" spans="1:21" s="1" customFormat="1" ht="39.75" customHeight="1" x14ac:dyDescent="0.2">
      <c r="A19" s="23">
        <v>3</v>
      </c>
      <c r="B19" s="30" t="s">
        <v>34</v>
      </c>
      <c r="C19" s="28" t="s">
        <v>35</v>
      </c>
      <c r="D19" s="28"/>
      <c r="E19" s="26">
        <v>1</v>
      </c>
      <c r="F19" s="28" t="s">
        <v>44</v>
      </c>
      <c r="G19" s="29" t="s">
        <v>37</v>
      </c>
      <c r="H19" s="26" t="s">
        <v>38</v>
      </c>
      <c r="I19" s="46" t="s">
        <v>39</v>
      </c>
      <c r="J19" s="46" t="s">
        <v>40</v>
      </c>
      <c r="K19" s="47" t="s">
        <v>45</v>
      </c>
      <c r="L19" s="48">
        <v>1500000</v>
      </c>
      <c r="M19" s="48"/>
      <c r="N19" s="49">
        <v>4100000</v>
      </c>
      <c r="O19" s="49">
        <f t="shared" si="0"/>
        <v>328000</v>
      </c>
      <c r="P19" s="49"/>
      <c r="Q19" s="49"/>
      <c r="R19" s="111">
        <v>203704</v>
      </c>
      <c r="S19" s="112">
        <f t="shared" si="1"/>
        <v>16296.32</v>
      </c>
      <c r="T19" s="54">
        <f t="shared" si="2"/>
        <v>4648000.32</v>
      </c>
      <c r="U19" s="2"/>
    </row>
    <row r="20" spans="1:21" s="1" customFormat="1" ht="39.75" customHeight="1" x14ac:dyDescent="0.2">
      <c r="A20" s="23">
        <v>4</v>
      </c>
      <c r="B20" s="30" t="s">
        <v>34</v>
      </c>
      <c r="C20" s="28" t="s">
        <v>35</v>
      </c>
      <c r="D20" s="28"/>
      <c r="E20" s="26">
        <v>1</v>
      </c>
      <c r="F20" s="28" t="s">
        <v>46</v>
      </c>
      <c r="G20" s="29" t="s">
        <v>37</v>
      </c>
      <c r="H20" s="26" t="s">
        <v>38</v>
      </c>
      <c r="I20" s="46" t="s">
        <v>39</v>
      </c>
      <c r="J20" s="46" t="s">
        <v>40</v>
      </c>
      <c r="K20" s="47" t="s">
        <v>47</v>
      </c>
      <c r="L20" s="48">
        <v>1500000</v>
      </c>
      <c r="M20" s="48"/>
      <c r="N20" s="49">
        <v>4100000</v>
      </c>
      <c r="O20" s="49">
        <f t="shared" si="0"/>
        <v>328000</v>
      </c>
      <c r="P20" s="49"/>
      <c r="Q20" s="49"/>
      <c r="R20" s="111">
        <v>203704</v>
      </c>
      <c r="S20" s="112">
        <f t="shared" si="1"/>
        <v>16296.32</v>
      </c>
      <c r="T20" s="54">
        <f t="shared" si="2"/>
        <v>4648000.32</v>
      </c>
      <c r="U20" s="2"/>
    </row>
    <row r="21" spans="1:21" s="1" customFormat="1" ht="39.75" customHeight="1" x14ac:dyDescent="0.2">
      <c r="A21" s="23">
        <v>5</v>
      </c>
      <c r="B21" s="30" t="s">
        <v>34</v>
      </c>
      <c r="C21" s="28" t="s">
        <v>35</v>
      </c>
      <c r="D21" s="28"/>
      <c r="E21" s="26">
        <v>1</v>
      </c>
      <c r="F21" s="28" t="s">
        <v>48</v>
      </c>
      <c r="G21" s="29" t="s">
        <v>37</v>
      </c>
      <c r="H21" s="26" t="s">
        <v>38</v>
      </c>
      <c r="I21" s="46" t="s">
        <v>39</v>
      </c>
      <c r="J21" s="46" t="s">
        <v>40</v>
      </c>
      <c r="K21" s="47" t="s">
        <v>49</v>
      </c>
      <c r="L21" s="48">
        <v>1500000</v>
      </c>
      <c r="M21" s="48"/>
      <c r="N21" s="49">
        <v>4100000</v>
      </c>
      <c r="O21" s="49">
        <f t="shared" si="0"/>
        <v>328000</v>
      </c>
      <c r="P21" s="49"/>
      <c r="Q21" s="49"/>
      <c r="R21" s="111">
        <v>203704</v>
      </c>
      <c r="S21" s="112">
        <f t="shared" si="1"/>
        <v>16296.32</v>
      </c>
      <c r="T21" s="54">
        <f t="shared" si="2"/>
        <v>4648000.32</v>
      </c>
      <c r="U21" s="2"/>
    </row>
    <row r="22" spans="1:21" s="1" customFormat="1" ht="39.75" customHeight="1" x14ac:dyDescent="0.2">
      <c r="A22" s="23">
        <v>6</v>
      </c>
      <c r="B22" s="30" t="s">
        <v>34</v>
      </c>
      <c r="C22" s="28" t="s">
        <v>35</v>
      </c>
      <c r="D22" s="28"/>
      <c r="E22" s="26">
        <v>1</v>
      </c>
      <c r="F22" s="28" t="s">
        <v>50</v>
      </c>
      <c r="G22" s="29" t="s">
        <v>37</v>
      </c>
      <c r="H22" s="26" t="s">
        <v>38</v>
      </c>
      <c r="I22" s="46" t="s">
        <v>39</v>
      </c>
      <c r="J22" s="46" t="s">
        <v>40</v>
      </c>
      <c r="K22" s="47" t="s">
        <v>51</v>
      </c>
      <c r="L22" s="48">
        <v>1500000</v>
      </c>
      <c r="M22" s="48"/>
      <c r="N22" s="49">
        <v>4100000</v>
      </c>
      <c r="O22" s="49">
        <f t="shared" si="0"/>
        <v>328000</v>
      </c>
      <c r="P22" s="49"/>
      <c r="Q22" s="49"/>
      <c r="R22" s="111">
        <v>203704</v>
      </c>
      <c r="S22" s="112">
        <f t="shared" si="1"/>
        <v>16296.32</v>
      </c>
      <c r="T22" s="54">
        <f t="shared" si="2"/>
        <v>4648000.32</v>
      </c>
      <c r="U22" s="2"/>
    </row>
    <row r="23" spans="1:21" ht="33" customHeight="1" x14ac:dyDescent="0.2">
      <c r="A23" s="274" t="s">
        <v>52</v>
      </c>
      <c r="B23" s="275"/>
      <c r="C23" s="276"/>
      <c r="D23" s="55">
        <f>SUM(D17:D22)</f>
        <v>0</v>
      </c>
      <c r="E23" s="55">
        <f>SUM(E17:E22)</f>
        <v>6</v>
      </c>
      <c r="F23" s="56"/>
      <c r="G23" s="57"/>
      <c r="H23" s="56"/>
      <c r="I23" s="46"/>
      <c r="J23" s="56"/>
      <c r="K23" s="69"/>
      <c r="L23" s="70">
        <f>SUM(L17:L22)</f>
        <v>9000000</v>
      </c>
      <c r="M23" s="70">
        <f t="shared" ref="M23:T23" si="3">SUM(M17:M22)</f>
        <v>0</v>
      </c>
      <c r="N23" s="70">
        <f t="shared" si="3"/>
        <v>24600000</v>
      </c>
      <c r="O23" s="70">
        <f t="shared" si="3"/>
        <v>1968000</v>
      </c>
      <c r="P23" s="70">
        <f t="shared" si="3"/>
        <v>0</v>
      </c>
      <c r="Q23" s="70">
        <f t="shared" si="3"/>
        <v>0</v>
      </c>
      <c r="R23" s="70">
        <f t="shared" si="3"/>
        <v>1222224</v>
      </c>
      <c r="S23" s="70">
        <f t="shared" si="3"/>
        <v>97777.920000000013</v>
      </c>
      <c r="T23" s="70">
        <f t="shared" si="3"/>
        <v>27888001.920000002</v>
      </c>
      <c r="U23" s="2"/>
    </row>
    <row r="24" spans="1:21" ht="18" customHeight="1" x14ac:dyDescent="0.2">
      <c r="A24" s="58" t="s">
        <v>53</v>
      </c>
      <c r="B24" s="58"/>
      <c r="H24" s="14"/>
      <c r="I24" s="10"/>
      <c r="J24" s="14"/>
      <c r="K24" s="40"/>
      <c r="L24" s="41"/>
      <c r="M24" s="41"/>
      <c r="N24" s="14"/>
      <c r="O24" s="14"/>
      <c r="P24" s="14"/>
      <c r="Q24" s="14"/>
      <c r="R24" s="41"/>
      <c r="S24" s="14"/>
      <c r="T24" s="14"/>
    </row>
    <row r="25" spans="1:21" s="2" customFormat="1" ht="23.25" customHeight="1" x14ac:dyDescent="0.2">
      <c r="A25" s="59"/>
      <c r="B25" s="60"/>
      <c r="C25" s="61" t="s">
        <v>29</v>
      </c>
      <c r="D25" s="62"/>
      <c r="E25" s="62"/>
      <c r="F25" s="62">
        <f>T23</f>
        <v>27888001.920000002</v>
      </c>
      <c r="G25" s="63"/>
      <c r="H25" s="65"/>
      <c r="I25" s="11"/>
      <c r="J25" s="65"/>
      <c r="K25" s="71"/>
      <c r="L25" s="72"/>
      <c r="M25" s="72"/>
      <c r="N25" s="65"/>
      <c r="O25" s="65"/>
      <c r="P25" s="65"/>
      <c r="Q25" s="65"/>
      <c r="R25" s="72"/>
      <c r="S25" s="65"/>
      <c r="T25" s="65"/>
    </row>
    <row r="26" spans="1:21" x14ac:dyDescent="0.2">
      <c r="A26" s="14"/>
      <c r="B26" s="64"/>
      <c r="C26" s="65" t="s">
        <v>54</v>
      </c>
      <c r="D26" s="14"/>
      <c r="E26" s="14"/>
      <c r="F26" s="66">
        <f>L23</f>
        <v>9000000</v>
      </c>
      <c r="G26" s="10"/>
      <c r="H26" s="14"/>
      <c r="I26" s="7"/>
      <c r="J26" s="14"/>
      <c r="K26" s="40"/>
      <c r="L26" s="41"/>
      <c r="M26" s="41"/>
      <c r="N26" s="14"/>
      <c r="O26" s="14"/>
      <c r="P26" s="14"/>
      <c r="Q26" s="14"/>
      <c r="R26" s="41"/>
      <c r="S26" s="14"/>
      <c r="T26" s="14"/>
    </row>
    <row r="27" spans="1:21" x14ac:dyDescent="0.2">
      <c r="A27" s="14"/>
      <c r="B27" s="64"/>
      <c r="C27" s="65" t="s">
        <v>55</v>
      </c>
      <c r="D27" s="14"/>
      <c r="E27" s="14"/>
      <c r="F27" s="66">
        <f>M23</f>
        <v>0</v>
      </c>
      <c r="G27" s="10"/>
      <c r="H27" s="14"/>
      <c r="I27" s="7"/>
      <c r="J27" s="14"/>
      <c r="K27" s="40"/>
      <c r="L27" s="41"/>
      <c r="M27" s="41"/>
      <c r="N27" s="14"/>
      <c r="O27" s="14"/>
      <c r="P27" s="14"/>
      <c r="Q27" s="14"/>
      <c r="R27" s="41"/>
      <c r="S27" s="14"/>
      <c r="T27" s="14"/>
    </row>
    <row r="28" spans="1:21" ht="23.25" customHeight="1" x14ac:dyDescent="0.2">
      <c r="A28" s="277" t="s">
        <v>56</v>
      </c>
      <c r="B28" s="277"/>
      <c r="C28" s="277"/>
      <c r="D28" s="277"/>
      <c r="E28" s="277"/>
      <c r="F28" s="277"/>
      <c r="G28" s="67"/>
      <c r="H28" s="73"/>
      <c r="I28" s="74"/>
      <c r="J28" s="277" t="s">
        <v>57</v>
      </c>
      <c r="K28" s="277"/>
      <c r="L28" s="277"/>
      <c r="M28" s="277"/>
      <c r="N28" s="277"/>
      <c r="O28" s="277"/>
      <c r="P28" s="277"/>
      <c r="Q28" s="277"/>
      <c r="R28" s="277"/>
      <c r="S28" s="277"/>
      <c r="T28" s="11"/>
    </row>
    <row r="29" spans="1:21" x14ac:dyDescent="0.2">
      <c r="G29" s="68"/>
      <c r="I29" s="75"/>
    </row>
    <row r="30" spans="1:21" x14ac:dyDescent="0.2">
      <c r="G30" s="68"/>
      <c r="I30" s="75"/>
    </row>
    <row r="31" spans="1:21" x14ac:dyDescent="0.2">
      <c r="G31" s="68"/>
      <c r="I31" s="75"/>
    </row>
    <row r="32" spans="1:21" x14ac:dyDescent="0.2">
      <c r="G32" s="68"/>
      <c r="I32" s="75"/>
    </row>
    <row r="33" spans="7:9" x14ac:dyDescent="0.2">
      <c r="G33" s="68"/>
      <c r="I33" s="75"/>
    </row>
    <row r="34" spans="7:9" x14ac:dyDescent="0.2">
      <c r="G34" s="68"/>
      <c r="I34" s="75"/>
    </row>
    <row r="35" spans="7:9" x14ac:dyDescent="0.2">
      <c r="G35" s="68"/>
      <c r="I35" s="75"/>
    </row>
    <row r="36" spans="7:9" x14ac:dyDescent="0.2">
      <c r="G36" s="68"/>
      <c r="I36" s="75"/>
    </row>
    <row r="37" spans="7:9" x14ac:dyDescent="0.2">
      <c r="G37" s="68"/>
      <c r="I37" s="75"/>
    </row>
    <row r="38" spans="7:9" x14ac:dyDescent="0.2">
      <c r="G38" s="68"/>
      <c r="I38" s="75"/>
    </row>
    <row r="39" spans="7:9" x14ac:dyDescent="0.2">
      <c r="G39" s="68"/>
      <c r="I39" s="75"/>
    </row>
    <row r="40" spans="7:9" x14ac:dyDescent="0.2">
      <c r="G40" s="68"/>
      <c r="I40" s="75"/>
    </row>
    <row r="41" spans="7:9" x14ac:dyDescent="0.2">
      <c r="G41" s="68"/>
      <c r="I41" s="75"/>
    </row>
    <row r="42" spans="7:9" x14ac:dyDescent="0.2">
      <c r="G42" s="68"/>
      <c r="I42" s="75"/>
    </row>
    <row r="43" spans="7:9" x14ac:dyDescent="0.2">
      <c r="G43" s="68"/>
      <c r="I43" s="75"/>
    </row>
    <row r="44" spans="7:9" x14ac:dyDescent="0.2">
      <c r="G44" s="68"/>
      <c r="I44" s="75"/>
    </row>
    <row r="45" spans="7:9" x14ac:dyDescent="0.2">
      <c r="G45" s="68"/>
      <c r="I45" s="75"/>
    </row>
    <row r="46" spans="7:9" x14ac:dyDescent="0.2">
      <c r="G46" s="68"/>
      <c r="I46" s="75"/>
    </row>
    <row r="47" spans="7:9" x14ac:dyDescent="0.2">
      <c r="G47" s="68"/>
      <c r="I47" s="75"/>
    </row>
    <row r="48" spans="7:9" x14ac:dyDescent="0.2">
      <c r="G48" s="68"/>
      <c r="I48" s="75"/>
    </row>
    <row r="49" spans="7:9" x14ac:dyDescent="0.2">
      <c r="G49" s="68"/>
      <c r="I49" s="75"/>
    </row>
    <row r="50" spans="7:9" x14ac:dyDescent="0.2">
      <c r="G50" s="68"/>
      <c r="I50" s="75"/>
    </row>
    <row r="51" spans="7:9" x14ac:dyDescent="0.2">
      <c r="G51" s="68"/>
      <c r="I51" s="75"/>
    </row>
    <row r="52" spans="7:9" x14ac:dyDescent="0.2">
      <c r="G52" s="68"/>
      <c r="I52" s="75"/>
    </row>
    <row r="53" spans="7:9" x14ac:dyDescent="0.2">
      <c r="G53" s="68"/>
      <c r="I53" s="75"/>
    </row>
    <row r="54" spans="7:9" x14ac:dyDescent="0.2">
      <c r="G54" s="68"/>
      <c r="I54" s="75"/>
    </row>
    <row r="55" spans="7:9" x14ac:dyDescent="0.2">
      <c r="G55" s="68"/>
      <c r="I55" s="75"/>
    </row>
    <row r="56" spans="7:9" x14ac:dyDescent="0.2">
      <c r="G56" s="68"/>
      <c r="I56" s="75"/>
    </row>
    <row r="57" spans="7:9" x14ac:dyDescent="0.2">
      <c r="G57" s="68"/>
      <c r="I57" s="75"/>
    </row>
    <row r="58" spans="7:9" x14ac:dyDescent="0.2">
      <c r="G58" s="68"/>
      <c r="I58" s="75"/>
    </row>
    <row r="59" spans="7:9" x14ac:dyDescent="0.2">
      <c r="G59" s="68"/>
      <c r="I59" s="75"/>
    </row>
    <row r="60" spans="7:9" x14ac:dyDescent="0.2">
      <c r="G60" s="68"/>
      <c r="I60" s="75"/>
    </row>
    <row r="61" spans="7:9" x14ac:dyDescent="0.2">
      <c r="G61" s="68"/>
      <c r="I61" s="75"/>
    </row>
    <row r="62" spans="7:9" x14ac:dyDescent="0.2">
      <c r="G62" s="68"/>
      <c r="I62" s="75"/>
    </row>
    <row r="63" spans="7:9" x14ac:dyDescent="0.2">
      <c r="G63" s="68"/>
      <c r="I63" s="75"/>
    </row>
    <row r="64" spans="7:9" x14ac:dyDescent="0.2">
      <c r="G64" s="68"/>
      <c r="I64" s="75"/>
    </row>
    <row r="65" spans="7:9" x14ac:dyDescent="0.2">
      <c r="G65" s="68"/>
      <c r="I65" s="75"/>
    </row>
    <row r="66" spans="7:9" x14ac:dyDescent="0.2">
      <c r="G66" s="68"/>
      <c r="I66" s="75"/>
    </row>
    <row r="67" spans="7:9" x14ac:dyDescent="0.2">
      <c r="G67" s="68"/>
      <c r="I67" s="75"/>
    </row>
    <row r="68" spans="7:9" x14ac:dyDescent="0.2">
      <c r="G68" s="68"/>
      <c r="I68" s="75"/>
    </row>
    <row r="69" spans="7:9" x14ac:dyDescent="0.2">
      <c r="G69" s="68"/>
      <c r="I69" s="75"/>
    </row>
  </sheetData>
  <autoFilter ref="A16:T28" xr:uid="{00000000-0009-0000-0000-000000000000}"/>
  <mergeCells count="27">
    <mergeCell ref="A2:T2"/>
    <mergeCell ref="A3:T3"/>
    <mergeCell ref="A4:T4"/>
    <mergeCell ref="A6:C6"/>
    <mergeCell ref="A7:C7"/>
    <mergeCell ref="M15:M16"/>
    <mergeCell ref="A8:C8"/>
    <mergeCell ref="A9:C9"/>
    <mergeCell ref="A11:C11"/>
    <mergeCell ref="A12:C12"/>
    <mergeCell ref="G13:H13"/>
    <mergeCell ref="T15:T16"/>
    <mergeCell ref="D15:E15"/>
    <mergeCell ref="N15:S15"/>
    <mergeCell ref="A23:C23"/>
    <mergeCell ref="A28:F28"/>
    <mergeCell ref="J28:S28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80"/>
  <sheetViews>
    <sheetView topLeftCell="A16" zoomScale="69" zoomScaleNormal="69" zoomScaleSheetLayoutView="85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3" width="17.5" style="6" customWidth="1"/>
    <col min="14" max="14" width="20.33203125" style="3" customWidth="1"/>
    <col min="15" max="15" width="15.6640625" style="3" hidden="1" customWidth="1"/>
    <col min="16" max="16" width="16.5" style="3" hidden="1" customWidth="1"/>
    <col min="17" max="17" width="17.1640625" style="6" hidden="1" customWidth="1"/>
    <col min="18" max="18" width="17" style="3" customWidth="1"/>
    <col min="19" max="19" width="19.6640625" style="3" customWidth="1"/>
    <col min="20" max="16384" width="9" style="3"/>
  </cols>
  <sheetData>
    <row r="1" spans="1:20" x14ac:dyDescent="0.2">
      <c r="A1" s="7"/>
      <c r="B1" s="8"/>
      <c r="C1" s="9"/>
      <c r="D1" s="7"/>
      <c r="E1" s="7"/>
      <c r="F1" s="7"/>
      <c r="G1" s="10"/>
      <c r="H1" s="31"/>
      <c r="I1" s="9"/>
      <c r="J1" s="31"/>
      <c r="K1" s="32"/>
      <c r="N1" s="31"/>
      <c r="O1" s="31"/>
      <c r="P1" s="31"/>
      <c r="R1" s="31"/>
      <c r="S1" s="31"/>
    </row>
    <row r="2" spans="1:20" ht="30.5" customHeight="1" x14ac:dyDescent="0.2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</row>
    <row r="3" spans="1:20" x14ac:dyDescent="0.2">
      <c r="A3" s="288" t="s">
        <v>58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</row>
    <row r="4" spans="1:20" ht="4.5" customHeight="1" x14ac:dyDescent="0.2">
      <c r="A4" s="288" t="s">
        <v>2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</row>
    <row r="5" spans="1:20" ht="4.5" customHeight="1" x14ac:dyDescent="0.2">
      <c r="A5" s="7"/>
      <c r="B5" s="12"/>
      <c r="C5" s="7"/>
      <c r="D5" s="7"/>
      <c r="E5" s="7"/>
      <c r="F5" s="7"/>
      <c r="G5" s="10"/>
      <c r="H5" s="7"/>
      <c r="I5" s="7"/>
      <c r="J5" s="7"/>
      <c r="K5" s="33"/>
      <c r="L5" s="34"/>
      <c r="M5" s="34"/>
      <c r="N5" s="7"/>
      <c r="O5" s="7"/>
      <c r="P5" s="7"/>
      <c r="Q5" s="34"/>
      <c r="R5" s="7"/>
      <c r="S5" s="7"/>
    </row>
    <row r="6" spans="1:20" x14ac:dyDescent="0.2">
      <c r="A6" s="285" t="s">
        <v>3</v>
      </c>
      <c r="B6" s="285"/>
      <c r="C6" s="285"/>
      <c r="E6" s="13" t="s">
        <v>4</v>
      </c>
      <c r="F6" s="14"/>
      <c r="G6" s="15"/>
      <c r="H6" s="13"/>
      <c r="I6" s="35"/>
      <c r="J6" s="13"/>
      <c r="K6" s="36"/>
      <c r="L6" s="37"/>
      <c r="M6" s="37"/>
      <c r="N6" s="13"/>
      <c r="O6" s="50"/>
      <c r="P6" s="13"/>
      <c r="Q6" s="37"/>
      <c r="R6" s="13"/>
      <c r="S6" s="13"/>
    </row>
    <row r="7" spans="1:20" x14ac:dyDescent="0.2">
      <c r="A7" s="285" t="s">
        <v>5</v>
      </c>
      <c r="B7" s="285"/>
      <c r="C7" s="285"/>
      <c r="E7" s="13" t="s">
        <v>6</v>
      </c>
      <c r="F7" s="14"/>
      <c r="G7" s="15"/>
      <c r="H7" s="38"/>
      <c r="I7" s="39"/>
      <c r="J7" s="38"/>
      <c r="K7" s="40"/>
      <c r="L7" s="41"/>
      <c r="M7" s="41"/>
      <c r="N7" s="13"/>
      <c r="O7" s="13"/>
      <c r="P7" s="13"/>
      <c r="Q7" s="37"/>
      <c r="R7" s="13"/>
      <c r="S7" s="13"/>
    </row>
    <row r="8" spans="1:20" x14ac:dyDescent="0.2">
      <c r="A8" s="285" t="s">
        <v>7</v>
      </c>
      <c r="B8" s="285"/>
      <c r="C8" s="285"/>
      <c r="E8" s="113" t="s">
        <v>8</v>
      </c>
      <c r="F8" s="14"/>
      <c r="G8" s="15"/>
      <c r="H8" s="38"/>
      <c r="I8" s="39"/>
      <c r="J8" s="38"/>
      <c r="K8" s="40"/>
      <c r="L8" s="41"/>
      <c r="M8" s="41"/>
      <c r="N8" s="13"/>
      <c r="O8" s="13"/>
      <c r="P8" s="13"/>
      <c r="Q8" s="37"/>
      <c r="R8" s="13"/>
      <c r="S8" s="13"/>
    </row>
    <row r="9" spans="1:20" x14ac:dyDescent="0.2">
      <c r="A9" s="285" t="s">
        <v>9</v>
      </c>
      <c r="B9" s="285"/>
      <c r="C9" s="285"/>
      <c r="E9" s="13"/>
      <c r="F9" s="14"/>
      <c r="G9" s="15"/>
      <c r="H9" s="38"/>
      <c r="I9" s="39"/>
      <c r="J9" s="38"/>
      <c r="K9" s="40"/>
      <c r="L9" s="41"/>
      <c r="M9" s="41"/>
      <c r="N9" s="13"/>
      <c r="O9" s="13"/>
      <c r="P9" s="13"/>
      <c r="Q9" s="37"/>
      <c r="R9" s="13"/>
      <c r="S9" s="13"/>
    </row>
    <row r="10" spans="1:20" x14ac:dyDescent="0.2">
      <c r="A10" s="16"/>
      <c r="B10" s="17"/>
      <c r="C10" s="16"/>
      <c r="E10" s="13"/>
      <c r="F10" s="14"/>
      <c r="G10" s="15"/>
      <c r="H10" s="38"/>
      <c r="I10" s="39"/>
      <c r="J10" s="38"/>
      <c r="K10" s="40"/>
      <c r="L10" s="41"/>
      <c r="M10" s="41"/>
      <c r="N10" s="13"/>
      <c r="O10" s="13"/>
      <c r="P10" s="13"/>
      <c r="Q10" s="37"/>
      <c r="R10" s="13"/>
      <c r="S10" s="13"/>
    </row>
    <row r="11" spans="1:20" x14ac:dyDescent="0.2">
      <c r="A11" s="286" t="s">
        <v>10</v>
      </c>
      <c r="B11" s="286"/>
      <c r="C11" s="286"/>
      <c r="E11" s="13" t="s">
        <v>11</v>
      </c>
      <c r="F11" s="14"/>
      <c r="G11" s="15"/>
      <c r="H11" s="13"/>
      <c r="I11" s="35"/>
      <c r="J11" s="13"/>
      <c r="K11" s="36"/>
      <c r="L11" s="37"/>
      <c r="M11" s="37"/>
      <c r="N11" s="13"/>
      <c r="O11" s="50"/>
      <c r="P11" s="13"/>
      <c r="Q11" s="37"/>
      <c r="R11" s="13"/>
      <c r="S11" s="13"/>
    </row>
    <row r="12" spans="1:20" x14ac:dyDescent="0.2">
      <c r="A12" s="285" t="s">
        <v>5</v>
      </c>
      <c r="B12" s="285"/>
      <c r="C12" s="285"/>
      <c r="E12" s="13" t="s">
        <v>12</v>
      </c>
      <c r="F12" s="14"/>
      <c r="G12" s="18"/>
      <c r="H12" s="38"/>
      <c r="I12" s="39"/>
      <c r="J12" s="38"/>
      <c r="K12" s="40"/>
      <c r="L12" s="41"/>
      <c r="M12" s="41"/>
      <c r="N12" s="13"/>
      <c r="O12" s="13"/>
      <c r="P12" s="13"/>
      <c r="Q12" s="37"/>
      <c r="R12" s="13"/>
      <c r="S12" s="13"/>
    </row>
    <row r="13" spans="1:20" ht="20.25" customHeight="1" x14ac:dyDescent="0.2">
      <c r="A13" s="13" t="s">
        <v>13</v>
      </c>
      <c r="B13" s="19"/>
      <c r="C13" s="14"/>
      <c r="E13" s="114" t="s">
        <v>14</v>
      </c>
      <c r="F13" s="14"/>
      <c r="G13" s="287"/>
      <c r="H13" s="287"/>
      <c r="I13" s="7"/>
      <c r="J13" s="14"/>
      <c r="K13" s="40"/>
      <c r="L13" s="41"/>
      <c r="M13" s="41"/>
      <c r="N13" s="14"/>
      <c r="O13" s="14"/>
      <c r="P13" s="14"/>
      <c r="Q13" s="41"/>
      <c r="R13" s="14"/>
      <c r="S13" s="14"/>
    </row>
    <row r="14" spans="1:20" x14ac:dyDescent="0.2">
      <c r="A14" s="20"/>
      <c r="B14" s="21"/>
      <c r="C14" s="20"/>
      <c r="D14" s="20"/>
      <c r="E14" s="20"/>
      <c r="F14" s="20"/>
      <c r="G14" s="10"/>
      <c r="H14" s="20"/>
      <c r="I14" s="7"/>
      <c r="J14" s="20"/>
      <c r="K14" s="42"/>
      <c r="L14" s="43"/>
      <c r="M14" s="43"/>
      <c r="N14" s="20"/>
      <c r="O14" s="51"/>
      <c r="P14" s="20"/>
      <c r="Q14" s="43"/>
      <c r="R14" s="20"/>
      <c r="S14" s="20"/>
    </row>
    <row r="15" spans="1:20" s="1" customFormat="1" ht="30" customHeight="1" x14ac:dyDescent="0.2">
      <c r="A15" s="270" t="s">
        <v>15</v>
      </c>
      <c r="B15" s="278" t="s">
        <v>16</v>
      </c>
      <c r="C15" s="270" t="s">
        <v>17</v>
      </c>
      <c r="D15" s="270" t="s">
        <v>18</v>
      </c>
      <c r="E15" s="270"/>
      <c r="F15" s="270" t="s">
        <v>19</v>
      </c>
      <c r="G15" s="270" t="s">
        <v>20</v>
      </c>
      <c r="H15" s="270" t="s">
        <v>21</v>
      </c>
      <c r="I15" s="268" t="s">
        <v>22</v>
      </c>
      <c r="J15" s="268" t="s">
        <v>23</v>
      </c>
      <c r="K15" s="281" t="s">
        <v>24</v>
      </c>
      <c r="L15" s="283" t="s">
        <v>25</v>
      </c>
      <c r="M15" s="283" t="s">
        <v>26</v>
      </c>
      <c r="N15" s="271" t="s">
        <v>27</v>
      </c>
      <c r="O15" s="272"/>
      <c r="P15" s="272"/>
      <c r="Q15" s="272"/>
      <c r="R15" s="273"/>
      <c r="S15" s="268" t="s">
        <v>28</v>
      </c>
      <c r="T15" s="3"/>
    </row>
    <row r="16" spans="1:20" s="1" customFormat="1" ht="68.25" customHeight="1" x14ac:dyDescent="0.2">
      <c r="A16" s="269"/>
      <c r="B16" s="279"/>
      <c r="C16" s="270"/>
      <c r="D16" s="22">
        <v>20</v>
      </c>
      <c r="E16" s="22">
        <v>40</v>
      </c>
      <c r="F16" s="269"/>
      <c r="G16" s="270"/>
      <c r="H16" s="269"/>
      <c r="I16" s="280"/>
      <c r="J16" s="269"/>
      <c r="K16" s="282"/>
      <c r="L16" s="284"/>
      <c r="M16" s="284"/>
      <c r="N16" s="45" t="s">
        <v>29</v>
      </c>
      <c r="O16" s="44" t="s">
        <v>31</v>
      </c>
      <c r="P16" s="44" t="s">
        <v>32</v>
      </c>
      <c r="Q16" s="52" t="s">
        <v>33</v>
      </c>
      <c r="R16" s="44" t="s">
        <v>30</v>
      </c>
      <c r="S16" s="269"/>
      <c r="T16" s="3"/>
    </row>
    <row r="17" spans="1:20" s="1" customFormat="1" ht="33" customHeight="1" x14ac:dyDescent="0.2">
      <c r="A17" s="23">
        <v>1</v>
      </c>
      <c r="B17" s="30" t="s">
        <v>34</v>
      </c>
      <c r="C17" s="28" t="s">
        <v>59</v>
      </c>
      <c r="D17" s="28"/>
      <c r="E17" s="26">
        <v>1</v>
      </c>
      <c r="F17" s="28" t="s">
        <v>60</v>
      </c>
      <c r="G17" s="29" t="s">
        <v>37</v>
      </c>
      <c r="H17" s="26" t="s">
        <v>38</v>
      </c>
      <c r="I17" s="46" t="s">
        <v>39</v>
      </c>
      <c r="J17" s="46" t="s">
        <v>61</v>
      </c>
      <c r="K17" s="47" t="s">
        <v>62</v>
      </c>
      <c r="L17" s="48">
        <v>1500000</v>
      </c>
      <c r="M17" s="48"/>
      <c r="N17" s="49">
        <v>4100000</v>
      </c>
      <c r="O17" s="49"/>
      <c r="P17" s="49"/>
      <c r="Q17" s="48"/>
      <c r="R17" s="53">
        <f t="shared" ref="R17:R33" si="0">(O17+P17+Q17+N17)*0.08</f>
        <v>328000</v>
      </c>
      <c r="S17" s="54">
        <f t="shared" ref="S17:S33" si="1">R17+Q17+P17+O17+N17</f>
        <v>4428000</v>
      </c>
      <c r="T17" s="2"/>
    </row>
    <row r="18" spans="1:20" s="1" customFormat="1" ht="33" customHeight="1" x14ac:dyDescent="0.2">
      <c r="A18" s="23">
        <v>2</v>
      </c>
      <c r="B18" s="30" t="s">
        <v>34</v>
      </c>
      <c r="C18" s="28" t="s">
        <v>59</v>
      </c>
      <c r="D18" s="28"/>
      <c r="E18" s="26">
        <v>1</v>
      </c>
      <c r="F18" s="28" t="s">
        <v>63</v>
      </c>
      <c r="G18" s="29" t="s">
        <v>37</v>
      </c>
      <c r="H18" s="26" t="s">
        <v>38</v>
      </c>
      <c r="I18" s="46" t="s">
        <v>39</v>
      </c>
      <c r="J18" s="46" t="s">
        <v>61</v>
      </c>
      <c r="K18" s="47" t="s">
        <v>64</v>
      </c>
      <c r="L18" s="48">
        <v>1500000</v>
      </c>
      <c r="M18" s="48"/>
      <c r="N18" s="49">
        <v>4100000</v>
      </c>
      <c r="O18" s="49"/>
      <c r="P18" s="49"/>
      <c r="Q18" s="48"/>
      <c r="R18" s="53">
        <f t="shared" si="0"/>
        <v>328000</v>
      </c>
      <c r="S18" s="54">
        <f t="shared" si="1"/>
        <v>4428000</v>
      </c>
      <c r="T18" s="2"/>
    </row>
    <row r="19" spans="1:20" s="1" customFormat="1" ht="33" customHeight="1" x14ac:dyDescent="0.2">
      <c r="A19" s="23">
        <v>3</v>
      </c>
      <c r="B19" s="30" t="s">
        <v>34</v>
      </c>
      <c r="C19" s="28" t="s">
        <v>59</v>
      </c>
      <c r="D19" s="28"/>
      <c r="E19" s="26">
        <v>1</v>
      </c>
      <c r="F19" s="28" t="s">
        <v>65</v>
      </c>
      <c r="G19" s="29" t="s">
        <v>37</v>
      </c>
      <c r="H19" s="26" t="s">
        <v>38</v>
      </c>
      <c r="I19" s="46" t="s">
        <v>39</v>
      </c>
      <c r="J19" s="46" t="s">
        <v>61</v>
      </c>
      <c r="K19" s="47" t="s">
        <v>66</v>
      </c>
      <c r="L19" s="48">
        <v>1500000</v>
      </c>
      <c r="M19" s="48"/>
      <c r="N19" s="49">
        <v>4100000</v>
      </c>
      <c r="O19" s="49"/>
      <c r="P19" s="49"/>
      <c r="Q19" s="48"/>
      <c r="R19" s="53">
        <f t="shared" si="0"/>
        <v>328000</v>
      </c>
      <c r="S19" s="54">
        <f t="shared" si="1"/>
        <v>4428000</v>
      </c>
      <c r="T19" s="2"/>
    </row>
    <row r="20" spans="1:20" s="1" customFormat="1" ht="33" customHeight="1" x14ac:dyDescent="0.2">
      <c r="A20" s="23">
        <v>4</v>
      </c>
      <c r="B20" s="30" t="s">
        <v>34</v>
      </c>
      <c r="C20" s="28" t="s">
        <v>59</v>
      </c>
      <c r="D20" s="28"/>
      <c r="E20" s="26">
        <v>1</v>
      </c>
      <c r="F20" s="28" t="s">
        <v>67</v>
      </c>
      <c r="G20" s="29" t="s">
        <v>37</v>
      </c>
      <c r="H20" s="26" t="s">
        <v>38</v>
      </c>
      <c r="I20" s="46" t="s">
        <v>39</v>
      </c>
      <c r="J20" s="46" t="s">
        <v>61</v>
      </c>
      <c r="K20" s="47" t="s">
        <v>68</v>
      </c>
      <c r="L20" s="48">
        <v>1500000</v>
      </c>
      <c r="M20" s="48"/>
      <c r="N20" s="49">
        <v>4100000</v>
      </c>
      <c r="O20" s="49"/>
      <c r="P20" s="49"/>
      <c r="Q20" s="48"/>
      <c r="R20" s="53">
        <f t="shared" si="0"/>
        <v>328000</v>
      </c>
      <c r="S20" s="54">
        <f t="shared" si="1"/>
        <v>4428000</v>
      </c>
      <c r="T20" s="2"/>
    </row>
    <row r="21" spans="1:20" s="1" customFormat="1" ht="33" customHeight="1" x14ac:dyDescent="0.2">
      <c r="A21" s="23">
        <v>5</v>
      </c>
      <c r="B21" s="30" t="s">
        <v>34</v>
      </c>
      <c r="C21" s="28" t="s">
        <v>59</v>
      </c>
      <c r="D21" s="28"/>
      <c r="E21" s="26">
        <v>1</v>
      </c>
      <c r="F21" s="28" t="s">
        <v>69</v>
      </c>
      <c r="G21" s="29" t="s">
        <v>37</v>
      </c>
      <c r="H21" s="26" t="s">
        <v>38</v>
      </c>
      <c r="I21" s="46" t="s">
        <v>39</v>
      </c>
      <c r="J21" s="46" t="s">
        <v>61</v>
      </c>
      <c r="K21" s="47" t="s">
        <v>70</v>
      </c>
      <c r="L21" s="48">
        <v>1500000</v>
      </c>
      <c r="M21" s="48"/>
      <c r="N21" s="49">
        <v>4100000</v>
      </c>
      <c r="O21" s="49"/>
      <c r="P21" s="49"/>
      <c r="Q21" s="48"/>
      <c r="R21" s="53">
        <f t="shared" si="0"/>
        <v>328000</v>
      </c>
      <c r="S21" s="54">
        <f t="shared" si="1"/>
        <v>4428000</v>
      </c>
      <c r="T21" s="2"/>
    </row>
    <row r="22" spans="1:20" s="1" customFormat="1" ht="33" customHeight="1" x14ac:dyDescent="0.2">
      <c r="A22" s="23">
        <v>6</v>
      </c>
      <c r="B22" s="30" t="s">
        <v>71</v>
      </c>
      <c r="C22" s="28" t="s">
        <v>72</v>
      </c>
      <c r="D22" s="28"/>
      <c r="E22" s="26">
        <v>1</v>
      </c>
      <c r="F22" s="28" t="s">
        <v>73</v>
      </c>
      <c r="G22" s="29" t="s">
        <v>37</v>
      </c>
      <c r="H22" s="26" t="s">
        <v>38</v>
      </c>
      <c r="I22" s="46" t="s">
        <v>39</v>
      </c>
      <c r="J22" s="46" t="s">
        <v>74</v>
      </c>
      <c r="K22" s="47" t="s">
        <v>75</v>
      </c>
      <c r="L22" s="48">
        <v>1500000</v>
      </c>
      <c r="M22" s="48"/>
      <c r="N22" s="49">
        <v>4100000</v>
      </c>
      <c r="O22" s="49"/>
      <c r="P22" s="49"/>
      <c r="Q22" s="48"/>
      <c r="R22" s="53">
        <f t="shared" si="0"/>
        <v>328000</v>
      </c>
      <c r="S22" s="54">
        <f t="shared" si="1"/>
        <v>4428000</v>
      </c>
      <c r="T22" s="2"/>
    </row>
    <row r="23" spans="1:20" s="1" customFormat="1" ht="33" customHeight="1" x14ac:dyDescent="0.2">
      <c r="A23" s="23">
        <v>7</v>
      </c>
      <c r="B23" s="30" t="s">
        <v>71</v>
      </c>
      <c r="C23" s="28" t="s">
        <v>72</v>
      </c>
      <c r="D23" s="28"/>
      <c r="E23" s="26">
        <v>1</v>
      </c>
      <c r="F23" s="28" t="s">
        <v>76</v>
      </c>
      <c r="G23" s="29" t="s">
        <v>37</v>
      </c>
      <c r="H23" s="26" t="s">
        <v>38</v>
      </c>
      <c r="I23" s="46" t="s">
        <v>39</v>
      </c>
      <c r="J23" s="46" t="s">
        <v>74</v>
      </c>
      <c r="K23" s="47" t="s">
        <v>77</v>
      </c>
      <c r="L23" s="48">
        <v>1500000</v>
      </c>
      <c r="M23" s="48"/>
      <c r="N23" s="49">
        <v>4100000</v>
      </c>
      <c r="O23" s="49"/>
      <c r="P23" s="49"/>
      <c r="Q23" s="48"/>
      <c r="R23" s="53">
        <f t="shared" si="0"/>
        <v>328000</v>
      </c>
      <c r="S23" s="54">
        <f t="shared" si="1"/>
        <v>4428000</v>
      </c>
      <c r="T23" s="2"/>
    </row>
    <row r="24" spans="1:20" s="109" customFormat="1" ht="33" customHeight="1" x14ac:dyDescent="0.2">
      <c r="A24" s="76">
        <v>8</v>
      </c>
      <c r="B24" s="77" t="s">
        <v>71</v>
      </c>
      <c r="C24" s="78" t="s">
        <v>72</v>
      </c>
      <c r="D24" s="78"/>
      <c r="E24" s="79">
        <v>1</v>
      </c>
      <c r="F24" s="78" t="s">
        <v>78</v>
      </c>
      <c r="G24" s="80" t="s">
        <v>37</v>
      </c>
      <c r="H24" s="79" t="s">
        <v>38</v>
      </c>
      <c r="I24" s="91" t="s">
        <v>39</v>
      </c>
      <c r="J24" s="91" t="s">
        <v>74</v>
      </c>
      <c r="K24" s="92" t="s">
        <v>79</v>
      </c>
      <c r="L24" s="93">
        <v>1500000</v>
      </c>
      <c r="M24" s="93"/>
      <c r="N24" s="94">
        <v>4100000</v>
      </c>
      <c r="O24" s="94"/>
      <c r="P24" s="94"/>
      <c r="Q24" s="93"/>
      <c r="R24" s="103">
        <f t="shared" si="0"/>
        <v>328000</v>
      </c>
      <c r="S24" s="104">
        <f t="shared" si="1"/>
        <v>4428000</v>
      </c>
      <c r="T24" s="110"/>
    </row>
    <row r="25" spans="1:20" s="109" customFormat="1" ht="33" customHeight="1" x14ac:dyDescent="0.2">
      <c r="A25" s="76">
        <v>9</v>
      </c>
      <c r="B25" s="77" t="s">
        <v>71</v>
      </c>
      <c r="C25" s="78" t="s">
        <v>72</v>
      </c>
      <c r="D25" s="78"/>
      <c r="E25" s="79">
        <v>1</v>
      </c>
      <c r="F25" s="78" t="s">
        <v>80</v>
      </c>
      <c r="G25" s="80" t="s">
        <v>37</v>
      </c>
      <c r="H25" s="79" t="s">
        <v>38</v>
      </c>
      <c r="I25" s="91" t="s">
        <v>39</v>
      </c>
      <c r="J25" s="91" t="s">
        <v>74</v>
      </c>
      <c r="K25" s="92" t="s">
        <v>81</v>
      </c>
      <c r="L25" s="93">
        <v>1500000</v>
      </c>
      <c r="M25" s="93"/>
      <c r="N25" s="94">
        <v>4100000</v>
      </c>
      <c r="O25" s="94"/>
      <c r="P25" s="94"/>
      <c r="Q25" s="93"/>
      <c r="R25" s="103">
        <f t="shared" si="0"/>
        <v>328000</v>
      </c>
      <c r="S25" s="104">
        <f t="shared" si="1"/>
        <v>4428000</v>
      </c>
      <c r="T25" s="110"/>
    </row>
    <row r="26" spans="1:20" s="1" customFormat="1" ht="33" customHeight="1" x14ac:dyDescent="0.2">
      <c r="A26" s="23">
        <v>10</v>
      </c>
      <c r="B26" s="30" t="s">
        <v>71</v>
      </c>
      <c r="C26" s="28" t="s">
        <v>72</v>
      </c>
      <c r="D26" s="28"/>
      <c r="E26" s="26">
        <v>1</v>
      </c>
      <c r="F26" s="28" t="s">
        <v>82</v>
      </c>
      <c r="G26" s="29" t="s">
        <v>37</v>
      </c>
      <c r="H26" s="26" t="s">
        <v>38</v>
      </c>
      <c r="I26" s="46" t="s">
        <v>39</v>
      </c>
      <c r="J26" s="46" t="s">
        <v>74</v>
      </c>
      <c r="K26" s="47" t="s">
        <v>83</v>
      </c>
      <c r="L26" s="48">
        <v>1500000</v>
      </c>
      <c r="M26" s="48"/>
      <c r="N26" s="49">
        <v>4100000</v>
      </c>
      <c r="O26" s="49"/>
      <c r="P26" s="49"/>
      <c r="Q26" s="48"/>
      <c r="R26" s="53">
        <f t="shared" si="0"/>
        <v>328000</v>
      </c>
      <c r="S26" s="54">
        <f t="shared" si="1"/>
        <v>4428000</v>
      </c>
      <c r="T26" s="2"/>
    </row>
    <row r="27" spans="1:20" s="1" customFormat="1" ht="33" customHeight="1" x14ac:dyDescent="0.2">
      <c r="A27" s="23">
        <v>11</v>
      </c>
      <c r="B27" s="30" t="s">
        <v>84</v>
      </c>
      <c r="C27" s="28" t="s">
        <v>85</v>
      </c>
      <c r="D27" s="28"/>
      <c r="E27" s="26">
        <v>1</v>
      </c>
      <c r="F27" s="28" t="s">
        <v>86</v>
      </c>
      <c r="G27" s="29" t="s">
        <v>37</v>
      </c>
      <c r="H27" s="26" t="s">
        <v>38</v>
      </c>
      <c r="I27" s="46" t="s">
        <v>39</v>
      </c>
      <c r="J27" s="46" t="s">
        <v>87</v>
      </c>
      <c r="K27" s="47" t="s">
        <v>88</v>
      </c>
      <c r="L27" s="48">
        <v>1500000</v>
      </c>
      <c r="M27" s="48"/>
      <c r="N27" s="49">
        <v>4100000</v>
      </c>
      <c r="O27" s="49"/>
      <c r="P27" s="49"/>
      <c r="Q27" s="48"/>
      <c r="R27" s="53">
        <f t="shared" si="0"/>
        <v>328000</v>
      </c>
      <c r="S27" s="54">
        <f t="shared" si="1"/>
        <v>4428000</v>
      </c>
      <c r="T27" s="2"/>
    </row>
    <row r="28" spans="1:20" s="1" customFormat="1" ht="33" customHeight="1" x14ac:dyDescent="0.2">
      <c r="A28" s="23">
        <v>12</v>
      </c>
      <c r="B28" s="30" t="s">
        <v>84</v>
      </c>
      <c r="C28" s="28" t="s">
        <v>85</v>
      </c>
      <c r="D28" s="28"/>
      <c r="E28" s="26">
        <v>1</v>
      </c>
      <c r="F28" s="28" t="s">
        <v>89</v>
      </c>
      <c r="G28" s="29" t="s">
        <v>37</v>
      </c>
      <c r="H28" s="26" t="s">
        <v>38</v>
      </c>
      <c r="I28" s="46" t="s">
        <v>39</v>
      </c>
      <c r="J28" s="46" t="s">
        <v>87</v>
      </c>
      <c r="K28" s="47" t="s">
        <v>90</v>
      </c>
      <c r="L28" s="48">
        <v>1500000</v>
      </c>
      <c r="M28" s="48"/>
      <c r="N28" s="49">
        <v>4100000</v>
      </c>
      <c r="O28" s="49"/>
      <c r="P28" s="49"/>
      <c r="Q28" s="48"/>
      <c r="R28" s="53">
        <f t="shared" si="0"/>
        <v>328000</v>
      </c>
      <c r="S28" s="54">
        <f t="shared" si="1"/>
        <v>4428000</v>
      </c>
      <c r="T28" s="2"/>
    </row>
    <row r="29" spans="1:20" s="1" customFormat="1" ht="33" customHeight="1" x14ac:dyDescent="0.2">
      <c r="A29" s="23">
        <v>13</v>
      </c>
      <c r="B29" s="30" t="s">
        <v>84</v>
      </c>
      <c r="C29" s="28" t="s">
        <v>85</v>
      </c>
      <c r="D29" s="28"/>
      <c r="E29" s="26">
        <v>1</v>
      </c>
      <c r="F29" s="28" t="s">
        <v>91</v>
      </c>
      <c r="G29" s="29" t="s">
        <v>37</v>
      </c>
      <c r="H29" s="26" t="s">
        <v>38</v>
      </c>
      <c r="I29" s="46" t="s">
        <v>39</v>
      </c>
      <c r="J29" s="46" t="s">
        <v>87</v>
      </c>
      <c r="K29" s="47" t="s">
        <v>92</v>
      </c>
      <c r="L29" s="48">
        <v>1500000</v>
      </c>
      <c r="M29" s="48">
        <v>5000000</v>
      </c>
      <c r="N29" s="49">
        <v>4100000</v>
      </c>
      <c r="O29" s="49"/>
      <c r="P29" s="49"/>
      <c r="Q29" s="48"/>
      <c r="R29" s="53">
        <f t="shared" si="0"/>
        <v>328000</v>
      </c>
      <c r="S29" s="54">
        <f t="shared" si="1"/>
        <v>4428000</v>
      </c>
      <c r="T29" s="2"/>
    </row>
    <row r="30" spans="1:20" s="1" customFormat="1" ht="33" customHeight="1" x14ac:dyDescent="0.2">
      <c r="A30" s="23">
        <v>14</v>
      </c>
      <c r="B30" s="30" t="s">
        <v>84</v>
      </c>
      <c r="C30" s="28" t="s">
        <v>85</v>
      </c>
      <c r="D30" s="28"/>
      <c r="E30" s="26">
        <v>1</v>
      </c>
      <c r="F30" s="28" t="s">
        <v>93</v>
      </c>
      <c r="G30" s="29" t="s">
        <v>37</v>
      </c>
      <c r="H30" s="26" t="s">
        <v>38</v>
      </c>
      <c r="I30" s="46" t="s">
        <v>39</v>
      </c>
      <c r="J30" s="46" t="s">
        <v>87</v>
      </c>
      <c r="K30" s="47" t="s">
        <v>94</v>
      </c>
      <c r="L30" s="48">
        <v>1500000</v>
      </c>
      <c r="M30" s="48">
        <v>700000</v>
      </c>
      <c r="N30" s="49">
        <v>4100000</v>
      </c>
      <c r="O30" s="49"/>
      <c r="P30" s="49"/>
      <c r="Q30" s="48"/>
      <c r="R30" s="53">
        <f t="shared" si="0"/>
        <v>328000</v>
      </c>
      <c r="S30" s="54">
        <f t="shared" si="1"/>
        <v>4428000</v>
      </c>
      <c r="T30" s="2"/>
    </row>
    <row r="31" spans="1:20" s="1" customFormat="1" ht="33" customHeight="1" x14ac:dyDescent="0.2">
      <c r="A31" s="23">
        <v>15</v>
      </c>
      <c r="B31" s="30" t="s">
        <v>84</v>
      </c>
      <c r="C31" s="28" t="s">
        <v>85</v>
      </c>
      <c r="D31" s="28"/>
      <c r="E31" s="26">
        <v>1</v>
      </c>
      <c r="F31" s="28" t="s">
        <v>95</v>
      </c>
      <c r="G31" s="29" t="s">
        <v>37</v>
      </c>
      <c r="H31" s="26" t="s">
        <v>38</v>
      </c>
      <c r="I31" s="46" t="s">
        <v>39</v>
      </c>
      <c r="J31" s="46" t="s">
        <v>87</v>
      </c>
      <c r="K31" s="47" t="s">
        <v>96</v>
      </c>
      <c r="L31" s="48">
        <v>1500000</v>
      </c>
      <c r="M31" s="48"/>
      <c r="N31" s="49">
        <v>4100000</v>
      </c>
      <c r="O31" s="49"/>
      <c r="P31" s="49"/>
      <c r="Q31" s="48"/>
      <c r="R31" s="53">
        <f t="shared" si="0"/>
        <v>328000</v>
      </c>
      <c r="S31" s="54">
        <f t="shared" si="1"/>
        <v>4428000</v>
      </c>
      <c r="T31" s="2"/>
    </row>
    <row r="32" spans="1:20" s="1" customFormat="1" ht="33" customHeight="1" x14ac:dyDescent="0.2">
      <c r="A32" s="23">
        <v>16</v>
      </c>
      <c r="B32" s="30" t="s">
        <v>84</v>
      </c>
      <c r="C32" s="28" t="s">
        <v>85</v>
      </c>
      <c r="D32" s="28"/>
      <c r="E32" s="26">
        <v>1</v>
      </c>
      <c r="F32" s="28" t="s">
        <v>97</v>
      </c>
      <c r="G32" s="29" t="s">
        <v>37</v>
      </c>
      <c r="H32" s="26" t="s">
        <v>38</v>
      </c>
      <c r="I32" s="46" t="s">
        <v>39</v>
      </c>
      <c r="J32" s="46" t="s">
        <v>87</v>
      </c>
      <c r="K32" s="47" t="s">
        <v>98</v>
      </c>
      <c r="L32" s="48">
        <v>1500000</v>
      </c>
      <c r="M32" s="48"/>
      <c r="N32" s="49">
        <v>4100000</v>
      </c>
      <c r="O32" s="49"/>
      <c r="P32" s="49"/>
      <c r="Q32" s="48"/>
      <c r="R32" s="53">
        <f t="shared" si="0"/>
        <v>328000</v>
      </c>
      <c r="S32" s="54">
        <f t="shared" si="1"/>
        <v>4428000</v>
      </c>
      <c r="T32" s="2"/>
    </row>
    <row r="33" spans="1:20" s="1" customFormat="1" ht="33" customHeight="1" x14ac:dyDescent="0.2">
      <c r="A33" s="23">
        <v>17</v>
      </c>
      <c r="B33" s="30" t="s">
        <v>84</v>
      </c>
      <c r="C33" s="28" t="s">
        <v>85</v>
      </c>
      <c r="D33" s="28"/>
      <c r="E33" s="26">
        <v>1</v>
      </c>
      <c r="F33" s="28" t="s">
        <v>99</v>
      </c>
      <c r="G33" s="29" t="s">
        <v>37</v>
      </c>
      <c r="H33" s="26" t="s">
        <v>38</v>
      </c>
      <c r="I33" s="46" t="s">
        <v>39</v>
      </c>
      <c r="J33" s="46" t="s">
        <v>87</v>
      </c>
      <c r="K33" s="47" t="s">
        <v>100</v>
      </c>
      <c r="L33" s="48">
        <v>1500000</v>
      </c>
      <c r="M33" s="48"/>
      <c r="N33" s="49">
        <v>4100000</v>
      </c>
      <c r="O33" s="49"/>
      <c r="P33" s="49"/>
      <c r="Q33" s="48"/>
      <c r="R33" s="53">
        <f t="shared" si="0"/>
        <v>328000</v>
      </c>
      <c r="S33" s="54">
        <f t="shared" si="1"/>
        <v>4428000</v>
      </c>
      <c r="T33" s="2"/>
    </row>
    <row r="34" spans="1:20" ht="33" customHeight="1" x14ac:dyDescent="0.2">
      <c r="A34" s="274" t="s">
        <v>52</v>
      </c>
      <c r="B34" s="275"/>
      <c r="C34" s="276"/>
      <c r="D34" s="55">
        <f>SUM(D17:D33)</f>
        <v>0</v>
      </c>
      <c r="E34" s="55">
        <f>SUM(E17:E33)</f>
        <v>17</v>
      </c>
      <c r="F34" s="56"/>
      <c r="G34" s="57"/>
      <c r="H34" s="56"/>
      <c r="I34" s="46"/>
      <c r="J34" s="56"/>
      <c r="K34" s="69"/>
      <c r="L34" s="70">
        <f>SUM(L17:L33)</f>
        <v>25500000</v>
      </c>
      <c r="M34" s="70">
        <f t="shared" ref="M34:S34" si="2">SUM(M17:M33)</f>
        <v>5700000</v>
      </c>
      <c r="N34" s="70">
        <f t="shared" si="2"/>
        <v>69700000</v>
      </c>
      <c r="O34" s="70">
        <f t="shared" si="2"/>
        <v>0</v>
      </c>
      <c r="P34" s="70">
        <f t="shared" si="2"/>
        <v>0</v>
      </c>
      <c r="Q34" s="70">
        <f t="shared" si="2"/>
        <v>0</v>
      </c>
      <c r="R34" s="70">
        <f t="shared" si="2"/>
        <v>5576000</v>
      </c>
      <c r="S34" s="70">
        <f t="shared" si="2"/>
        <v>75276000</v>
      </c>
      <c r="T34" s="2"/>
    </row>
    <row r="35" spans="1:20" ht="18" customHeight="1" x14ac:dyDescent="0.2">
      <c r="A35" s="58" t="s">
        <v>53</v>
      </c>
      <c r="B35" s="58"/>
      <c r="H35" s="14"/>
      <c r="I35" s="10"/>
      <c r="J35" s="14"/>
      <c r="K35" s="40"/>
      <c r="L35" s="41"/>
      <c r="M35" s="41"/>
      <c r="N35" s="14"/>
      <c r="O35" s="14"/>
      <c r="P35" s="14"/>
      <c r="Q35" s="41"/>
      <c r="R35" s="14"/>
      <c r="S35" s="14"/>
    </row>
    <row r="36" spans="1:20" s="2" customFormat="1" ht="23.25" customHeight="1" x14ac:dyDescent="0.2">
      <c r="A36" s="59"/>
      <c r="B36" s="60"/>
      <c r="C36" s="61" t="s">
        <v>29</v>
      </c>
      <c r="D36" s="62"/>
      <c r="E36" s="62"/>
      <c r="F36" s="62">
        <f>S34</f>
        <v>75276000</v>
      </c>
      <c r="G36" s="63"/>
      <c r="H36" s="65"/>
      <c r="I36" s="11"/>
      <c r="J36" s="65"/>
      <c r="K36" s="71"/>
      <c r="L36" s="72"/>
      <c r="M36" s="72"/>
      <c r="N36" s="65"/>
      <c r="O36" s="65"/>
      <c r="P36" s="65"/>
      <c r="Q36" s="72"/>
      <c r="R36" s="65"/>
      <c r="S36" s="65"/>
    </row>
    <row r="37" spans="1:20" x14ac:dyDescent="0.2">
      <c r="A37" s="14"/>
      <c r="B37" s="64"/>
      <c r="C37" s="65" t="s">
        <v>54</v>
      </c>
      <c r="D37" s="14"/>
      <c r="E37" s="14"/>
      <c r="F37" s="66">
        <f>L34</f>
        <v>25500000</v>
      </c>
      <c r="G37" s="10"/>
      <c r="H37" s="14"/>
      <c r="I37" s="7"/>
      <c r="J37" s="14"/>
      <c r="K37" s="40"/>
      <c r="L37" s="41"/>
      <c r="M37" s="41"/>
      <c r="N37" s="14"/>
      <c r="O37" s="14"/>
      <c r="P37" s="14"/>
      <c r="Q37" s="41"/>
      <c r="R37" s="14"/>
      <c r="S37" s="14"/>
    </row>
    <row r="38" spans="1:20" x14ac:dyDescent="0.2">
      <c r="A38" s="14"/>
      <c r="B38" s="64"/>
      <c r="C38" s="65" t="s">
        <v>55</v>
      </c>
      <c r="D38" s="14"/>
      <c r="E38" s="14"/>
      <c r="F38" s="66">
        <f>M34</f>
        <v>5700000</v>
      </c>
      <c r="G38" s="10"/>
      <c r="H38" s="14"/>
      <c r="I38" s="7"/>
      <c r="J38" s="14"/>
      <c r="K38" s="40"/>
      <c r="L38" s="41"/>
      <c r="M38" s="41"/>
      <c r="N38" s="14"/>
      <c r="O38" s="14"/>
      <c r="P38" s="14"/>
      <c r="Q38" s="41"/>
      <c r="R38" s="14"/>
      <c r="S38" s="14"/>
    </row>
    <row r="39" spans="1:20" ht="23.25" customHeight="1" x14ac:dyDescent="0.2">
      <c r="A39" s="277" t="s">
        <v>56</v>
      </c>
      <c r="B39" s="277"/>
      <c r="C39" s="277"/>
      <c r="D39" s="277"/>
      <c r="E39" s="277"/>
      <c r="F39" s="277"/>
      <c r="G39" s="67"/>
      <c r="H39" s="73"/>
      <c r="I39" s="74"/>
      <c r="J39" s="277" t="s">
        <v>57</v>
      </c>
      <c r="K39" s="277"/>
      <c r="L39" s="277"/>
      <c r="M39" s="277"/>
      <c r="N39" s="277"/>
      <c r="O39" s="277"/>
      <c r="P39" s="277"/>
      <c r="Q39" s="277"/>
      <c r="R39" s="277"/>
      <c r="S39" s="11"/>
    </row>
    <row r="40" spans="1:20" x14ac:dyDescent="0.2">
      <c r="G40" s="68"/>
      <c r="I40" s="75"/>
    </row>
    <row r="41" spans="1:20" x14ac:dyDescent="0.2">
      <c r="G41" s="68"/>
      <c r="I41" s="75"/>
    </row>
    <row r="42" spans="1:20" x14ac:dyDescent="0.2">
      <c r="G42" s="68"/>
      <c r="I42" s="75"/>
    </row>
    <row r="43" spans="1:20" x14ac:dyDescent="0.2">
      <c r="G43" s="68"/>
      <c r="I43" s="75"/>
    </row>
    <row r="44" spans="1:20" x14ac:dyDescent="0.2">
      <c r="G44" s="68"/>
      <c r="I44" s="75"/>
    </row>
    <row r="45" spans="1:20" x14ac:dyDescent="0.2">
      <c r="G45" s="68"/>
      <c r="I45" s="75"/>
    </row>
    <row r="46" spans="1:20" x14ac:dyDescent="0.2">
      <c r="G46" s="68"/>
      <c r="I46" s="75"/>
    </row>
    <row r="47" spans="1:20" x14ac:dyDescent="0.2">
      <c r="G47" s="68"/>
      <c r="I47" s="75"/>
    </row>
    <row r="48" spans="1:20" x14ac:dyDescent="0.2">
      <c r="G48" s="68"/>
      <c r="I48" s="75"/>
    </row>
    <row r="49" spans="7:9" x14ac:dyDescent="0.2">
      <c r="G49" s="68"/>
      <c r="I49" s="75"/>
    </row>
    <row r="50" spans="7:9" x14ac:dyDescent="0.2">
      <c r="G50" s="68"/>
      <c r="I50" s="75"/>
    </row>
    <row r="51" spans="7:9" x14ac:dyDescent="0.2">
      <c r="G51" s="68"/>
      <c r="I51" s="75"/>
    </row>
    <row r="52" spans="7:9" x14ac:dyDescent="0.2">
      <c r="G52" s="68"/>
      <c r="I52" s="75"/>
    </row>
    <row r="53" spans="7:9" x14ac:dyDescent="0.2">
      <c r="G53" s="68"/>
      <c r="I53" s="75"/>
    </row>
    <row r="54" spans="7:9" x14ac:dyDescent="0.2">
      <c r="G54" s="68"/>
      <c r="I54" s="75"/>
    </row>
    <row r="55" spans="7:9" x14ac:dyDescent="0.2">
      <c r="G55" s="68"/>
      <c r="I55" s="75"/>
    </row>
    <row r="56" spans="7:9" x14ac:dyDescent="0.2">
      <c r="G56" s="68"/>
      <c r="I56" s="75"/>
    </row>
    <row r="57" spans="7:9" x14ac:dyDescent="0.2">
      <c r="G57" s="68"/>
      <c r="I57" s="75"/>
    </row>
    <row r="58" spans="7:9" x14ac:dyDescent="0.2">
      <c r="G58" s="68"/>
      <c r="I58" s="75"/>
    </row>
    <row r="59" spans="7:9" x14ac:dyDescent="0.2">
      <c r="G59" s="68"/>
      <c r="I59" s="75"/>
    </row>
    <row r="60" spans="7:9" x14ac:dyDescent="0.2">
      <c r="G60" s="68"/>
      <c r="I60" s="75"/>
    </row>
    <row r="61" spans="7:9" x14ac:dyDescent="0.2">
      <c r="G61" s="68"/>
      <c r="I61" s="75"/>
    </row>
    <row r="62" spans="7:9" x14ac:dyDescent="0.2">
      <c r="G62" s="68"/>
      <c r="I62" s="75"/>
    </row>
    <row r="63" spans="7:9" x14ac:dyDescent="0.2">
      <c r="G63" s="68"/>
      <c r="I63" s="75"/>
    </row>
    <row r="64" spans="7:9" x14ac:dyDescent="0.2">
      <c r="G64" s="68"/>
      <c r="I64" s="75"/>
    </row>
    <row r="65" spans="7:9" x14ac:dyDescent="0.2">
      <c r="G65" s="68"/>
      <c r="I65" s="75"/>
    </row>
    <row r="66" spans="7:9" x14ac:dyDescent="0.2">
      <c r="G66" s="68"/>
      <c r="I66" s="75"/>
    </row>
    <row r="67" spans="7:9" x14ac:dyDescent="0.2">
      <c r="G67" s="68"/>
      <c r="I67" s="75"/>
    </row>
    <row r="68" spans="7:9" x14ac:dyDescent="0.2">
      <c r="G68" s="68"/>
      <c r="I68" s="75"/>
    </row>
    <row r="69" spans="7:9" x14ac:dyDescent="0.2">
      <c r="G69" s="68"/>
      <c r="I69" s="75"/>
    </row>
    <row r="70" spans="7:9" x14ac:dyDescent="0.2">
      <c r="G70" s="68"/>
      <c r="I70" s="75"/>
    </row>
    <row r="71" spans="7:9" x14ac:dyDescent="0.2">
      <c r="G71" s="68"/>
      <c r="I71" s="75"/>
    </row>
    <row r="72" spans="7:9" x14ac:dyDescent="0.2">
      <c r="G72" s="68"/>
      <c r="I72" s="75"/>
    </row>
    <row r="73" spans="7:9" x14ac:dyDescent="0.2">
      <c r="G73" s="68"/>
      <c r="I73" s="75"/>
    </row>
    <row r="74" spans="7:9" x14ac:dyDescent="0.2">
      <c r="G74" s="68"/>
      <c r="I74" s="75"/>
    </row>
    <row r="75" spans="7:9" x14ac:dyDescent="0.2">
      <c r="G75" s="68"/>
      <c r="I75" s="75"/>
    </row>
    <row r="76" spans="7:9" x14ac:dyDescent="0.2">
      <c r="G76" s="68"/>
      <c r="I76" s="75"/>
    </row>
    <row r="77" spans="7:9" x14ac:dyDescent="0.2">
      <c r="G77" s="68"/>
      <c r="I77" s="75"/>
    </row>
    <row r="78" spans="7:9" x14ac:dyDescent="0.2">
      <c r="G78" s="68"/>
      <c r="I78" s="75"/>
    </row>
    <row r="79" spans="7:9" x14ac:dyDescent="0.2">
      <c r="G79" s="68"/>
      <c r="I79" s="75"/>
    </row>
    <row r="80" spans="7:9" x14ac:dyDescent="0.2">
      <c r="G80" s="68"/>
      <c r="I80" s="75"/>
    </row>
  </sheetData>
  <autoFilter ref="A16:S39" xr:uid="{00000000-0009-0000-0000-000001000000}"/>
  <mergeCells count="27">
    <mergeCell ref="A2:S2"/>
    <mergeCell ref="A3:S3"/>
    <mergeCell ref="A4:S4"/>
    <mergeCell ref="A6:C6"/>
    <mergeCell ref="A7:C7"/>
    <mergeCell ref="M15:M16"/>
    <mergeCell ref="A8:C8"/>
    <mergeCell ref="A9:C9"/>
    <mergeCell ref="A11:C11"/>
    <mergeCell ref="A12:C12"/>
    <mergeCell ref="G13:H13"/>
    <mergeCell ref="S15:S16"/>
    <mergeCell ref="D15:E15"/>
    <mergeCell ref="N15:R15"/>
    <mergeCell ref="A34:C34"/>
    <mergeCell ref="A39:F39"/>
    <mergeCell ref="J39:R39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4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T83"/>
  <sheetViews>
    <sheetView topLeftCell="A19" zoomScale="69" zoomScaleNormal="69" zoomScaleSheetLayoutView="85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3" width="17.5" style="6" customWidth="1"/>
    <col min="14" max="14" width="20.33203125" style="3" customWidth="1"/>
    <col min="15" max="15" width="15.6640625" style="3" hidden="1" customWidth="1"/>
    <col min="16" max="16" width="16.5" style="3" hidden="1" customWidth="1"/>
    <col min="17" max="17" width="17.1640625" style="6" hidden="1" customWidth="1"/>
    <col min="18" max="18" width="17" style="3" customWidth="1"/>
    <col min="19" max="19" width="19.6640625" style="3" customWidth="1"/>
    <col min="20" max="16384" width="9" style="3"/>
  </cols>
  <sheetData>
    <row r="1" spans="1:20" x14ac:dyDescent="0.2">
      <c r="A1" s="7"/>
      <c r="B1" s="8"/>
      <c r="C1" s="9"/>
      <c r="D1" s="7"/>
      <c r="E1" s="7"/>
      <c r="F1" s="7"/>
      <c r="G1" s="10"/>
      <c r="H1" s="31"/>
      <c r="I1" s="9"/>
      <c r="J1" s="31"/>
      <c r="K1" s="32"/>
      <c r="N1" s="31"/>
      <c r="O1" s="31"/>
      <c r="P1" s="31"/>
      <c r="R1" s="31"/>
      <c r="S1" s="31"/>
    </row>
    <row r="2" spans="1:20" ht="30.5" customHeight="1" x14ac:dyDescent="0.2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</row>
    <row r="3" spans="1:20" x14ac:dyDescent="0.2">
      <c r="A3" s="288" t="s">
        <v>101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</row>
    <row r="4" spans="1:20" ht="4.5" customHeight="1" x14ac:dyDescent="0.2">
      <c r="A4" s="288" t="s">
        <v>2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</row>
    <row r="5" spans="1:20" ht="4.5" customHeight="1" x14ac:dyDescent="0.2">
      <c r="A5" s="7"/>
      <c r="B5" s="12"/>
      <c r="C5" s="7"/>
      <c r="D5" s="7"/>
      <c r="E5" s="7"/>
      <c r="F5" s="7"/>
      <c r="G5" s="10"/>
      <c r="H5" s="7"/>
      <c r="I5" s="7"/>
      <c r="J5" s="7"/>
      <c r="K5" s="33"/>
      <c r="L5" s="34"/>
      <c r="M5" s="34"/>
      <c r="N5" s="7"/>
      <c r="O5" s="7"/>
      <c r="P5" s="7"/>
      <c r="Q5" s="34"/>
      <c r="R5" s="7"/>
      <c r="S5" s="7"/>
    </row>
    <row r="6" spans="1:20" x14ac:dyDescent="0.2">
      <c r="A6" s="285" t="s">
        <v>3</v>
      </c>
      <c r="B6" s="285"/>
      <c r="C6" s="285"/>
      <c r="E6" s="13" t="s">
        <v>4</v>
      </c>
      <c r="F6" s="14"/>
      <c r="G6" s="15"/>
      <c r="H6" s="13"/>
      <c r="I6" s="35"/>
      <c r="J6" s="13"/>
      <c r="K6" s="36"/>
      <c r="L6" s="37"/>
      <c r="M6" s="37"/>
      <c r="N6" s="13"/>
      <c r="O6" s="50"/>
      <c r="P6" s="13"/>
      <c r="Q6" s="37"/>
      <c r="R6" s="13"/>
      <c r="S6" s="13"/>
    </row>
    <row r="7" spans="1:20" x14ac:dyDescent="0.2">
      <c r="A7" s="285" t="s">
        <v>5</v>
      </c>
      <c r="B7" s="285"/>
      <c r="C7" s="285"/>
      <c r="E7" s="13" t="s">
        <v>6</v>
      </c>
      <c r="F7" s="14"/>
      <c r="G7" s="15"/>
      <c r="H7" s="38"/>
      <c r="I7" s="39"/>
      <c r="J7" s="38"/>
      <c r="K7" s="40"/>
      <c r="L7" s="41"/>
      <c r="M7" s="41"/>
      <c r="N7" s="13"/>
      <c r="O7" s="13"/>
      <c r="P7" s="13"/>
      <c r="Q7" s="37"/>
      <c r="R7" s="13"/>
      <c r="S7" s="13"/>
    </row>
    <row r="8" spans="1:20" x14ac:dyDescent="0.2">
      <c r="A8" s="285" t="s">
        <v>7</v>
      </c>
      <c r="B8" s="285"/>
      <c r="C8" s="285"/>
      <c r="E8" s="113" t="s">
        <v>8</v>
      </c>
      <c r="F8" s="14"/>
      <c r="G8" s="15"/>
      <c r="H8" s="38"/>
      <c r="I8" s="39"/>
      <c r="J8" s="38"/>
      <c r="K8" s="40"/>
      <c r="L8" s="41"/>
      <c r="M8" s="41"/>
      <c r="N8" s="13"/>
      <c r="O8" s="13"/>
      <c r="P8" s="13"/>
      <c r="Q8" s="37"/>
      <c r="R8" s="13"/>
      <c r="S8" s="13"/>
    </row>
    <row r="9" spans="1:20" x14ac:dyDescent="0.2">
      <c r="A9" s="285" t="s">
        <v>9</v>
      </c>
      <c r="B9" s="285"/>
      <c r="C9" s="285"/>
      <c r="E9" s="13"/>
      <c r="F9" s="14"/>
      <c r="G9" s="15"/>
      <c r="H9" s="38"/>
      <c r="I9" s="39"/>
      <c r="J9" s="38"/>
      <c r="K9" s="40"/>
      <c r="L9" s="41"/>
      <c r="M9" s="41"/>
      <c r="N9" s="13"/>
      <c r="O9" s="13"/>
      <c r="P9" s="13"/>
      <c r="Q9" s="37"/>
      <c r="R9" s="13"/>
      <c r="S9" s="13"/>
    </row>
    <row r="10" spans="1:20" x14ac:dyDescent="0.2">
      <c r="A10" s="16"/>
      <c r="B10" s="17"/>
      <c r="C10" s="16"/>
      <c r="E10" s="13"/>
      <c r="F10" s="14"/>
      <c r="G10" s="15"/>
      <c r="H10" s="38"/>
      <c r="I10" s="39"/>
      <c r="J10" s="38"/>
      <c r="K10" s="40"/>
      <c r="L10" s="41"/>
      <c r="M10" s="41"/>
      <c r="N10" s="13"/>
      <c r="O10" s="13"/>
      <c r="P10" s="13"/>
      <c r="Q10" s="37"/>
      <c r="R10" s="13"/>
      <c r="S10" s="13"/>
    </row>
    <row r="11" spans="1:20" x14ac:dyDescent="0.2">
      <c r="A11" s="286" t="s">
        <v>10</v>
      </c>
      <c r="B11" s="286"/>
      <c r="C11" s="286"/>
      <c r="E11" s="13" t="s">
        <v>11</v>
      </c>
      <c r="F11" s="14"/>
      <c r="G11" s="15"/>
      <c r="H11" s="13"/>
      <c r="I11" s="35"/>
      <c r="J11" s="13"/>
      <c r="K11" s="36"/>
      <c r="L11" s="37"/>
      <c r="M11" s="37"/>
      <c r="N11" s="13"/>
      <c r="O11" s="50"/>
      <c r="P11" s="13"/>
      <c r="Q11" s="37"/>
      <c r="R11" s="13"/>
      <c r="S11" s="13"/>
    </row>
    <row r="12" spans="1:20" x14ac:dyDescent="0.2">
      <c r="A12" s="285" t="s">
        <v>5</v>
      </c>
      <c r="B12" s="285"/>
      <c r="C12" s="285"/>
      <c r="E12" s="13" t="s">
        <v>12</v>
      </c>
      <c r="F12" s="14"/>
      <c r="G12" s="18"/>
      <c r="H12" s="38"/>
      <c r="I12" s="39"/>
      <c r="J12" s="38"/>
      <c r="K12" s="40"/>
      <c r="L12" s="41"/>
      <c r="M12" s="41"/>
      <c r="N12" s="13"/>
      <c r="O12" s="13"/>
      <c r="P12" s="13"/>
      <c r="Q12" s="37"/>
      <c r="R12" s="13"/>
      <c r="S12" s="13"/>
    </row>
    <row r="13" spans="1:20" ht="20.25" customHeight="1" x14ac:dyDescent="0.2">
      <c r="A13" s="13" t="s">
        <v>13</v>
      </c>
      <c r="B13" s="19"/>
      <c r="C13" s="14"/>
      <c r="E13" s="114" t="s">
        <v>14</v>
      </c>
      <c r="F13" s="14"/>
      <c r="G13" s="287"/>
      <c r="H13" s="287"/>
      <c r="I13" s="7"/>
      <c r="J13" s="14"/>
      <c r="K13" s="40"/>
      <c r="L13" s="41"/>
      <c r="M13" s="41"/>
      <c r="N13" s="14"/>
      <c r="O13" s="14"/>
      <c r="P13" s="14"/>
      <c r="Q13" s="41"/>
      <c r="R13" s="14"/>
      <c r="S13" s="14"/>
    </row>
    <row r="14" spans="1:20" x14ac:dyDescent="0.2">
      <c r="A14" s="20"/>
      <c r="B14" s="21"/>
      <c r="C14" s="20"/>
      <c r="D14" s="20"/>
      <c r="E14" s="20"/>
      <c r="F14" s="20"/>
      <c r="G14" s="10"/>
      <c r="H14" s="20"/>
      <c r="I14" s="7"/>
      <c r="J14" s="20"/>
      <c r="K14" s="42"/>
      <c r="L14" s="43"/>
      <c r="M14" s="43"/>
      <c r="N14" s="20"/>
      <c r="O14" s="51"/>
      <c r="P14" s="20"/>
      <c r="Q14" s="43"/>
      <c r="R14" s="20"/>
      <c r="S14" s="20"/>
    </row>
    <row r="15" spans="1:20" s="1" customFormat="1" ht="30" customHeight="1" x14ac:dyDescent="0.2">
      <c r="A15" s="270" t="s">
        <v>15</v>
      </c>
      <c r="B15" s="278" t="s">
        <v>16</v>
      </c>
      <c r="C15" s="270" t="s">
        <v>17</v>
      </c>
      <c r="D15" s="270" t="s">
        <v>18</v>
      </c>
      <c r="E15" s="270"/>
      <c r="F15" s="270" t="s">
        <v>19</v>
      </c>
      <c r="G15" s="270" t="s">
        <v>20</v>
      </c>
      <c r="H15" s="270" t="s">
        <v>21</v>
      </c>
      <c r="I15" s="268" t="s">
        <v>22</v>
      </c>
      <c r="J15" s="268" t="s">
        <v>23</v>
      </c>
      <c r="K15" s="281" t="s">
        <v>24</v>
      </c>
      <c r="L15" s="283" t="s">
        <v>25</v>
      </c>
      <c r="M15" s="283" t="s">
        <v>26</v>
      </c>
      <c r="N15" s="271" t="s">
        <v>102</v>
      </c>
      <c r="O15" s="272"/>
      <c r="P15" s="272"/>
      <c r="Q15" s="272"/>
      <c r="R15" s="273"/>
      <c r="S15" s="268" t="s">
        <v>28</v>
      </c>
      <c r="T15" s="3"/>
    </row>
    <row r="16" spans="1:20" s="1" customFormat="1" ht="68.25" customHeight="1" x14ac:dyDescent="0.2">
      <c r="A16" s="269"/>
      <c r="B16" s="279"/>
      <c r="C16" s="270"/>
      <c r="D16" s="22">
        <v>20</v>
      </c>
      <c r="E16" s="22">
        <v>40</v>
      </c>
      <c r="F16" s="269"/>
      <c r="G16" s="270"/>
      <c r="H16" s="269"/>
      <c r="I16" s="280"/>
      <c r="J16" s="269"/>
      <c r="K16" s="282"/>
      <c r="L16" s="284"/>
      <c r="M16" s="284"/>
      <c r="N16" s="45" t="s">
        <v>29</v>
      </c>
      <c r="O16" s="44" t="s">
        <v>31</v>
      </c>
      <c r="P16" s="44" t="s">
        <v>32</v>
      </c>
      <c r="Q16" s="52" t="s">
        <v>33</v>
      </c>
      <c r="R16" s="44" t="s">
        <v>30</v>
      </c>
      <c r="S16" s="269"/>
      <c r="T16" s="3"/>
    </row>
    <row r="17" spans="1:20" s="1" customFormat="1" ht="33" customHeight="1" x14ac:dyDescent="0.2">
      <c r="A17" s="23">
        <v>1</v>
      </c>
      <c r="B17" s="30">
        <v>45934</v>
      </c>
      <c r="C17" s="28" t="s">
        <v>103</v>
      </c>
      <c r="D17" s="28"/>
      <c r="E17" s="26">
        <v>1</v>
      </c>
      <c r="F17" s="28" t="s">
        <v>104</v>
      </c>
      <c r="G17" s="29" t="s">
        <v>37</v>
      </c>
      <c r="H17" s="26" t="s">
        <v>38</v>
      </c>
      <c r="I17" s="46" t="s">
        <v>39</v>
      </c>
      <c r="J17" s="46" t="s">
        <v>61</v>
      </c>
      <c r="K17" s="47" t="s">
        <v>105</v>
      </c>
      <c r="L17" s="48">
        <v>1500000</v>
      </c>
      <c r="M17" s="48">
        <v>3000000</v>
      </c>
      <c r="N17" s="49">
        <f>4428000/1.08</f>
        <v>4099999.9999999995</v>
      </c>
      <c r="O17" s="49"/>
      <c r="P17" s="49"/>
      <c r="Q17" s="48"/>
      <c r="R17" s="53">
        <f>(O17+P17+Q17+N17)*0.08</f>
        <v>327999.99999999994</v>
      </c>
      <c r="S17" s="54">
        <f>R17+Q17+P17+O17+N17</f>
        <v>4427999.9999999991</v>
      </c>
      <c r="T17" s="2"/>
    </row>
    <row r="18" spans="1:20" s="1" customFormat="1" ht="33" customHeight="1" x14ac:dyDescent="0.2">
      <c r="A18" s="23">
        <v>2</v>
      </c>
      <c r="B18" s="30">
        <v>45934</v>
      </c>
      <c r="C18" s="28" t="s">
        <v>103</v>
      </c>
      <c r="D18" s="28"/>
      <c r="E18" s="26">
        <v>1</v>
      </c>
      <c r="F18" s="28" t="s">
        <v>106</v>
      </c>
      <c r="G18" s="29" t="s">
        <v>37</v>
      </c>
      <c r="H18" s="26" t="s">
        <v>38</v>
      </c>
      <c r="I18" s="46" t="s">
        <v>39</v>
      </c>
      <c r="J18" s="46" t="s">
        <v>40</v>
      </c>
      <c r="K18" s="47" t="s">
        <v>107</v>
      </c>
      <c r="L18" s="48">
        <v>1500000</v>
      </c>
      <c r="M18" s="48"/>
      <c r="N18" s="49">
        <f t="shared" ref="N18:N26" si="0">4428000/1.08</f>
        <v>4099999.9999999995</v>
      </c>
      <c r="O18" s="49"/>
      <c r="P18" s="49"/>
      <c r="Q18" s="48"/>
      <c r="R18" s="53">
        <f t="shared" ref="R18:R36" si="1">(O18+P18+Q18+N18)*0.08</f>
        <v>327999.99999999994</v>
      </c>
      <c r="S18" s="54">
        <f t="shared" ref="S18:S36" si="2">R18+Q18+P18+O18+N18</f>
        <v>4427999.9999999991</v>
      </c>
      <c r="T18" s="2"/>
    </row>
    <row r="19" spans="1:20" s="1" customFormat="1" ht="33" customHeight="1" x14ac:dyDescent="0.2">
      <c r="A19" s="23">
        <v>3</v>
      </c>
      <c r="B19" s="30">
        <v>45934</v>
      </c>
      <c r="C19" s="28" t="s">
        <v>103</v>
      </c>
      <c r="D19" s="28"/>
      <c r="E19" s="26">
        <v>1</v>
      </c>
      <c r="F19" s="28" t="s">
        <v>108</v>
      </c>
      <c r="G19" s="29" t="s">
        <v>37</v>
      </c>
      <c r="H19" s="26" t="s">
        <v>38</v>
      </c>
      <c r="I19" s="46" t="s">
        <v>39</v>
      </c>
      <c r="J19" s="46" t="s">
        <v>87</v>
      </c>
      <c r="K19" s="47" t="s">
        <v>109</v>
      </c>
      <c r="L19" s="48">
        <v>1500000</v>
      </c>
      <c r="M19" s="48"/>
      <c r="N19" s="49">
        <f t="shared" si="0"/>
        <v>4099999.9999999995</v>
      </c>
      <c r="O19" s="49"/>
      <c r="P19" s="49"/>
      <c r="Q19" s="48"/>
      <c r="R19" s="53">
        <f t="shared" si="1"/>
        <v>327999.99999999994</v>
      </c>
      <c r="S19" s="54">
        <f t="shared" si="2"/>
        <v>4427999.9999999991</v>
      </c>
      <c r="T19" s="2"/>
    </row>
    <row r="20" spans="1:20" s="1" customFormat="1" ht="33" customHeight="1" x14ac:dyDescent="0.2">
      <c r="A20" s="23">
        <v>4</v>
      </c>
      <c r="B20" s="30">
        <v>45934</v>
      </c>
      <c r="C20" s="28" t="s">
        <v>103</v>
      </c>
      <c r="D20" s="28"/>
      <c r="E20" s="26">
        <v>1</v>
      </c>
      <c r="F20" s="28" t="s">
        <v>110</v>
      </c>
      <c r="G20" s="29" t="s">
        <v>37</v>
      </c>
      <c r="H20" s="26" t="s">
        <v>38</v>
      </c>
      <c r="I20" s="46" t="s">
        <v>39</v>
      </c>
      <c r="J20" s="46" t="s">
        <v>87</v>
      </c>
      <c r="K20" s="47" t="s">
        <v>111</v>
      </c>
      <c r="L20" s="48">
        <v>1500000</v>
      </c>
      <c r="M20" s="48"/>
      <c r="N20" s="49">
        <f t="shared" si="0"/>
        <v>4099999.9999999995</v>
      </c>
      <c r="O20" s="49"/>
      <c r="P20" s="49"/>
      <c r="Q20" s="48"/>
      <c r="R20" s="53">
        <f t="shared" si="1"/>
        <v>327999.99999999994</v>
      </c>
      <c r="S20" s="54">
        <f t="shared" si="2"/>
        <v>4427999.9999999991</v>
      </c>
      <c r="T20" s="2"/>
    </row>
    <row r="21" spans="1:20" s="1" customFormat="1" ht="33" customHeight="1" x14ac:dyDescent="0.2">
      <c r="A21" s="23">
        <v>5</v>
      </c>
      <c r="B21" s="30">
        <v>45934</v>
      </c>
      <c r="C21" s="28" t="s">
        <v>103</v>
      </c>
      <c r="D21" s="28"/>
      <c r="E21" s="26">
        <v>1</v>
      </c>
      <c r="F21" s="28" t="s">
        <v>112</v>
      </c>
      <c r="G21" s="29" t="s">
        <v>37</v>
      </c>
      <c r="H21" s="26" t="s">
        <v>38</v>
      </c>
      <c r="I21" s="46" t="s">
        <v>39</v>
      </c>
      <c r="J21" s="46" t="s">
        <v>87</v>
      </c>
      <c r="K21" s="47" t="s">
        <v>113</v>
      </c>
      <c r="L21" s="48">
        <v>1500000</v>
      </c>
      <c r="M21" s="48"/>
      <c r="N21" s="49">
        <f t="shared" si="0"/>
        <v>4099999.9999999995</v>
      </c>
      <c r="O21" s="49"/>
      <c r="P21" s="49"/>
      <c r="Q21" s="48"/>
      <c r="R21" s="53">
        <f t="shared" si="1"/>
        <v>327999.99999999994</v>
      </c>
      <c r="S21" s="54">
        <f t="shared" si="2"/>
        <v>4427999.9999999991</v>
      </c>
      <c r="T21" s="2"/>
    </row>
    <row r="22" spans="1:20" s="1" customFormat="1" ht="33" customHeight="1" x14ac:dyDescent="0.2">
      <c r="A22" s="23">
        <v>6</v>
      </c>
      <c r="B22" s="30">
        <v>45934</v>
      </c>
      <c r="C22" s="28" t="s">
        <v>103</v>
      </c>
      <c r="D22" s="28"/>
      <c r="E22" s="26">
        <v>1</v>
      </c>
      <c r="F22" s="28" t="s">
        <v>114</v>
      </c>
      <c r="G22" s="29" t="s">
        <v>37</v>
      </c>
      <c r="H22" s="26" t="s">
        <v>38</v>
      </c>
      <c r="I22" s="46" t="s">
        <v>39</v>
      </c>
      <c r="J22" s="46" t="s">
        <v>40</v>
      </c>
      <c r="K22" s="47" t="s">
        <v>115</v>
      </c>
      <c r="L22" s="48">
        <v>1500000</v>
      </c>
      <c r="M22" s="48"/>
      <c r="N22" s="49">
        <f t="shared" si="0"/>
        <v>4099999.9999999995</v>
      </c>
      <c r="O22" s="49"/>
      <c r="P22" s="49"/>
      <c r="Q22" s="48"/>
      <c r="R22" s="53">
        <f t="shared" si="1"/>
        <v>327999.99999999994</v>
      </c>
      <c r="S22" s="54">
        <f t="shared" si="2"/>
        <v>4427999.9999999991</v>
      </c>
      <c r="T22" s="2"/>
    </row>
    <row r="23" spans="1:20" s="1" customFormat="1" ht="33" customHeight="1" x14ac:dyDescent="0.2">
      <c r="A23" s="23">
        <v>7</v>
      </c>
      <c r="B23" s="30">
        <v>45934</v>
      </c>
      <c r="C23" s="28" t="s">
        <v>103</v>
      </c>
      <c r="D23" s="28"/>
      <c r="E23" s="26">
        <v>1</v>
      </c>
      <c r="F23" s="28" t="s">
        <v>116</v>
      </c>
      <c r="G23" s="29" t="s">
        <v>37</v>
      </c>
      <c r="H23" s="26" t="s">
        <v>38</v>
      </c>
      <c r="I23" s="46" t="s">
        <v>39</v>
      </c>
      <c r="J23" s="46" t="s">
        <v>87</v>
      </c>
      <c r="K23" s="47" t="s">
        <v>117</v>
      </c>
      <c r="L23" s="48">
        <v>1500000</v>
      </c>
      <c r="M23" s="48"/>
      <c r="N23" s="49">
        <f t="shared" si="0"/>
        <v>4099999.9999999995</v>
      </c>
      <c r="O23" s="49"/>
      <c r="P23" s="49"/>
      <c r="Q23" s="48"/>
      <c r="R23" s="53">
        <f t="shared" si="1"/>
        <v>327999.99999999994</v>
      </c>
      <c r="S23" s="54">
        <f t="shared" si="2"/>
        <v>4427999.9999999991</v>
      </c>
      <c r="T23" s="2"/>
    </row>
    <row r="24" spans="1:20" s="1" customFormat="1" ht="33" customHeight="1" x14ac:dyDescent="0.2">
      <c r="A24" s="23">
        <v>8</v>
      </c>
      <c r="B24" s="30">
        <v>45934</v>
      </c>
      <c r="C24" s="28" t="s">
        <v>103</v>
      </c>
      <c r="D24" s="28"/>
      <c r="E24" s="26">
        <v>1</v>
      </c>
      <c r="F24" s="28" t="s">
        <v>118</v>
      </c>
      <c r="G24" s="29" t="s">
        <v>37</v>
      </c>
      <c r="H24" s="26" t="s">
        <v>38</v>
      </c>
      <c r="I24" s="46" t="s">
        <v>39</v>
      </c>
      <c r="J24" s="46" t="s">
        <v>87</v>
      </c>
      <c r="K24" s="47" t="s">
        <v>119</v>
      </c>
      <c r="L24" s="48">
        <v>1500000</v>
      </c>
      <c r="M24" s="48"/>
      <c r="N24" s="49">
        <f t="shared" si="0"/>
        <v>4099999.9999999995</v>
      </c>
      <c r="O24" s="49"/>
      <c r="P24" s="49"/>
      <c r="Q24" s="48"/>
      <c r="R24" s="53">
        <f t="shared" si="1"/>
        <v>327999.99999999994</v>
      </c>
      <c r="S24" s="54">
        <f t="shared" si="2"/>
        <v>4427999.9999999991</v>
      </c>
      <c r="T24" s="2"/>
    </row>
    <row r="25" spans="1:20" s="1" customFormat="1" ht="33" customHeight="1" x14ac:dyDescent="0.2">
      <c r="A25" s="23">
        <v>9</v>
      </c>
      <c r="B25" s="30">
        <v>45934</v>
      </c>
      <c r="C25" s="28" t="s">
        <v>103</v>
      </c>
      <c r="D25" s="28"/>
      <c r="E25" s="26">
        <v>1</v>
      </c>
      <c r="F25" s="28" t="s">
        <v>120</v>
      </c>
      <c r="G25" s="29" t="s">
        <v>37</v>
      </c>
      <c r="H25" s="26" t="s">
        <v>38</v>
      </c>
      <c r="I25" s="46" t="s">
        <v>39</v>
      </c>
      <c r="J25" s="46" t="s">
        <v>87</v>
      </c>
      <c r="K25" s="47" t="s">
        <v>121</v>
      </c>
      <c r="L25" s="48">
        <v>1500000</v>
      </c>
      <c r="M25" s="48"/>
      <c r="N25" s="49">
        <f t="shared" si="0"/>
        <v>4099999.9999999995</v>
      </c>
      <c r="O25" s="49"/>
      <c r="P25" s="49"/>
      <c r="Q25" s="48"/>
      <c r="R25" s="53">
        <f t="shared" si="1"/>
        <v>327999.99999999994</v>
      </c>
      <c r="S25" s="54">
        <f t="shared" si="2"/>
        <v>4427999.9999999991</v>
      </c>
      <c r="T25" s="2"/>
    </row>
    <row r="26" spans="1:20" s="1" customFormat="1" ht="33" customHeight="1" x14ac:dyDescent="0.2">
      <c r="A26" s="23">
        <v>10</v>
      </c>
      <c r="B26" s="30">
        <v>45934</v>
      </c>
      <c r="C26" s="28" t="s">
        <v>103</v>
      </c>
      <c r="D26" s="28"/>
      <c r="E26" s="26">
        <v>1</v>
      </c>
      <c r="F26" s="28" t="s">
        <v>122</v>
      </c>
      <c r="G26" s="29" t="s">
        <v>37</v>
      </c>
      <c r="H26" s="26" t="s">
        <v>38</v>
      </c>
      <c r="I26" s="46" t="s">
        <v>39</v>
      </c>
      <c r="J26" s="46" t="s">
        <v>87</v>
      </c>
      <c r="K26" s="47" t="s">
        <v>123</v>
      </c>
      <c r="L26" s="48">
        <v>1500000</v>
      </c>
      <c r="M26" s="48"/>
      <c r="N26" s="49">
        <f t="shared" si="0"/>
        <v>4099999.9999999995</v>
      </c>
      <c r="O26" s="49"/>
      <c r="P26" s="49"/>
      <c r="Q26" s="48"/>
      <c r="R26" s="53">
        <f t="shared" si="1"/>
        <v>327999.99999999994</v>
      </c>
      <c r="S26" s="54">
        <f t="shared" si="2"/>
        <v>4427999.9999999991</v>
      </c>
      <c r="T26" s="2"/>
    </row>
    <row r="27" spans="1:20" s="1" customFormat="1" ht="33" customHeight="1" x14ac:dyDescent="0.2">
      <c r="A27" s="23">
        <v>11</v>
      </c>
      <c r="B27" s="30" t="s">
        <v>71</v>
      </c>
      <c r="C27" s="28" t="s">
        <v>124</v>
      </c>
      <c r="D27" s="28"/>
      <c r="E27" s="26">
        <v>1</v>
      </c>
      <c r="F27" s="28" t="s">
        <v>125</v>
      </c>
      <c r="G27" s="29" t="s">
        <v>37</v>
      </c>
      <c r="H27" s="26" t="s">
        <v>38</v>
      </c>
      <c r="I27" s="46" t="s">
        <v>39</v>
      </c>
      <c r="J27" s="46" t="s">
        <v>74</v>
      </c>
      <c r="K27" s="47" t="s">
        <v>126</v>
      </c>
      <c r="L27" s="48">
        <v>1500000</v>
      </c>
      <c r="M27" s="48"/>
      <c r="N27" s="49">
        <v>4100000</v>
      </c>
      <c r="O27" s="49"/>
      <c r="P27" s="49"/>
      <c r="Q27" s="48"/>
      <c r="R27" s="53">
        <f t="shared" si="1"/>
        <v>328000</v>
      </c>
      <c r="S27" s="54">
        <f t="shared" si="2"/>
        <v>4428000</v>
      </c>
      <c r="T27" s="2"/>
    </row>
    <row r="28" spans="1:20" s="1" customFormat="1" ht="33" customHeight="1" x14ac:dyDescent="0.2">
      <c r="A28" s="23">
        <v>12</v>
      </c>
      <c r="B28" s="30" t="s">
        <v>71</v>
      </c>
      <c r="C28" s="28" t="s">
        <v>124</v>
      </c>
      <c r="D28" s="28"/>
      <c r="E28" s="26">
        <v>1</v>
      </c>
      <c r="F28" s="28" t="s">
        <v>127</v>
      </c>
      <c r="G28" s="29" t="s">
        <v>37</v>
      </c>
      <c r="H28" s="26" t="s">
        <v>38</v>
      </c>
      <c r="I28" s="46" t="s">
        <v>39</v>
      </c>
      <c r="J28" s="46" t="s">
        <v>74</v>
      </c>
      <c r="K28" s="47" t="s">
        <v>128</v>
      </c>
      <c r="L28" s="48">
        <v>1500000</v>
      </c>
      <c r="M28" s="48"/>
      <c r="N28" s="49">
        <v>4100000</v>
      </c>
      <c r="O28" s="49"/>
      <c r="P28" s="49"/>
      <c r="Q28" s="48"/>
      <c r="R28" s="53">
        <f t="shared" si="1"/>
        <v>328000</v>
      </c>
      <c r="S28" s="54">
        <f t="shared" si="2"/>
        <v>4428000</v>
      </c>
      <c r="T28" s="2"/>
    </row>
    <row r="29" spans="1:20" s="1" customFormat="1" ht="33" customHeight="1" x14ac:dyDescent="0.2">
      <c r="A29" s="23">
        <v>13</v>
      </c>
      <c r="B29" s="30" t="s">
        <v>71</v>
      </c>
      <c r="C29" s="28" t="s">
        <v>124</v>
      </c>
      <c r="D29" s="28"/>
      <c r="E29" s="26">
        <v>1</v>
      </c>
      <c r="F29" s="28" t="s">
        <v>129</v>
      </c>
      <c r="G29" s="29" t="s">
        <v>37</v>
      </c>
      <c r="H29" s="26" t="s">
        <v>38</v>
      </c>
      <c r="I29" s="46" t="s">
        <v>39</v>
      </c>
      <c r="J29" s="46" t="s">
        <v>74</v>
      </c>
      <c r="K29" s="47" t="s">
        <v>130</v>
      </c>
      <c r="L29" s="48">
        <v>1500000</v>
      </c>
      <c r="M29" s="48"/>
      <c r="N29" s="49">
        <v>4100000</v>
      </c>
      <c r="O29" s="49"/>
      <c r="P29" s="49"/>
      <c r="Q29" s="48"/>
      <c r="R29" s="53">
        <f t="shared" si="1"/>
        <v>328000</v>
      </c>
      <c r="S29" s="54">
        <f t="shared" si="2"/>
        <v>4428000</v>
      </c>
      <c r="T29" s="2"/>
    </row>
    <row r="30" spans="1:20" s="1" customFormat="1" ht="33" customHeight="1" x14ac:dyDescent="0.2">
      <c r="A30" s="23">
        <v>14</v>
      </c>
      <c r="B30" s="30" t="s">
        <v>71</v>
      </c>
      <c r="C30" s="28" t="s">
        <v>124</v>
      </c>
      <c r="D30" s="28"/>
      <c r="E30" s="26">
        <v>1</v>
      </c>
      <c r="F30" s="28" t="s">
        <v>131</v>
      </c>
      <c r="G30" s="29" t="s">
        <v>37</v>
      </c>
      <c r="H30" s="26" t="s">
        <v>38</v>
      </c>
      <c r="I30" s="46" t="s">
        <v>39</v>
      </c>
      <c r="J30" s="46" t="s">
        <v>74</v>
      </c>
      <c r="K30" s="47" t="s">
        <v>132</v>
      </c>
      <c r="L30" s="48">
        <v>1500000</v>
      </c>
      <c r="M30" s="48"/>
      <c r="N30" s="49">
        <v>4100000</v>
      </c>
      <c r="O30" s="49"/>
      <c r="P30" s="49"/>
      <c r="Q30" s="48"/>
      <c r="R30" s="53">
        <f t="shared" si="1"/>
        <v>328000</v>
      </c>
      <c r="S30" s="54">
        <f t="shared" si="2"/>
        <v>4428000</v>
      </c>
      <c r="T30" s="2"/>
    </row>
    <row r="31" spans="1:20" s="1" customFormat="1" ht="33" customHeight="1" x14ac:dyDescent="0.2">
      <c r="A31" s="23">
        <v>15</v>
      </c>
      <c r="B31" s="30" t="s">
        <v>71</v>
      </c>
      <c r="C31" s="28" t="s">
        <v>124</v>
      </c>
      <c r="D31" s="28"/>
      <c r="E31" s="26">
        <v>1</v>
      </c>
      <c r="F31" s="28" t="s">
        <v>133</v>
      </c>
      <c r="G31" s="29" t="s">
        <v>37</v>
      </c>
      <c r="H31" s="26" t="s">
        <v>38</v>
      </c>
      <c r="I31" s="46" t="s">
        <v>39</v>
      </c>
      <c r="J31" s="46" t="s">
        <v>74</v>
      </c>
      <c r="K31" s="47" t="s">
        <v>134</v>
      </c>
      <c r="L31" s="48">
        <v>1500000</v>
      </c>
      <c r="M31" s="48"/>
      <c r="N31" s="49">
        <v>4100000</v>
      </c>
      <c r="O31" s="49"/>
      <c r="P31" s="49"/>
      <c r="Q31" s="48"/>
      <c r="R31" s="53">
        <f t="shared" si="1"/>
        <v>328000</v>
      </c>
      <c r="S31" s="54">
        <f t="shared" si="2"/>
        <v>4428000</v>
      </c>
      <c r="T31" s="2"/>
    </row>
    <row r="32" spans="1:20" s="1" customFormat="1" ht="33" customHeight="1" x14ac:dyDescent="0.2">
      <c r="A32" s="23">
        <v>16</v>
      </c>
      <c r="B32" s="30" t="s">
        <v>135</v>
      </c>
      <c r="C32" s="28" t="s">
        <v>124</v>
      </c>
      <c r="D32" s="28"/>
      <c r="E32" s="26">
        <v>1</v>
      </c>
      <c r="F32" s="28" t="s">
        <v>136</v>
      </c>
      <c r="G32" s="29" t="s">
        <v>37</v>
      </c>
      <c r="H32" s="26" t="s">
        <v>38</v>
      </c>
      <c r="I32" s="46" t="s">
        <v>39</v>
      </c>
      <c r="J32" s="46" t="s">
        <v>74</v>
      </c>
      <c r="K32" s="47" t="s">
        <v>137</v>
      </c>
      <c r="L32" s="48">
        <v>1500000</v>
      </c>
      <c r="M32" s="48"/>
      <c r="N32" s="49">
        <v>4100000</v>
      </c>
      <c r="O32" s="49"/>
      <c r="P32" s="49"/>
      <c r="Q32" s="48"/>
      <c r="R32" s="53">
        <f t="shared" si="1"/>
        <v>328000</v>
      </c>
      <c r="S32" s="54">
        <f t="shared" si="2"/>
        <v>4428000</v>
      </c>
      <c r="T32" s="2"/>
    </row>
    <row r="33" spans="1:20" s="1" customFormat="1" ht="33" customHeight="1" x14ac:dyDescent="0.2">
      <c r="A33" s="23">
        <v>17</v>
      </c>
      <c r="B33" s="30" t="s">
        <v>135</v>
      </c>
      <c r="C33" s="28" t="s">
        <v>124</v>
      </c>
      <c r="D33" s="28"/>
      <c r="E33" s="26">
        <v>1</v>
      </c>
      <c r="F33" s="28" t="s">
        <v>138</v>
      </c>
      <c r="G33" s="29" t="s">
        <v>37</v>
      </c>
      <c r="H33" s="26" t="s">
        <v>38</v>
      </c>
      <c r="I33" s="46" t="s">
        <v>39</v>
      </c>
      <c r="J33" s="46" t="s">
        <v>74</v>
      </c>
      <c r="K33" s="47" t="s">
        <v>139</v>
      </c>
      <c r="L33" s="48">
        <v>1500000</v>
      </c>
      <c r="M33" s="48"/>
      <c r="N33" s="49">
        <v>4100000</v>
      </c>
      <c r="O33" s="49"/>
      <c r="P33" s="49"/>
      <c r="Q33" s="48"/>
      <c r="R33" s="53">
        <f t="shared" si="1"/>
        <v>328000</v>
      </c>
      <c r="S33" s="54">
        <f t="shared" si="2"/>
        <v>4428000</v>
      </c>
      <c r="T33" s="2"/>
    </row>
    <row r="34" spans="1:20" s="1" customFormat="1" ht="33" customHeight="1" x14ac:dyDescent="0.2">
      <c r="A34" s="23">
        <v>18</v>
      </c>
      <c r="B34" s="30" t="s">
        <v>135</v>
      </c>
      <c r="C34" s="28" t="s">
        <v>124</v>
      </c>
      <c r="D34" s="28"/>
      <c r="E34" s="26">
        <v>1</v>
      </c>
      <c r="F34" s="28" t="s">
        <v>140</v>
      </c>
      <c r="G34" s="29" t="s">
        <v>37</v>
      </c>
      <c r="H34" s="26" t="s">
        <v>38</v>
      </c>
      <c r="I34" s="46" t="s">
        <v>39</v>
      </c>
      <c r="J34" s="46" t="s">
        <v>74</v>
      </c>
      <c r="K34" s="47" t="s">
        <v>141</v>
      </c>
      <c r="L34" s="48">
        <v>1500000</v>
      </c>
      <c r="M34" s="48"/>
      <c r="N34" s="49">
        <v>4100000</v>
      </c>
      <c r="O34" s="49"/>
      <c r="P34" s="49"/>
      <c r="Q34" s="48"/>
      <c r="R34" s="53">
        <f t="shared" si="1"/>
        <v>328000</v>
      </c>
      <c r="S34" s="54">
        <f t="shared" si="2"/>
        <v>4428000</v>
      </c>
      <c r="T34" s="2"/>
    </row>
    <row r="35" spans="1:20" s="1" customFormat="1" ht="33" customHeight="1" x14ac:dyDescent="0.2">
      <c r="A35" s="23">
        <v>19</v>
      </c>
      <c r="B35" s="30" t="s">
        <v>135</v>
      </c>
      <c r="C35" s="28" t="s">
        <v>124</v>
      </c>
      <c r="D35" s="28"/>
      <c r="E35" s="26">
        <v>1</v>
      </c>
      <c r="F35" s="28" t="s">
        <v>142</v>
      </c>
      <c r="G35" s="29" t="s">
        <v>37</v>
      </c>
      <c r="H35" s="26" t="s">
        <v>38</v>
      </c>
      <c r="I35" s="46" t="s">
        <v>39</v>
      </c>
      <c r="J35" s="46" t="s">
        <v>74</v>
      </c>
      <c r="K35" s="47" t="s">
        <v>143</v>
      </c>
      <c r="L35" s="48">
        <v>1500000</v>
      </c>
      <c r="M35" s="48"/>
      <c r="N35" s="49">
        <v>4100000</v>
      </c>
      <c r="O35" s="49"/>
      <c r="P35" s="49"/>
      <c r="Q35" s="48"/>
      <c r="R35" s="53">
        <f t="shared" si="1"/>
        <v>328000</v>
      </c>
      <c r="S35" s="54">
        <f t="shared" si="2"/>
        <v>4428000</v>
      </c>
      <c r="T35" s="2"/>
    </row>
    <row r="36" spans="1:20" s="1" customFormat="1" ht="33" customHeight="1" x14ac:dyDescent="0.2">
      <c r="A36" s="23">
        <v>20</v>
      </c>
      <c r="B36" s="30" t="s">
        <v>135</v>
      </c>
      <c r="C36" s="28" t="s">
        <v>124</v>
      </c>
      <c r="D36" s="28"/>
      <c r="E36" s="26">
        <v>1</v>
      </c>
      <c r="F36" s="28" t="s">
        <v>144</v>
      </c>
      <c r="G36" s="29" t="s">
        <v>37</v>
      </c>
      <c r="H36" s="26" t="s">
        <v>38</v>
      </c>
      <c r="I36" s="46" t="s">
        <v>39</v>
      </c>
      <c r="J36" s="46" t="s">
        <v>74</v>
      </c>
      <c r="K36" s="47" t="s">
        <v>145</v>
      </c>
      <c r="L36" s="48">
        <v>1500000</v>
      </c>
      <c r="M36" s="48"/>
      <c r="N36" s="49">
        <v>4100000</v>
      </c>
      <c r="O36" s="49"/>
      <c r="P36" s="49"/>
      <c r="Q36" s="48"/>
      <c r="R36" s="53">
        <f t="shared" si="1"/>
        <v>328000</v>
      </c>
      <c r="S36" s="54">
        <f t="shared" si="2"/>
        <v>4428000</v>
      </c>
      <c r="T36" s="2"/>
    </row>
    <row r="37" spans="1:20" ht="33" customHeight="1" x14ac:dyDescent="0.2">
      <c r="A37" s="274" t="s">
        <v>52</v>
      </c>
      <c r="B37" s="275"/>
      <c r="C37" s="276"/>
      <c r="D37" s="55">
        <f>SUM(D17:D36)</f>
        <v>0</v>
      </c>
      <c r="E37" s="55">
        <f>SUM(E17:E36)</f>
        <v>20</v>
      </c>
      <c r="F37" s="56"/>
      <c r="G37" s="57"/>
      <c r="H37" s="56"/>
      <c r="I37" s="46"/>
      <c r="J37" s="56"/>
      <c r="K37" s="69"/>
      <c r="L37" s="70">
        <f t="shared" ref="L37:S37" si="3">SUM(L17:L36)</f>
        <v>30000000</v>
      </c>
      <c r="M37" s="70">
        <f t="shared" si="3"/>
        <v>3000000</v>
      </c>
      <c r="N37" s="70">
        <f t="shared" si="3"/>
        <v>82000000</v>
      </c>
      <c r="O37" s="70">
        <f t="shared" si="3"/>
        <v>0</v>
      </c>
      <c r="P37" s="70">
        <f t="shared" si="3"/>
        <v>0</v>
      </c>
      <c r="Q37" s="70">
        <f t="shared" si="3"/>
        <v>0</v>
      </c>
      <c r="R37" s="70">
        <f t="shared" si="3"/>
        <v>6560000</v>
      </c>
      <c r="S37" s="70">
        <f t="shared" si="3"/>
        <v>88560000</v>
      </c>
      <c r="T37" s="2"/>
    </row>
    <row r="38" spans="1:20" ht="18" customHeight="1" x14ac:dyDescent="0.2">
      <c r="A38" s="58" t="s">
        <v>53</v>
      </c>
      <c r="B38" s="58"/>
      <c r="H38" s="14"/>
      <c r="I38" s="10"/>
      <c r="J38" s="14"/>
      <c r="K38" s="40"/>
      <c r="L38" s="41"/>
      <c r="M38" s="41"/>
      <c r="N38" s="14"/>
      <c r="O38" s="14"/>
      <c r="P38" s="14"/>
      <c r="Q38" s="41"/>
      <c r="R38" s="14"/>
      <c r="S38" s="14"/>
    </row>
    <row r="39" spans="1:20" s="2" customFormat="1" ht="23.25" customHeight="1" x14ac:dyDescent="0.2">
      <c r="A39" s="59"/>
      <c r="B39" s="60"/>
      <c r="C39" s="61" t="s">
        <v>29</v>
      </c>
      <c r="D39" s="62"/>
      <c r="E39" s="62"/>
      <c r="F39" s="62">
        <f>S37</f>
        <v>88560000</v>
      </c>
      <c r="G39" s="63"/>
      <c r="H39" s="65"/>
      <c r="I39" s="11"/>
      <c r="J39" s="65"/>
      <c r="K39" s="71"/>
      <c r="L39" s="72"/>
      <c r="M39" s="72"/>
      <c r="N39" s="65"/>
      <c r="O39" s="65"/>
      <c r="P39" s="65"/>
      <c r="Q39" s="72"/>
      <c r="R39" s="65"/>
      <c r="S39" s="65"/>
    </row>
    <row r="40" spans="1:20" x14ac:dyDescent="0.2">
      <c r="A40" s="14"/>
      <c r="B40" s="64"/>
      <c r="C40" s="65" t="s">
        <v>54</v>
      </c>
      <c r="D40" s="14"/>
      <c r="E40" s="14"/>
      <c r="F40" s="66">
        <f>L37</f>
        <v>30000000</v>
      </c>
      <c r="G40" s="10"/>
      <c r="H40" s="14"/>
      <c r="I40" s="7"/>
      <c r="J40" s="14"/>
      <c r="K40" s="40"/>
      <c r="L40" s="41"/>
      <c r="M40" s="41"/>
      <c r="N40" s="14"/>
      <c r="O40" s="14"/>
      <c r="P40" s="14"/>
      <c r="Q40" s="41"/>
      <c r="R40" s="14"/>
      <c r="S40" s="14"/>
    </row>
    <row r="41" spans="1:20" x14ac:dyDescent="0.2">
      <c r="A41" s="14"/>
      <c r="B41" s="64"/>
      <c r="C41" s="65" t="s">
        <v>55</v>
      </c>
      <c r="D41" s="14"/>
      <c r="E41" s="14"/>
      <c r="F41" s="66">
        <f>M37</f>
        <v>3000000</v>
      </c>
      <c r="G41" s="10"/>
      <c r="H41" s="14"/>
      <c r="I41" s="7"/>
      <c r="J41" s="14"/>
      <c r="K41" s="40"/>
      <c r="L41" s="41"/>
      <c r="M41" s="41"/>
      <c r="N41" s="14"/>
      <c r="O41" s="14"/>
      <c r="P41" s="14"/>
      <c r="Q41" s="41"/>
      <c r="R41" s="14"/>
      <c r="S41" s="14"/>
    </row>
    <row r="42" spans="1:20" ht="23.25" customHeight="1" x14ac:dyDescent="0.2">
      <c r="A42" s="277" t="s">
        <v>56</v>
      </c>
      <c r="B42" s="277"/>
      <c r="C42" s="277"/>
      <c r="D42" s="277"/>
      <c r="E42" s="277"/>
      <c r="F42" s="277"/>
      <c r="G42" s="67"/>
      <c r="H42" s="73"/>
      <c r="I42" s="74"/>
      <c r="J42" s="277" t="s">
        <v>57</v>
      </c>
      <c r="K42" s="277"/>
      <c r="L42" s="277"/>
      <c r="M42" s="277"/>
      <c r="N42" s="277"/>
      <c r="O42" s="277"/>
      <c r="P42" s="277"/>
      <c r="Q42" s="277"/>
      <c r="R42" s="277"/>
      <c r="S42" s="11"/>
    </row>
    <row r="43" spans="1:20" x14ac:dyDescent="0.2">
      <c r="G43" s="68"/>
      <c r="I43" s="75"/>
    </row>
    <row r="44" spans="1:20" x14ac:dyDescent="0.2">
      <c r="G44" s="68"/>
      <c r="I44" s="75"/>
    </row>
    <row r="45" spans="1:20" x14ac:dyDescent="0.2">
      <c r="G45" s="68"/>
      <c r="I45" s="75"/>
    </row>
    <row r="46" spans="1:20" x14ac:dyDescent="0.2">
      <c r="G46" s="68"/>
      <c r="I46" s="75"/>
    </row>
    <row r="47" spans="1:20" x14ac:dyDescent="0.2">
      <c r="G47" s="68"/>
      <c r="I47" s="75"/>
    </row>
    <row r="48" spans="1:20" x14ac:dyDescent="0.2">
      <c r="G48" s="68"/>
      <c r="I48" s="75"/>
    </row>
    <row r="49" spans="7:9" x14ac:dyDescent="0.2">
      <c r="G49" s="68"/>
      <c r="I49" s="75"/>
    </row>
    <row r="50" spans="7:9" x14ac:dyDescent="0.2">
      <c r="G50" s="68"/>
      <c r="I50" s="75"/>
    </row>
    <row r="51" spans="7:9" x14ac:dyDescent="0.2">
      <c r="G51" s="68"/>
      <c r="I51" s="75"/>
    </row>
    <row r="52" spans="7:9" x14ac:dyDescent="0.2">
      <c r="G52" s="68"/>
      <c r="I52" s="75"/>
    </row>
    <row r="53" spans="7:9" x14ac:dyDescent="0.2">
      <c r="G53" s="68"/>
      <c r="I53" s="75"/>
    </row>
    <row r="54" spans="7:9" x14ac:dyDescent="0.2">
      <c r="G54" s="68"/>
      <c r="I54" s="75"/>
    </row>
    <row r="55" spans="7:9" x14ac:dyDescent="0.2">
      <c r="G55" s="68"/>
      <c r="I55" s="75"/>
    </row>
    <row r="56" spans="7:9" x14ac:dyDescent="0.2">
      <c r="G56" s="68"/>
      <c r="I56" s="75"/>
    </row>
    <row r="57" spans="7:9" x14ac:dyDescent="0.2">
      <c r="G57" s="68"/>
      <c r="I57" s="75"/>
    </row>
    <row r="58" spans="7:9" x14ac:dyDescent="0.2">
      <c r="G58" s="68"/>
      <c r="I58" s="75"/>
    </row>
    <row r="59" spans="7:9" x14ac:dyDescent="0.2">
      <c r="G59" s="68"/>
      <c r="I59" s="75"/>
    </row>
    <row r="60" spans="7:9" x14ac:dyDescent="0.2">
      <c r="G60" s="68"/>
      <c r="I60" s="75"/>
    </row>
    <row r="61" spans="7:9" x14ac:dyDescent="0.2">
      <c r="G61" s="68"/>
      <c r="I61" s="75"/>
    </row>
    <row r="62" spans="7:9" x14ac:dyDescent="0.2">
      <c r="G62" s="68"/>
      <c r="I62" s="75"/>
    </row>
    <row r="63" spans="7:9" x14ac:dyDescent="0.2">
      <c r="G63" s="68"/>
      <c r="I63" s="75"/>
    </row>
    <row r="64" spans="7:9" x14ac:dyDescent="0.2">
      <c r="G64" s="68"/>
      <c r="I64" s="75"/>
    </row>
    <row r="65" spans="7:9" x14ac:dyDescent="0.2">
      <c r="G65" s="68"/>
      <c r="I65" s="75"/>
    </row>
    <row r="66" spans="7:9" x14ac:dyDescent="0.2">
      <c r="G66" s="68"/>
      <c r="I66" s="75"/>
    </row>
    <row r="67" spans="7:9" x14ac:dyDescent="0.2">
      <c r="G67" s="68"/>
      <c r="I67" s="75"/>
    </row>
    <row r="68" spans="7:9" x14ac:dyDescent="0.2">
      <c r="G68" s="68"/>
      <c r="I68" s="75"/>
    </row>
    <row r="69" spans="7:9" x14ac:dyDescent="0.2">
      <c r="G69" s="68"/>
      <c r="I69" s="75"/>
    </row>
    <row r="70" spans="7:9" x14ac:dyDescent="0.2">
      <c r="G70" s="68"/>
      <c r="I70" s="75"/>
    </row>
    <row r="71" spans="7:9" x14ac:dyDescent="0.2">
      <c r="G71" s="68"/>
      <c r="I71" s="75"/>
    </row>
    <row r="72" spans="7:9" x14ac:dyDescent="0.2">
      <c r="G72" s="68"/>
      <c r="I72" s="75"/>
    </row>
    <row r="73" spans="7:9" x14ac:dyDescent="0.2">
      <c r="G73" s="68"/>
      <c r="I73" s="75"/>
    </row>
    <row r="74" spans="7:9" x14ac:dyDescent="0.2">
      <c r="G74" s="68"/>
      <c r="I74" s="75"/>
    </row>
    <row r="75" spans="7:9" x14ac:dyDescent="0.2">
      <c r="G75" s="68"/>
      <c r="I75" s="75"/>
    </row>
    <row r="76" spans="7:9" x14ac:dyDescent="0.2">
      <c r="G76" s="68"/>
      <c r="I76" s="75"/>
    </row>
    <row r="77" spans="7:9" x14ac:dyDescent="0.2">
      <c r="G77" s="68"/>
      <c r="I77" s="75"/>
    </row>
    <row r="78" spans="7:9" x14ac:dyDescent="0.2">
      <c r="G78" s="68"/>
      <c r="I78" s="75"/>
    </row>
    <row r="79" spans="7:9" x14ac:dyDescent="0.2">
      <c r="G79" s="68"/>
      <c r="I79" s="75"/>
    </row>
    <row r="80" spans="7:9" x14ac:dyDescent="0.2">
      <c r="G80" s="68"/>
      <c r="I80" s="75"/>
    </row>
    <row r="81" spans="7:9" x14ac:dyDescent="0.2">
      <c r="G81" s="68"/>
      <c r="I81" s="75"/>
    </row>
    <row r="82" spans="7:9" x14ac:dyDescent="0.2">
      <c r="G82" s="68"/>
      <c r="I82" s="75"/>
    </row>
    <row r="83" spans="7:9" x14ac:dyDescent="0.2">
      <c r="G83" s="68"/>
      <c r="I83" s="75"/>
    </row>
  </sheetData>
  <autoFilter ref="A16:S42" xr:uid="{00000000-0009-0000-0000-000002000000}"/>
  <mergeCells count="27">
    <mergeCell ref="A2:S2"/>
    <mergeCell ref="A3:S3"/>
    <mergeCell ref="A4:S4"/>
    <mergeCell ref="A6:C6"/>
    <mergeCell ref="A7:C7"/>
    <mergeCell ref="M15:M16"/>
    <mergeCell ref="A8:C8"/>
    <mergeCell ref="A9:C9"/>
    <mergeCell ref="A11:C11"/>
    <mergeCell ref="A12:C12"/>
    <mergeCell ref="G13:H13"/>
    <mergeCell ref="S15:S16"/>
    <mergeCell ref="D15:E15"/>
    <mergeCell ref="N15:R15"/>
    <mergeCell ref="A37:C37"/>
    <mergeCell ref="A42:F42"/>
    <mergeCell ref="J42:R42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4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T108"/>
  <sheetViews>
    <sheetView topLeftCell="A34" zoomScale="69" zoomScaleNormal="69" zoomScaleSheetLayoutView="85" workbookViewId="0">
      <selection activeCell="A17" sqref="A17:XFD22"/>
    </sheetView>
  </sheetViews>
  <sheetFormatPr baseColWidth="10" defaultColWidth="9" defaultRowHeight="17" x14ac:dyDescent="0.2"/>
  <cols>
    <col min="1" max="1" width="5.83203125" style="3" customWidth="1"/>
    <col min="2" max="2" width="17.33203125" style="3" customWidth="1"/>
    <col min="3" max="3" width="24.83203125" style="3" customWidth="1"/>
    <col min="4" max="5" width="4.83203125" style="3" customWidth="1"/>
    <col min="6" max="6" width="20.1640625" style="2" customWidth="1"/>
    <col min="7" max="7" width="18.5" style="4" customWidth="1"/>
    <col min="8" max="8" width="35.83203125" style="3" customWidth="1"/>
    <col min="9" max="9" width="17.5" style="3" customWidth="1"/>
    <col min="10" max="10" width="38.83203125" style="3" customWidth="1"/>
    <col min="11" max="11" width="17.5" style="5" customWidth="1"/>
    <col min="12" max="13" width="17.5" style="6" customWidth="1"/>
    <col min="14" max="14" width="20.33203125" style="3" customWidth="1"/>
    <col min="15" max="15" width="15.6640625" style="3" customWidth="1"/>
    <col min="16" max="16" width="16.5" style="3" customWidth="1"/>
    <col min="17" max="17" width="17.1640625" style="6" customWidth="1"/>
    <col min="18" max="18" width="17" style="3" customWidth="1"/>
    <col min="19" max="19" width="19.6640625" style="3" customWidth="1"/>
    <col min="20" max="16384" width="9" style="3"/>
  </cols>
  <sheetData>
    <row r="1" spans="1:20" x14ac:dyDescent="0.2">
      <c r="A1" s="7"/>
      <c r="B1" s="8"/>
      <c r="C1" s="9"/>
      <c r="D1" s="7"/>
      <c r="E1" s="7"/>
      <c r="F1" s="7"/>
      <c r="G1" s="10"/>
      <c r="H1" s="31"/>
      <c r="I1" s="9"/>
      <c r="J1" s="31"/>
      <c r="K1" s="32"/>
      <c r="N1" s="31"/>
      <c r="O1" s="31"/>
      <c r="P1" s="31"/>
      <c r="R1" s="31"/>
      <c r="S1" s="31"/>
    </row>
    <row r="2" spans="1:20" ht="30.5" customHeight="1" x14ac:dyDescent="0.2">
      <c r="A2" s="277" t="s">
        <v>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</row>
    <row r="3" spans="1:20" x14ac:dyDescent="0.2">
      <c r="A3" s="288" t="s">
        <v>146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</row>
    <row r="4" spans="1:20" ht="4.5" customHeight="1" x14ac:dyDescent="0.2">
      <c r="A4" s="288" t="s">
        <v>2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</row>
    <row r="5" spans="1:20" ht="4.5" customHeight="1" x14ac:dyDescent="0.2">
      <c r="A5" s="7"/>
      <c r="B5" s="12"/>
      <c r="C5" s="7"/>
      <c r="D5" s="7"/>
      <c r="E5" s="7"/>
      <c r="F5" s="7"/>
      <c r="G5" s="10"/>
      <c r="H5" s="7"/>
      <c r="I5" s="7"/>
      <c r="J5" s="7"/>
      <c r="K5" s="33"/>
      <c r="L5" s="34"/>
      <c r="M5" s="34"/>
      <c r="N5" s="7"/>
      <c r="O5" s="7"/>
      <c r="P5" s="7"/>
      <c r="Q5" s="34"/>
      <c r="R5" s="7"/>
      <c r="S5" s="7"/>
    </row>
    <row r="6" spans="1:20" x14ac:dyDescent="0.2">
      <c r="A6" s="285" t="s">
        <v>3</v>
      </c>
      <c r="B6" s="285"/>
      <c r="C6" s="285"/>
      <c r="E6" s="13" t="s">
        <v>4</v>
      </c>
      <c r="F6" s="14"/>
      <c r="G6" s="15"/>
      <c r="H6" s="13"/>
      <c r="I6" s="35"/>
      <c r="J6" s="13"/>
      <c r="K6" s="36"/>
      <c r="L6" s="37"/>
      <c r="M6" s="37"/>
      <c r="N6" s="13"/>
      <c r="O6" s="50"/>
      <c r="P6" s="13"/>
      <c r="Q6" s="37"/>
      <c r="R6" s="13"/>
      <c r="S6" s="13"/>
    </row>
    <row r="7" spans="1:20" x14ac:dyDescent="0.2">
      <c r="A7" s="285" t="s">
        <v>5</v>
      </c>
      <c r="B7" s="285"/>
      <c r="C7" s="285"/>
      <c r="E7" s="13" t="s">
        <v>6</v>
      </c>
      <c r="F7" s="14"/>
      <c r="G7" s="15"/>
      <c r="H7" s="38"/>
      <c r="I7" s="39"/>
      <c r="J7" s="38"/>
      <c r="K7" s="40"/>
      <c r="L7" s="41"/>
      <c r="M7" s="41"/>
      <c r="N7" s="13"/>
      <c r="O7" s="13"/>
      <c r="P7" s="13"/>
      <c r="Q7" s="37"/>
      <c r="R7" s="13"/>
      <c r="S7" s="13"/>
    </row>
    <row r="8" spans="1:20" x14ac:dyDescent="0.2">
      <c r="A8" s="285" t="s">
        <v>7</v>
      </c>
      <c r="B8" s="285"/>
      <c r="C8" s="285"/>
      <c r="E8" s="113" t="s">
        <v>8</v>
      </c>
      <c r="F8" s="14"/>
      <c r="G8" s="15"/>
      <c r="H8" s="38"/>
      <c r="I8" s="39"/>
      <c r="J8" s="38"/>
      <c r="K8" s="40"/>
      <c r="L8" s="41"/>
      <c r="M8" s="41"/>
      <c r="N8" s="13"/>
      <c r="O8" s="13"/>
      <c r="P8" s="13"/>
      <c r="Q8" s="37"/>
      <c r="R8" s="13"/>
      <c r="S8" s="13"/>
    </row>
    <row r="9" spans="1:20" x14ac:dyDescent="0.2">
      <c r="A9" s="285" t="s">
        <v>9</v>
      </c>
      <c r="B9" s="285"/>
      <c r="C9" s="285"/>
      <c r="E9" s="13"/>
      <c r="F9" s="14"/>
      <c r="G9" s="15"/>
      <c r="H9" s="38"/>
      <c r="I9" s="39"/>
      <c r="J9" s="38"/>
      <c r="K9" s="40"/>
      <c r="L9" s="41"/>
      <c r="M9" s="41"/>
      <c r="N9" s="13"/>
      <c r="O9" s="13"/>
      <c r="P9" s="13"/>
      <c r="Q9" s="37"/>
      <c r="R9" s="13"/>
      <c r="S9" s="13"/>
    </row>
    <row r="10" spans="1:20" x14ac:dyDescent="0.2">
      <c r="A10" s="16"/>
      <c r="B10" s="17"/>
      <c r="C10" s="16"/>
      <c r="E10" s="13"/>
      <c r="F10" s="14"/>
      <c r="G10" s="15"/>
      <c r="H10" s="38"/>
      <c r="I10" s="39"/>
      <c r="J10" s="38"/>
      <c r="K10" s="40"/>
      <c r="L10" s="41"/>
      <c r="M10" s="41"/>
      <c r="N10" s="13"/>
      <c r="O10" s="13"/>
      <c r="P10" s="13"/>
      <c r="Q10" s="37"/>
      <c r="R10" s="13"/>
      <c r="S10" s="13"/>
    </row>
    <row r="11" spans="1:20" x14ac:dyDescent="0.2">
      <c r="A11" s="286" t="s">
        <v>10</v>
      </c>
      <c r="B11" s="286"/>
      <c r="C11" s="286"/>
      <c r="E11" s="13" t="s">
        <v>11</v>
      </c>
      <c r="F11" s="14"/>
      <c r="G11" s="15"/>
      <c r="H11" s="13"/>
      <c r="I11" s="35"/>
      <c r="J11" s="13"/>
      <c r="K11" s="36"/>
      <c r="L11" s="37"/>
      <c r="M11" s="37"/>
      <c r="N11" s="13"/>
      <c r="O11" s="50"/>
      <c r="P11" s="13"/>
      <c r="Q11" s="37"/>
      <c r="R11" s="13"/>
      <c r="S11" s="13"/>
    </row>
    <row r="12" spans="1:20" x14ac:dyDescent="0.2">
      <c r="A12" s="285" t="s">
        <v>5</v>
      </c>
      <c r="B12" s="285"/>
      <c r="C12" s="285"/>
      <c r="E12" s="13" t="s">
        <v>12</v>
      </c>
      <c r="F12" s="14"/>
      <c r="G12" s="18"/>
      <c r="H12" s="38"/>
      <c r="I12" s="39"/>
      <c r="J12" s="38"/>
      <c r="K12" s="40"/>
      <c r="L12" s="41"/>
      <c r="M12" s="41"/>
      <c r="N12" s="13"/>
      <c r="O12" s="13"/>
      <c r="P12" s="13"/>
      <c r="Q12" s="37"/>
      <c r="R12" s="13"/>
      <c r="S12" s="13"/>
    </row>
    <row r="13" spans="1:20" ht="20.25" customHeight="1" x14ac:dyDescent="0.2">
      <c r="A13" s="13" t="s">
        <v>13</v>
      </c>
      <c r="B13" s="19"/>
      <c r="C13" s="14"/>
      <c r="E13" s="114" t="s">
        <v>14</v>
      </c>
      <c r="F13" s="14"/>
      <c r="G13" s="287"/>
      <c r="H13" s="287"/>
      <c r="I13" s="7"/>
      <c r="J13" s="14"/>
      <c r="K13" s="40"/>
      <c r="L13" s="41"/>
      <c r="M13" s="41"/>
      <c r="N13" s="14"/>
      <c r="O13" s="14"/>
      <c r="P13" s="14"/>
      <c r="Q13" s="41"/>
      <c r="R13" s="14"/>
      <c r="S13" s="14"/>
    </row>
    <row r="14" spans="1:20" x14ac:dyDescent="0.2">
      <c r="A14" s="20"/>
      <c r="B14" s="21"/>
      <c r="C14" s="20"/>
      <c r="D14" s="20"/>
      <c r="E14" s="20"/>
      <c r="F14" s="20"/>
      <c r="G14" s="10"/>
      <c r="H14" s="20"/>
      <c r="I14" s="7"/>
      <c r="J14" s="20"/>
      <c r="K14" s="42"/>
      <c r="L14" s="43"/>
      <c r="M14" s="43"/>
      <c r="N14" s="20"/>
      <c r="O14" s="51"/>
      <c r="P14" s="20"/>
      <c r="Q14" s="43"/>
      <c r="R14" s="20"/>
      <c r="S14" s="20"/>
    </row>
    <row r="15" spans="1:20" s="1" customFormat="1" ht="30" customHeight="1" x14ac:dyDescent="0.2">
      <c r="A15" s="270" t="s">
        <v>15</v>
      </c>
      <c r="B15" s="278" t="s">
        <v>16</v>
      </c>
      <c r="C15" s="270" t="s">
        <v>17</v>
      </c>
      <c r="D15" s="270" t="s">
        <v>18</v>
      </c>
      <c r="E15" s="270"/>
      <c r="F15" s="270" t="s">
        <v>19</v>
      </c>
      <c r="G15" s="270" t="s">
        <v>20</v>
      </c>
      <c r="H15" s="270" t="s">
        <v>21</v>
      </c>
      <c r="I15" s="268" t="s">
        <v>22</v>
      </c>
      <c r="J15" s="268" t="s">
        <v>23</v>
      </c>
      <c r="K15" s="281" t="s">
        <v>24</v>
      </c>
      <c r="L15" s="283" t="s">
        <v>25</v>
      </c>
      <c r="M15" s="283" t="s">
        <v>26</v>
      </c>
      <c r="N15" s="271" t="s">
        <v>147</v>
      </c>
      <c r="O15" s="272"/>
      <c r="P15" s="272"/>
      <c r="Q15" s="272"/>
      <c r="R15" s="273"/>
      <c r="S15" s="268" t="s">
        <v>28</v>
      </c>
      <c r="T15" s="3"/>
    </row>
    <row r="16" spans="1:20" s="1" customFormat="1" ht="68.25" customHeight="1" x14ac:dyDescent="0.2">
      <c r="A16" s="269"/>
      <c r="B16" s="279"/>
      <c r="C16" s="270"/>
      <c r="D16" s="22">
        <v>20</v>
      </c>
      <c r="E16" s="22">
        <v>40</v>
      </c>
      <c r="F16" s="269"/>
      <c r="G16" s="270"/>
      <c r="H16" s="269"/>
      <c r="I16" s="280"/>
      <c r="J16" s="269"/>
      <c r="K16" s="282"/>
      <c r="L16" s="284"/>
      <c r="M16" s="284"/>
      <c r="N16" s="45" t="s">
        <v>29</v>
      </c>
      <c r="O16" s="44" t="s">
        <v>31</v>
      </c>
      <c r="P16" s="44" t="s">
        <v>32</v>
      </c>
      <c r="Q16" s="52" t="s">
        <v>33</v>
      </c>
      <c r="R16" s="44" t="s">
        <v>30</v>
      </c>
      <c r="S16" s="269"/>
      <c r="T16" s="3"/>
    </row>
    <row r="17" spans="1:20" s="1" customFormat="1" ht="33" customHeight="1" x14ac:dyDescent="0.2">
      <c r="A17" s="76">
        <v>1</v>
      </c>
      <c r="B17" s="77">
        <v>45934</v>
      </c>
      <c r="C17" s="78" t="s">
        <v>103</v>
      </c>
      <c r="D17" s="78"/>
      <c r="E17" s="79">
        <v>1</v>
      </c>
      <c r="F17" s="78" t="s">
        <v>104</v>
      </c>
      <c r="G17" s="80" t="s">
        <v>37</v>
      </c>
      <c r="H17" s="79" t="s">
        <v>38</v>
      </c>
      <c r="I17" s="91" t="s">
        <v>39</v>
      </c>
      <c r="J17" s="91" t="s">
        <v>61</v>
      </c>
      <c r="K17" s="92" t="s">
        <v>105</v>
      </c>
      <c r="L17" s="93">
        <v>1500000</v>
      </c>
      <c r="M17" s="93">
        <v>3000000</v>
      </c>
      <c r="N17" s="94">
        <f>4428000/1.08</f>
        <v>4099999.9999999995</v>
      </c>
      <c r="O17" s="94"/>
      <c r="P17" s="94"/>
      <c r="Q17" s="93"/>
      <c r="R17" s="103">
        <f>(O17+P17+Q17+N17)*0.08</f>
        <v>327999.99999999994</v>
      </c>
      <c r="S17" s="104">
        <f>R17+Q17+P17+O17+N17</f>
        <v>4427999.9999999991</v>
      </c>
      <c r="T17" s="2"/>
    </row>
    <row r="18" spans="1:20" s="1" customFormat="1" ht="33" customHeight="1" x14ac:dyDescent="0.2">
      <c r="A18" s="76">
        <v>2</v>
      </c>
      <c r="B18" s="77">
        <v>45934</v>
      </c>
      <c r="C18" s="78" t="s">
        <v>103</v>
      </c>
      <c r="D18" s="78"/>
      <c r="E18" s="79">
        <v>1</v>
      </c>
      <c r="F18" s="78" t="s">
        <v>106</v>
      </c>
      <c r="G18" s="80" t="s">
        <v>37</v>
      </c>
      <c r="H18" s="79" t="s">
        <v>38</v>
      </c>
      <c r="I18" s="91" t="s">
        <v>39</v>
      </c>
      <c r="J18" s="91" t="s">
        <v>40</v>
      </c>
      <c r="K18" s="92" t="s">
        <v>107</v>
      </c>
      <c r="L18" s="93">
        <v>1500000</v>
      </c>
      <c r="M18" s="93"/>
      <c r="N18" s="94">
        <f t="shared" ref="N18:N26" si="0">4428000/1.08</f>
        <v>4099999.9999999995</v>
      </c>
      <c r="O18" s="94"/>
      <c r="P18" s="94"/>
      <c r="Q18" s="93"/>
      <c r="R18" s="103">
        <f t="shared" ref="R18:R61" si="1">(O18+P18+Q18+N18)*0.08</f>
        <v>327999.99999999994</v>
      </c>
      <c r="S18" s="104">
        <f t="shared" ref="S18:S61" si="2">R18+Q18+P18+O18+N18</f>
        <v>4427999.9999999991</v>
      </c>
      <c r="T18" s="2"/>
    </row>
    <row r="19" spans="1:20" s="1" customFormat="1" ht="33" customHeight="1" x14ac:dyDescent="0.2">
      <c r="A19" s="76">
        <v>3</v>
      </c>
      <c r="B19" s="77">
        <v>45934</v>
      </c>
      <c r="C19" s="78" t="s">
        <v>103</v>
      </c>
      <c r="D19" s="78"/>
      <c r="E19" s="79">
        <v>1</v>
      </c>
      <c r="F19" s="78" t="s">
        <v>108</v>
      </c>
      <c r="G19" s="80" t="s">
        <v>37</v>
      </c>
      <c r="H19" s="79" t="s">
        <v>38</v>
      </c>
      <c r="I19" s="91" t="s">
        <v>39</v>
      </c>
      <c r="J19" s="91" t="s">
        <v>87</v>
      </c>
      <c r="K19" s="92" t="s">
        <v>109</v>
      </c>
      <c r="L19" s="93">
        <v>1500000</v>
      </c>
      <c r="M19" s="93"/>
      <c r="N19" s="94">
        <f t="shared" si="0"/>
        <v>4099999.9999999995</v>
      </c>
      <c r="O19" s="94"/>
      <c r="P19" s="94"/>
      <c r="Q19" s="93"/>
      <c r="R19" s="103">
        <f t="shared" si="1"/>
        <v>327999.99999999994</v>
      </c>
      <c r="S19" s="104">
        <f t="shared" si="2"/>
        <v>4427999.9999999991</v>
      </c>
      <c r="T19" s="2"/>
    </row>
    <row r="20" spans="1:20" s="1" customFormat="1" ht="33" customHeight="1" x14ac:dyDescent="0.2">
      <c r="A20" s="76">
        <v>4</v>
      </c>
      <c r="B20" s="77">
        <v>45934</v>
      </c>
      <c r="C20" s="78" t="s">
        <v>103</v>
      </c>
      <c r="D20" s="78"/>
      <c r="E20" s="79">
        <v>1</v>
      </c>
      <c r="F20" s="78" t="s">
        <v>110</v>
      </c>
      <c r="G20" s="80" t="s">
        <v>37</v>
      </c>
      <c r="H20" s="79" t="s">
        <v>38</v>
      </c>
      <c r="I20" s="91" t="s">
        <v>39</v>
      </c>
      <c r="J20" s="91" t="s">
        <v>87</v>
      </c>
      <c r="K20" s="92" t="s">
        <v>111</v>
      </c>
      <c r="L20" s="93">
        <v>1500000</v>
      </c>
      <c r="M20" s="93"/>
      <c r="N20" s="94">
        <f t="shared" si="0"/>
        <v>4099999.9999999995</v>
      </c>
      <c r="O20" s="94"/>
      <c r="P20" s="94"/>
      <c r="Q20" s="93"/>
      <c r="R20" s="103">
        <f t="shared" si="1"/>
        <v>327999.99999999994</v>
      </c>
      <c r="S20" s="104">
        <f t="shared" si="2"/>
        <v>4427999.9999999991</v>
      </c>
      <c r="T20" s="2"/>
    </row>
    <row r="21" spans="1:20" s="1" customFormat="1" ht="33" customHeight="1" x14ac:dyDescent="0.2">
      <c r="A21" s="76">
        <v>5</v>
      </c>
      <c r="B21" s="77">
        <v>45934</v>
      </c>
      <c r="C21" s="78" t="s">
        <v>103</v>
      </c>
      <c r="D21" s="78"/>
      <c r="E21" s="79">
        <v>1</v>
      </c>
      <c r="F21" s="78" t="s">
        <v>112</v>
      </c>
      <c r="G21" s="80" t="s">
        <v>37</v>
      </c>
      <c r="H21" s="79" t="s">
        <v>38</v>
      </c>
      <c r="I21" s="91" t="s">
        <v>39</v>
      </c>
      <c r="J21" s="91" t="s">
        <v>87</v>
      </c>
      <c r="K21" s="92" t="s">
        <v>113</v>
      </c>
      <c r="L21" s="93">
        <v>1500000</v>
      </c>
      <c r="M21" s="93"/>
      <c r="N21" s="94">
        <f t="shared" si="0"/>
        <v>4099999.9999999995</v>
      </c>
      <c r="O21" s="94"/>
      <c r="P21" s="94"/>
      <c r="Q21" s="93"/>
      <c r="R21" s="103">
        <f t="shared" si="1"/>
        <v>327999.99999999994</v>
      </c>
      <c r="S21" s="104">
        <f t="shared" si="2"/>
        <v>4427999.9999999991</v>
      </c>
      <c r="T21" s="2"/>
    </row>
    <row r="22" spans="1:20" s="1" customFormat="1" ht="33" customHeight="1" x14ac:dyDescent="0.2">
      <c r="A22" s="76">
        <v>6</v>
      </c>
      <c r="B22" s="77">
        <v>45934</v>
      </c>
      <c r="C22" s="78" t="s">
        <v>103</v>
      </c>
      <c r="D22" s="78"/>
      <c r="E22" s="79">
        <v>1</v>
      </c>
      <c r="F22" s="78" t="s">
        <v>114</v>
      </c>
      <c r="G22" s="80" t="s">
        <v>37</v>
      </c>
      <c r="H22" s="79" t="s">
        <v>38</v>
      </c>
      <c r="I22" s="91" t="s">
        <v>39</v>
      </c>
      <c r="J22" s="91" t="s">
        <v>40</v>
      </c>
      <c r="K22" s="92" t="s">
        <v>115</v>
      </c>
      <c r="L22" s="93">
        <v>1500000</v>
      </c>
      <c r="M22" s="93"/>
      <c r="N22" s="94">
        <f t="shared" si="0"/>
        <v>4099999.9999999995</v>
      </c>
      <c r="O22" s="94"/>
      <c r="P22" s="94"/>
      <c r="Q22" s="93"/>
      <c r="R22" s="103">
        <f t="shared" si="1"/>
        <v>327999.99999999994</v>
      </c>
      <c r="S22" s="104">
        <f t="shared" si="2"/>
        <v>4427999.9999999991</v>
      </c>
      <c r="T22" s="2"/>
    </row>
    <row r="23" spans="1:20" s="1" customFormat="1" ht="33" customHeight="1" x14ac:dyDescent="0.2">
      <c r="A23" s="76">
        <v>7</v>
      </c>
      <c r="B23" s="77">
        <v>45934</v>
      </c>
      <c r="C23" s="78" t="s">
        <v>103</v>
      </c>
      <c r="D23" s="78"/>
      <c r="E23" s="79">
        <v>1</v>
      </c>
      <c r="F23" s="78" t="s">
        <v>116</v>
      </c>
      <c r="G23" s="80" t="s">
        <v>37</v>
      </c>
      <c r="H23" s="79" t="s">
        <v>38</v>
      </c>
      <c r="I23" s="91" t="s">
        <v>39</v>
      </c>
      <c r="J23" s="91" t="s">
        <v>87</v>
      </c>
      <c r="K23" s="92" t="s">
        <v>117</v>
      </c>
      <c r="L23" s="93">
        <v>1500000</v>
      </c>
      <c r="M23" s="93"/>
      <c r="N23" s="94">
        <f t="shared" si="0"/>
        <v>4099999.9999999995</v>
      </c>
      <c r="O23" s="94"/>
      <c r="P23" s="94"/>
      <c r="Q23" s="93"/>
      <c r="R23" s="103">
        <f t="shared" si="1"/>
        <v>327999.99999999994</v>
      </c>
      <c r="S23" s="104">
        <f t="shared" si="2"/>
        <v>4427999.9999999991</v>
      </c>
      <c r="T23" s="2"/>
    </row>
    <row r="24" spans="1:20" s="1" customFormat="1" ht="33" customHeight="1" x14ac:dyDescent="0.2">
      <c r="A24" s="76">
        <v>8</v>
      </c>
      <c r="B24" s="77">
        <v>45934</v>
      </c>
      <c r="C24" s="78" t="s">
        <v>103</v>
      </c>
      <c r="D24" s="78"/>
      <c r="E24" s="79">
        <v>1</v>
      </c>
      <c r="F24" s="78" t="s">
        <v>118</v>
      </c>
      <c r="G24" s="80" t="s">
        <v>37</v>
      </c>
      <c r="H24" s="79" t="s">
        <v>38</v>
      </c>
      <c r="I24" s="91" t="s">
        <v>39</v>
      </c>
      <c r="J24" s="91" t="s">
        <v>87</v>
      </c>
      <c r="K24" s="92" t="s">
        <v>119</v>
      </c>
      <c r="L24" s="93">
        <v>1500000</v>
      </c>
      <c r="M24" s="93"/>
      <c r="N24" s="94">
        <f t="shared" si="0"/>
        <v>4099999.9999999995</v>
      </c>
      <c r="O24" s="94"/>
      <c r="P24" s="94"/>
      <c r="Q24" s="93"/>
      <c r="R24" s="103">
        <f t="shared" si="1"/>
        <v>327999.99999999994</v>
      </c>
      <c r="S24" s="104">
        <f t="shared" si="2"/>
        <v>4427999.9999999991</v>
      </c>
      <c r="T24" s="2"/>
    </row>
    <row r="25" spans="1:20" s="1" customFormat="1" ht="33" customHeight="1" x14ac:dyDescent="0.2">
      <c r="A25" s="76">
        <v>9</v>
      </c>
      <c r="B25" s="77">
        <v>45934</v>
      </c>
      <c r="C25" s="78" t="s">
        <v>103</v>
      </c>
      <c r="D25" s="78"/>
      <c r="E25" s="79">
        <v>1</v>
      </c>
      <c r="F25" s="78" t="s">
        <v>120</v>
      </c>
      <c r="G25" s="80" t="s">
        <v>37</v>
      </c>
      <c r="H25" s="79" t="s">
        <v>38</v>
      </c>
      <c r="I25" s="91" t="s">
        <v>39</v>
      </c>
      <c r="J25" s="91" t="s">
        <v>87</v>
      </c>
      <c r="K25" s="92" t="s">
        <v>121</v>
      </c>
      <c r="L25" s="93">
        <v>1500000</v>
      </c>
      <c r="M25" s="93"/>
      <c r="N25" s="94">
        <f t="shared" si="0"/>
        <v>4099999.9999999995</v>
      </c>
      <c r="O25" s="94"/>
      <c r="P25" s="94"/>
      <c r="Q25" s="93"/>
      <c r="R25" s="103">
        <f t="shared" si="1"/>
        <v>327999.99999999994</v>
      </c>
      <c r="S25" s="104">
        <f t="shared" si="2"/>
        <v>4427999.9999999991</v>
      </c>
      <c r="T25" s="2"/>
    </row>
    <row r="26" spans="1:20" s="1" customFormat="1" ht="33" customHeight="1" x14ac:dyDescent="0.2">
      <c r="A26" s="76">
        <v>10</v>
      </c>
      <c r="B26" s="77">
        <v>45934</v>
      </c>
      <c r="C26" s="78" t="s">
        <v>103</v>
      </c>
      <c r="D26" s="78"/>
      <c r="E26" s="79">
        <v>1</v>
      </c>
      <c r="F26" s="78" t="s">
        <v>122</v>
      </c>
      <c r="G26" s="80" t="s">
        <v>37</v>
      </c>
      <c r="H26" s="79" t="s">
        <v>38</v>
      </c>
      <c r="I26" s="91" t="s">
        <v>39</v>
      </c>
      <c r="J26" s="91" t="s">
        <v>87</v>
      </c>
      <c r="K26" s="92" t="s">
        <v>123</v>
      </c>
      <c r="L26" s="93">
        <v>1500000</v>
      </c>
      <c r="M26" s="93"/>
      <c r="N26" s="94">
        <f t="shared" si="0"/>
        <v>4099999.9999999995</v>
      </c>
      <c r="O26" s="94"/>
      <c r="P26" s="94"/>
      <c r="Q26" s="93"/>
      <c r="R26" s="103">
        <f t="shared" si="1"/>
        <v>327999.99999999994</v>
      </c>
      <c r="S26" s="104">
        <f t="shared" si="2"/>
        <v>4427999.9999999991</v>
      </c>
      <c r="T26" s="2"/>
    </row>
    <row r="27" spans="1:20" s="1" customFormat="1" ht="33" customHeight="1" x14ac:dyDescent="0.2">
      <c r="A27" s="23">
        <v>11</v>
      </c>
      <c r="B27" s="24" t="s">
        <v>148</v>
      </c>
      <c r="C27" s="25" t="s">
        <v>149</v>
      </c>
      <c r="D27" s="25"/>
      <c r="E27" s="26">
        <v>1</v>
      </c>
      <c r="F27" s="25" t="s">
        <v>150</v>
      </c>
      <c r="G27" s="27" t="s">
        <v>151</v>
      </c>
      <c r="H27" s="26" t="s">
        <v>152</v>
      </c>
      <c r="I27" s="46" t="s">
        <v>39</v>
      </c>
      <c r="J27" s="46" t="s">
        <v>153</v>
      </c>
      <c r="K27" s="47" t="s">
        <v>154</v>
      </c>
      <c r="L27" s="48">
        <v>1500000</v>
      </c>
      <c r="M27" s="48"/>
      <c r="N27" s="49">
        <v>4200000</v>
      </c>
      <c r="O27" s="49"/>
      <c r="P27" s="49"/>
      <c r="Q27" s="48"/>
      <c r="R27" s="53">
        <f t="shared" si="1"/>
        <v>336000</v>
      </c>
      <c r="S27" s="54">
        <f t="shared" si="2"/>
        <v>4536000</v>
      </c>
      <c r="T27" s="2"/>
    </row>
    <row r="28" spans="1:20" s="1" customFormat="1" ht="33" customHeight="1" x14ac:dyDescent="0.2">
      <c r="A28" s="23">
        <v>12</v>
      </c>
      <c r="B28" s="24" t="s">
        <v>148</v>
      </c>
      <c r="C28" s="25" t="s">
        <v>149</v>
      </c>
      <c r="D28" s="25"/>
      <c r="E28" s="26">
        <v>1</v>
      </c>
      <c r="F28" s="25" t="s">
        <v>155</v>
      </c>
      <c r="G28" s="27" t="s">
        <v>151</v>
      </c>
      <c r="H28" s="26" t="s">
        <v>152</v>
      </c>
      <c r="I28" s="46" t="s">
        <v>39</v>
      </c>
      <c r="J28" s="46" t="s">
        <v>153</v>
      </c>
      <c r="K28" s="47" t="s">
        <v>156</v>
      </c>
      <c r="L28" s="48">
        <v>1500000</v>
      </c>
      <c r="M28" s="48"/>
      <c r="N28" s="49">
        <v>4200000</v>
      </c>
      <c r="O28" s="49"/>
      <c r="P28" s="49"/>
      <c r="Q28" s="48"/>
      <c r="R28" s="53">
        <f t="shared" si="1"/>
        <v>336000</v>
      </c>
      <c r="S28" s="54">
        <f t="shared" si="2"/>
        <v>4536000</v>
      </c>
      <c r="T28" s="2"/>
    </row>
    <row r="29" spans="1:20" s="1" customFormat="1" ht="33" customHeight="1" x14ac:dyDescent="0.2">
      <c r="A29" s="81">
        <v>13</v>
      </c>
      <c r="B29" s="82" t="s">
        <v>34</v>
      </c>
      <c r="C29" s="83" t="s">
        <v>59</v>
      </c>
      <c r="D29" s="83"/>
      <c r="E29" s="84">
        <v>1</v>
      </c>
      <c r="F29" s="83" t="s">
        <v>60</v>
      </c>
      <c r="G29" s="85" t="s">
        <v>37</v>
      </c>
      <c r="H29" s="84" t="s">
        <v>38</v>
      </c>
      <c r="I29" s="95" t="s">
        <v>39</v>
      </c>
      <c r="J29" s="95" t="s">
        <v>61</v>
      </c>
      <c r="K29" s="96" t="s">
        <v>62</v>
      </c>
      <c r="L29" s="97">
        <v>1500000</v>
      </c>
      <c r="M29" s="97"/>
      <c r="N29" s="98">
        <v>4100000</v>
      </c>
      <c r="O29" s="98"/>
      <c r="P29" s="98"/>
      <c r="Q29" s="97"/>
      <c r="R29" s="105">
        <f t="shared" si="1"/>
        <v>328000</v>
      </c>
      <c r="S29" s="106">
        <f t="shared" si="2"/>
        <v>4428000</v>
      </c>
      <c r="T29" s="2"/>
    </row>
    <row r="30" spans="1:20" s="1" customFormat="1" ht="33" customHeight="1" x14ac:dyDescent="0.2">
      <c r="A30" s="81">
        <v>14</v>
      </c>
      <c r="B30" s="82" t="s">
        <v>34</v>
      </c>
      <c r="C30" s="83" t="s">
        <v>59</v>
      </c>
      <c r="D30" s="83"/>
      <c r="E30" s="84">
        <v>1</v>
      </c>
      <c r="F30" s="83" t="s">
        <v>63</v>
      </c>
      <c r="G30" s="85" t="s">
        <v>37</v>
      </c>
      <c r="H30" s="84" t="s">
        <v>38</v>
      </c>
      <c r="I30" s="95" t="s">
        <v>39</v>
      </c>
      <c r="J30" s="95" t="s">
        <v>61</v>
      </c>
      <c r="K30" s="96" t="s">
        <v>64</v>
      </c>
      <c r="L30" s="97">
        <v>1500000</v>
      </c>
      <c r="M30" s="97"/>
      <c r="N30" s="98">
        <v>4100000</v>
      </c>
      <c r="O30" s="98"/>
      <c r="P30" s="98"/>
      <c r="Q30" s="97"/>
      <c r="R30" s="105">
        <f t="shared" si="1"/>
        <v>328000</v>
      </c>
      <c r="S30" s="106">
        <f t="shared" si="2"/>
        <v>4428000</v>
      </c>
      <c r="T30" s="2"/>
    </row>
    <row r="31" spans="1:20" s="1" customFormat="1" ht="33" customHeight="1" x14ac:dyDescent="0.2">
      <c r="A31" s="81">
        <v>15</v>
      </c>
      <c r="B31" s="82" t="s">
        <v>34</v>
      </c>
      <c r="C31" s="83" t="s">
        <v>59</v>
      </c>
      <c r="D31" s="83"/>
      <c r="E31" s="84">
        <v>1</v>
      </c>
      <c r="F31" s="83" t="s">
        <v>65</v>
      </c>
      <c r="G31" s="85" t="s">
        <v>37</v>
      </c>
      <c r="H31" s="84" t="s">
        <v>38</v>
      </c>
      <c r="I31" s="95" t="s">
        <v>39</v>
      </c>
      <c r="J31" s="95" t="s">
        <v>61</v>
      </c>
      <c r="K31" s="96" t="s">
        <v>66</v>
      </c>
      <c r="L31" s="97">
        <v>1500000</v>
      </c>
      <c r="M31" s="97"/>
      <c r="N31" s="98">
        <v>4100000</v>
      </c>
      <c r="O31" s="98"/>
      <c r="P31" s="98"/>
      <c r="Q31" s="97"/>
      <c r="R31" s="105">
        <f t="shared" si="1"/>
        <v>328000</v>
      </c>
      <c r="S31" s="106">
        <f t="shared" si="2"/>
        <v>4428000</v>
      </c>
      <c r="T31" s="2"/>
    </row>
    <row r="32" spans="1:20" s="1" customFormat="1" ht="33" customHeight="1" x14ac:dyDescent="0.2">
      <c r="A32" s="81">
        <v>16</v>
      </c>
      <c r="B32" s="82" t="s">
        <v>34</v>
      </c>
      <c r="C32" s="83" t="s">
        <v>59</v>
      </c>
      <c r="D32" s="83"/>
      <c r="E32" s="84">
        <v>1</v>
      </c>
      <c r="F32" s="83" t="s">
        <v>67</v>
      </c>
      <c r="G32" s="85" t="s">
        <v>37</v>
      </c>
      <c r="H32" s="84" t="s">
        <v>38</v>
      </c>
      <c r="I32" s="95" t="s">
        <v>39</v>
      </c>
      <c r="J32" s="95" t="s">
        <v>61</v>
      </c>
      <c r="K32" s="96" t="s">
        <v>68</v>
      </c>
      <c r="L32" s="97">
        <v>1500000</v>
      </c>
      <c r="M32" s="97"/>
      <c r="N32" s="98">
        <v>4100000</v>
      </c>
      <c r="O32" s="98"/>
      <c r="P32" s="98"/>
      <c r="Q32" s="97"/>
      <c r="R32" s="105">
        <f t="shared" si="1"/>
        <v>328000</v>
      </c>
      <c r="S32" s="106">
        <f t="shared" si="2"/>
        <v>4428000</v>
      </c>
      <c r="T32" s="2"/>
    </row>
    <row r="33" spans="1:20" s="1" customFormat="1" ht="33" customHeight="1" x14ac:dyDescent="0.2">
      <c r="A33" s="81">
        <v>17</v>
      </c>
      <c r="B33" s="82" t="s">
        <v>34</v>
      </c>
      <c r="C33" s="83" t="s">
        <v>59</v>
      </c>
      <c r="D33" s="83"/>
      <c r="E33" s="84">
        <v>1</v>
      </c>
      <c r="F33" s="83" t="s">
        <v>69</v>
      </c>
      <c r="G33" s="85" t="s">
        <v>37</v>
      </c>
      <c r="H33" s="84" t="s">
        <v>38</v>
      </c>
      <c r="I33" s="95" t="s">
        <v>39</v>
      </c>
      <c r="J33" s="95" t="s">
        <v>61</v>
      </c>
      <c r="K33" s="96" t="s">
        <v>70</v>
      </c>
      <c r="L33" s="97">
        <v>1500000</v>
      </c>
      <c r="M33" s="97"/>
      <c r="N33" s="98">
        <v>4100000</v>
      </c>
      <c r="O33" s="98"/>
      <c r="P33" s="98"/>
      <c r="Q33" s="97"/>
      <c r="R33" s="105">
        <f t="shared" si="1"/>
        <v>328000</v>
      </c>
      <c r="S33" s="106">
        <f t="shared" si="2"/>
        <v>4428000</v>
      </c>
      <c r="T33" s="2"/>
    </row>
    <row r="34" spans="1:20" s="1" customFormat="1" ht="33" customHeight="1" x14ac:dyDescent="0.2">
      <c r="A34" s="86">
        <v>18</v>
      </c>
      <c r="B34" s="87" t="s">
        <v>34</v>
      </c>
      <c r="C34" s="88" t="s">
        <v>35</v>
      </c>
      <c r="D34" s="88"/>
      <c r="E34" s="89">
        <v>1</v>
      </c>
      <c r="F34" s="88" t="s">
        <v>36</v>
      </c>
      <c r="G34" s="90" t="s">
        <v>37</v>
      </c>
      <c r="H34" s="89" t="s">
        <v>38</v>
      </c>
      <c r="I34" s="99" t="s">
        <v>39</v>
      </c>
      <c r="J34" s="99" t="s">
        <v>40</v>
      </c>
      <c r="K34" s="100" t="s">
        <v>41</v>
      </c>
      <c r="L34" s="101">
        <v>1500000</v>
      </c>
      <c r="M34" s="101"/>
      <c r="N34" s="102">
        <v>4100000</v>
      </c>
      <c r="O34" s="102"/>
      <c r="P34" s="102"/>
      <c r="Q34" s="101">
        <v>220000</v>
      </c>
      <c r="R34" s="107">
        <f t="shared" si="1"/>
        <v>345600</v>
      </c>
      <c r="S34" s="108">
        <f t="shared" si="2"/>
        <v>4665600</v>
      </c>
      <c r="T34" s="2"/>
    </row>
    <row r="35" spans="1:20" s="1" customFormat="1" ht="33" customHeight="1" x14ac:dyDescent="0.2">
      <c r="A35" s="86">
        <v>19</v>
      </c>
      <c r="B35" s="87" t="s">
        <v>34</v>
      </c>
      <c r="C35" s="88" t="s">
        <v>35</v>
      </c>
      <c r="D35" s="88"/>
      <c r="E35" s="89">
        <v>1</v>
      </c>
      <c r="F35" s="88" t="s">
        <v>42</v>
      </c>
      <c r="G35" s="90" t="s">
        <v>37</v>
      </c>
      <c r="H35" s="89" t="s">
        <v>38</v>
      </c>
      <c r="I35" s="99" t="s">
        <v>39</v>
      </c>
      <c r="J35" s="99" t="s">
        <v>40</v>
      </c>
      <c r="K35" s="100" t="s">
        <v>43</v>
      </c>
      <c r="L35" s="101">
        <v>1500000</v>
      </c>
      <c r="M35" s="101"/>
      <c r="N35" s="102">
        <v>4100000</v>
      </c>
      <c r="O35" s="102"/>
      <c r="P35" s="102"/>
      <c r="Q35" s="101">
        <v>220000</v>
      </c>
      <c r="R35" s="107">
        <f t="shared" si="1"/>
        <v>345600</v>
      </c>
      <c r="S35" s="108">
        <f t="shared" si="2"/>
        <v>4665600</v>
      </c>
      <c r="T35" s="2"/>
    </row>
    <row r="36" spans="1:20" s="1" customFormat="1" ht="33" customHeight="1" x14ac:dyDescent="0.2">
      <c r="A36" s="86">
        <v>20</v>
      </c>
      <c r="B36" s="87" t="s">
        <v>34</v>
      </c>
      <c r="C36" s="88" t="s">
        <v>35</v>
      </c>
      <c r="D36" s="88"/>
      <c r="E36" s="89">
        <v>1</v>
      </c>
      <c r="F36" s="88" t="s">
        <v>44</v>
      </c>
      <c r="G36" s="90" t="s">
        <v>37</v>
      </c>
      <c r="H36" s="89" t="s">
        <v>38</v>
      </c>
      <c r="I36" s="99" t="s">
        <v>39</v>
      </c>
      <c r="J36" s="99" t="s">
        <v>40</v>
      </c>
      <c r="K36" s="100" t="s">
        <v>45</v>
      </c>
      <c r="L36" s="101">
        <v>1500000</v>
      </c>
      <c r="M36" s="101"/>
      <c r="N36" s="102">
        <v>4100000</v>
      </c>
      <c r="O36" s="102"/>
      <c r="P36" s="102"/>
      <c r="Q36" s="101">
        <v>220000</v>
      </c>
      <c r="R36" s="107">
        <f t="shared" si="1"/>
        <v>345600</v>
      </c>
      <c r="S36" s="108">
        <f t="shared" si="2"/>
        <v>4665600</v>
      </c>
      <c r="T36" s="2"/>
    </row>
    <row r="37" spans="1:20" s="1" customFormat="1" ht="33" customHeight="1" x14ac:dyDescent="0.2">
      <c r="A37" s="86">
        <v>21</v>
      </c>
      <c r="B37" s="87" t="s">
        <v>34</v>
      </c>
      <c r="C37" s="88" t="s">
        <v>35</v>
      </c>
      <c r="D37" s="88"/>
      <c r="E37" s="89">
        <v>1</v>
      </c>
      <c r="F37" s="88" t="s">
        <v>46</v>
      </c>
      <c r="G37" s="90" t="s">
        <v>37</v>
      </c>
      <c r="H37" s="89" t="s">
        <v>38</v>
      </c>
      <c r="I37" s="99" t="s">
        <v>39</v>
      </c>
      <c r="J37" s="99" t="s">
        <v>40</v>
      </c>
      <c r="K37" s="100" t="s">
        <v>47</v>
      </c>
      <c r="L37" s="101">
        <v>1500000</v>
      </c>
      <c r="M37" s="101"/>
      <c r="N37" s="102">
        <v>4100000</v>
      </c>
      <c r="O37" s="102"/>
      <c r="P37" s="102"/>
      <c r="Q37" s="101">
        <v>220000</v>
      </c>
      <c r="R37" s="107">
        <f t="shared" si="1"/>
        <v>345600</v>
      </c>
      <c r="S37" s="108">
        <f t="shared" si="2"/>
        <v>4665600</v>
      </c>
      <c r="T37" s="2"/>
    </row>
    <row r="38" spans="1:20" s="1" customFormat="1" ht="33" customHeight="1" x14ac:dyDescent="0.2">
      <c r="A38" s="86">
        <v>22</v>
      </c>
      <c r="B38" s="87" t="s">
        <v>34</v>
      </c>
      <c r="C38" s="88" t="s">
        <v>35</v>
      </c>
      <c r="D38" s="88"/>
      <c r="E38" s="89">
        <v>1</v>
      </c>
      <c r="F38" s="88" t="s">
        <v>48</v>
      </c>
      <c r="G38" s="90" t="s">
        <v>37</v>
      </c>
      <c r="H38" s="89" t="s">
        <v>38</v>
      </c>
      <c r="I38" s="99" t="s">
        <v>39</v>
      </c>
      <c r="J38" s="99" t="s">
        <v>40</v>
      </c>
      <c r="K38" s="100" t="s">
        <v>49</v>
      </c>
      <c r="L38" s="101">
        <v>1500000</v>
      </c>
      <c r="M38" s="101"/>
      <c r="N38" s="102">
        <v>4100000</v>
      </c>
      <c r="O38" s="102"/>
      <c r="P38" s="102"/>
      <c r="Q38" s="101">
        <v>220000</v>
      </c>
      <c r="R38" s="107">
        <f t="shared" si="1"/>
        <v>345600</v>
      </c>
      <c r="S38" s="108">
        <f t="shared" si="2"/>
        <v>4665600</v>
      </c>
      <c r="T38" s="2"/>
    </row>
    <row r="39" spans="1:20" s="1" customFormat="1" ht="33" customHeight="1" x14ac:dyDescent="0.2">
      <c r="A39" s="86">
        <v>23</v>
      </c>
      <c r="B39" s="87" t="s">
        <v>34</v>
      </c>
      <c r="C39" s="88" t="s">
        <v>35</v>
      </c>
      <c r="D39" s="88"/>
      <c r="E39" s="89">
        <v>1</v>
      </c>
      <c r="F39" s="88" t="s">
        <v>50</v>
      </c>
      <c r="G39" s="90" t="s">
        <v>37</v>
      </c>
      <c r="H39" s="89" t="s">
        <v>38</v>
      </c>
      <c r="I39" s="99" t="s">
        <v>39</v>
      </c>
      <c r="J39" s="99" t="s">
        <v>40</v>
      </c>
      <c r="K39" s="100" t="s">
        <v>51</v>
      </c>
      <c r="L39" s="101">
        <v>1500000</v>
      </c>
      <c r="M39" s="101"/>
      <c r="N39" s="102">
        <v>4100000</v>
      </c>
      <c r="O39" s="102"/>
      <c r="P39" s="102"/>
      <c r="Q39" s="101">
        <v>220000</v>
      </c>
      <c r="R39" s="107">
        <f t="shared" si="1"/>
        <v>345600</v>
      </c>
      <c r="S39" s="108">
        <f t="shared" si="2"/>
        <v>4665600</v>
      </c>
      <c r="T39" s="2"/>
    </row>
    <row r="40" spans="1:20" s="1" customFormat="1" ht="33" customHeight="1" x14ac:dyDescent="0.2">
      <c r="A40" s="76">
        <v>24</v>
      </c>
      <c r="B40" s="77" t="s">
        <v>71</v>
      </c>
      <c r="C40" s="78" t="s">
        <v>124</v>
      </c>
      <c r="D40" s="78"/>
      <c r="E40" s="79">
        <v>1</v>
      </c>
      <c r="F40" s="78" t="s">
        <v>125</v>
      </c>
      <c r="G40" s="80" t="s">
        <v>37</v>
      </c>
      <c r="H40" s="79" t="s">
        <v>38</v>
      </c>
      <c r="I40" s="91" t="s">
        <v>39</v>
      </c>
      <c r="J40" s="91" t="s">
        <v>74</v>
      </c>
      <c r="K40" s="92" t="s">
        <v>126</v>
      </c>
      <c r="L40" s="93">
        <v>1500000</v>
      </c>
      <c r="M40" s="93"/>
      <c r="N40" s="94">
        <v>4100000</v>
      </c>
      <c r="O40" s="94"/>
      <c r="P40" s="94"/>
      <c r="Q40" s="93"/>
      <c r="R40" s="103">
        <f t="shared" si="1"/>
        <v>328000</v>
      </c>
      <c r="S40" s="104">
        <f t="shared" si="2"/>
        <v>4428000</v>
      </c>
      <c r="T40" s="2"/>
    </row>
    <row r="41" spans="1:20" s="1" customFormat="1" ht="33" customHeight="1" x14ac:dyDescent="0.2">
      <c r="A41" s="76">
        <v>25</v>
      </c>
      <c r="B41" s="77" t="s">
        <v>71</v>
      </c>
      <c r="C41" s="78" t="s">
        <v>124</v>
      </c>
      <c r="D41" s="78"/>
      <c r="E41" s="79">
        <v>1</v>
      </c>
      <c r="F41" s="78" t="s">
        <v>127</v>
      </c>
      <c r="G41" s="80" t="s">
        <v>37</v>
      </c>
      <c r="H41" s="79" t="s">
        <v>38</v>
      </c>
      <c r="I41" s="91" t="s">
        <v>39</v>
      </c>
      <c r="J41" s="91" t="s">
        <v>74</v>
      </c>
      <c r="K41" s="92" t="s">
        <v>128</v>
      </c>
      <c r="L41" s="93">
        <v>1500000</v>
      </c>
      <c r="M41" s="93"/>
      <c r="N41" s="94">
        <v>4100000</v>
      </c>
      <c r="O41" s="94"/>
      <c r="P41" s="94"/>
      <c r="Q41" s="93"/>
      <c r="R41" s="103">
        <f t="shared" si="1"/>
        <v>328000</v>
      </c>
      <c r="S41" s="104">
        <f t="shared" si="2"/>
        <v>4428000</v>
      </c>
      <c r="T41" s="2"/>
    </row>
    <row r="42" spans="1:20" s="1" customFormat="1" ht="33" customHeight="1" x14ac:dyDescent="0.2">
      <c r="A42" s="76">
        <v>26</v>
      </c>
      <c r="B42" s="77" t="s">
        <v>71</v>
      </c>
      <c r="C42" s="78" t="s">
        <v>124</v>
      </c>
      <c r="D42" s="78"/>
      <c r="E42" s="79">
        <v>1</v>
      </c>
      <c r="F42" s="78" t="s">
        <v>129</v>
      </c>
      <c r="G42" s="80" t="s">
        <v>37</v>
      </c>
      <c r="H42" s="79" t="s">
        <v>38</v>
      </c>
      <c r="I42" s="91" t="s">
        <v>39</v>
      </c>
      <c r="J42" s="91" t="s">
        <v>74</v>
      </c>
      <c r="K42" s="92" t="s">
        <v>130</v>
      </c>
      <c r="L42" s="93">
        <v>1500000</v>
      </c>
      <c r="M42" s="93"/>
      <c r="N42" s="94">
        <v>4100000</v>
      </c>
      <c r="O42" s="94"/>
      <c r="P42" s="94"/>
      <c r="Q42" s="93"/>
      <c r="R42" s="103">
        <f t="shared" si="1"/>
        <v>328000</v>
      </c>
      <c r="S42" s="104">
        <f t="shared" si="2"/>
        <v>4428000</v>
      </c>
      <c r="T42" s="2"/>
    </row>
    <row r="43" spans="1:20" s="1" customFormat="1" ht="33" customHeight="1" x14ac:dyDescent="0.2">
      <c r="A43" s="76">
        <v>27</v>
      </c>
      <c r="B43" s="77" t="s">
        <v>71</v>
      </c>
      <c r="C43" s="78" t="s">
        <v>124</v>
      </c>
      <c r="D43" s="78"/>
      <c r="E43" s="79">
        <v>1</v>
      </c>
      <c r="F43" s="78" t="s">
        <v>131</v>
      </c>
      <c r="G43" s="80" t="s">
        <v>37</v>
      </c>
      <c r="H43" s="79" t="s">
        <v>38</v>
      </c>
      <c r="I43" s="91" t="s">
        <v>39</v>
      </c>
      <c r="J43" s="91" t="s">
        <v>74</v>
      </c>
      <c r="K43" s="92" t="s">
        <v>132</v>
      </c>
      <c r="L43" s="93">
        <v>1500000</v>
      </c>
      <c r="M43" s="93"/>
      <c r="N43" s="94">
        <v>4100000</v>
      </c>
      <c r="O43" s="94"/>
      <c r="P43" s="94"/>
      <c r="Q43" s="93"/>
      <c r="R43" s="103">
        <f t="shared" si="1"/>
        <v>328000</v>
      </c>
      <c r="S43" s="104">
        <f t="shared" si="2"/>
        <v>4428000</v>
      </c>
      <c r="T43" s="2"/>
    </row>
    <row r="44" spans="1:20" s="1" customFormat="1" ht="33" customHeight="1" x14ac:dyDescent="0.2">
      <c r="A44" s="76">
        <v>28</v>
      </c>
      <c r="B44" s="77" t="s">
        <v>71</v>
      </c>
      <c r="C44" s="78" t="s">
        <v>124</v>
      </c>
      <c r="D44" s="78"/>
      <c r="E44" s="79">
        <v>1</v>
      </c>
      <c r="F44" s="78" t="s">
        <v>133</v>
      </c>
      <c r="G44" s="80" t="s">
        <v>37</v>
      </c>
      <c r="H44" s="79" t="s">
        <v>38</v>
      </c>
      <c r="I44" s="91" t="s">
        <v>39</v>
      </c>
      <c r="J44" s="91" t="s">
        <v>74</v>
      </c>
      <c r="K44" s="92" t="s">
        <v>134</v>
      </c>
      <c r="L44" s="93">
        <v>1500000</v>
      </c>
      <c r="M44" s="93"/>
      <c r="N44" s="94">
        <v>4100000</v>
      </c>
      <c r="O44" s="94"/>
      <c r="P44" s="94"/>
      <c r="Q44" s="93"/>
      <c r="R44" s="103">
        <f t="shared" si="1"/>
        <v>328000</v>
      </c>
      <c r="S44" s="104">
        <f t="shared" si="2"/>
        <v>4428000</v>
      </c>
      <c r="T44" s="2"/>
    </row>
    <row r="45" spans="1:20" s="1" customFormat="1" ht="33" customHeight="1" x14ac:dyDescent="0.2">
      <c r="A45" s="81">
        <v>29</v>
      </c>
      <c r="B45" s="82" t="s">
        <v>71</v>
      </c>
      <c r="C45" s="83" t="s">
        <v>72</v>
      </c>
      <c r="D45" s="83"/>
      <c r="E45" s="84">
        <v>1</v>
      </c>
      <c r="F45" s="83" t="s">
        <v>73</v>
      </c>
      <c r="G45" s="85" t="s">
        <v>37</v>
      </c>
      <c r="H45" s="84" t="s">
        <v>38</v>
      </c>
      <c r="I45" s="95" t="s">
        <v>39</v>
      </c>
      <c r="J45" s="95" t="s">
        <v>74</v>
      </c>
      <c r="K45" s="96" t="s">
        <v>75</v>
      </c>
      <c r="L45" s="97">
        <v>1500000</v>
      </c>
      <c r="M45" s="97"/>
      <c r="N45" s="98">
        <v>4100000</v>
      </c>
      <c r="O45" s="98"/>
      <c r="P45" s="98"/>
      <c r="Q45" s="97"/>
      <c r="R45" s="105">
        <f t="shared" si="1"/>
        <v>328000</v>
      </c>
      <c r="S45" s="106">
        <f t="shared" si="2"/>
        <v>4428000</v>
      </c>
      <c r="T45" s="2"/>
    </row>
    <row r="46" spans="1:20" s="1" customFormat="1" ht="33" customHeight="1" x14ac:dyDescent="0.2">
      <c r="A46" s="81">
        <v>30</v>
      </c>
      <c r="B46" s="82" t="s">
        <v>71</v>
      </c>
      <c r="C46" s="83" t="s">
        <v>72</v>
      </c>
      <c r="D46" s="83"/>
      <c r="E46" s="84">
        <v>1</v>
      </c>
      <c r="F46" s="83" t="s">
        <v>76</v>
      </c>
      <c r="G46" s="85" t="s">
        <v>37</v>
      </c>
      <c r="H46" s="84" t="s">
        <v>38</v>
      </c>
      <c r="I46" s="95" t="s">
        <v>39</v>
      </c>
      <c r="J46" s="95" t="s">
        <v>74</v>
      </c>
      <c r="K46" s="96" t="s">
        <v>77</v>
      </c>
      <c r="L46" s="97">
        <v>1500000</v>
      </c>
      <c r="M46" s="97"/>
      <c r="N46" s="98">
        <v>4100000</v>
      </c>
      <c r="O46" s="98"/>
      <c r="P46" s="98"/>
      <c r="Q46" s="97"/>
      <c r="R46" s="105">
        <f t="shared" si="1"/>
        <v>328000</v>
      </c>
      <c r="S46" s="106">
        <f t="shared" si="2"/>
        <v>4428000</v>
      </c>
      <c r="T46" s="2"/>
    </row>
    <row r="47" spans="1:20" s="1" customFormat="1" ht="33" customHeight="1" x14ac:dyDescent="0.2">
      <c r="A47" s="81">
        <v>31</v>
      </c>
      <c r="B47" s="82" t="s">
        <v>71</v>
      </c>
      <c r="C47" s="83" t="s">
        <v>72</v>
      </c>
      <c r="D47" s="83"/>
      <c r="E47" s="84">
        <v>1</v>
      </c>
      <c r="F47" s="83" t="s">
        <v>78</v>
      </c>
      <c r="G47" s="85" t="s">
        <v>37</v>
      </c>
      <c r="H47" s="84" t="s">
        <v>38</v>
      </c>
      <c r="I47" s="95" t="s">
        <v>39</v>
      </c>
      <c r="J47" s="95" t="s">
        <v>74</v>
      </c>
      <c r="K47" s="96" t="s">
        <v>79</v>
      </c>
      <c r="L47" s="97">
        <v>1500000</v>
      </c>
      <c r="M47" s="97"/>
      <c r="N47" s="98">
        <v>4100000</v>
      </c>
      <c r="O47" s="98"/>
      <c r="P47" s="98"/>
      <c r="Q47" s="97"/>
      <c r="R47" s="105">
        <f t="shared" si="1"/>
        <v>328000</v>
      </c>
      <c r="S47" s="106">
        <f t="shared" si="2"/>
        <v>4428000</v>
      </c>
      <c r="T47" s="2"/>
    </row>
    <row r="48" spans="1:20" s="1" customFormat="1" ht="33" customHeight="1" x14ac:dyDescent="0.2">
      <c r="A48" s="81">
        <v>32</v>
      </c>
      <c r="B48" s="82" t="s">
        <v>71</v>
      </c>
      <c r="C48" s="83" t="s">
        <v>72</v>
      </c>
      <c r="D48" s="83"/>
      <c r="E48" s="84">
        <v>1</v>
      </c>
      <c r="F48" s="83" t="s">
        <v>80</v>
      </c>
      <c r="G48" s="85" t="s">
        <v>37</v>
      </c>
      <c r="H48" s="84" t="s">
        <v>38</v>
      </c>
      <c r="I48" s="95" t="s">
        <v>39</v>
      </c>
      <c r="J48" s="95" t="s">
        <v>74</v>
      </c>
      <c r="K48" s="96" t="s">
        <v>81</v>
      </c>
      <c r="L48" s="97">
        <v>1500000</v>
      </c>
      <c r="M48" s="97"/>
      <c r="N48" s="98">
        <v>4100000</v>
      </c>
      <c r="O48" s="98"/>
      <c r="P48" s="98"/>
      <c r="Q48" s="97"/>
      <c r="R48" s="105">
        <f t="shared" si="1"/>
        <v>328000</v>
      </c>
      <c r="S48" s="106">
        <f t="shared" si="2"/>
        <v>4428000</v>
      </c>
      <c r="T48" s="2"/>
    </row>
    <row r="49" spans="1:20" s="1" customFormat="1" ht="33" customHeight="1" x14ac:dyDescent="0.2">
      <c r="A49" s="81">
        <v>33</v>
      </c>
      <c r="B49" s="82" t="s">
        <v>71</v>
      </c>
      <c r="C49" s="83" t="s">
        <v>72</v>
      </c>
      <c r="D49" s="83"/>
      <c r="E49" s="84">
        <v>1</v>
      </c>
      <c r="F49" s="83" t="s">
        <v>82</v>
      </c>
      <c r="G49" s="85" t="s">
        <v>37</v>
      </c>
      <c r="H49" s="84" t="s">
        <v>38</v>
      </c>
      <c r="I49" s="95" t="s">
        <v>39</v>
      </c>
      <c r="J49" s="95" t="s">
        <v>74</v>
      </c>
      <c r="K49" s="96" t="s">
        <v>83</v>
      </c>
      <c r="L49" s="97">
        <v>1500000</v>
      </c>
      <c r="M49" s="97"/>
      <c r="N49" s="98">
        <v>4100000</v>
      </c>
      <c r="O49" s="98"/>
      <c r="P49" s="98"/>
      <c r="Q49" s="97"/>
      <c r="R49" s="105">
        <f t="shared" si="1"/>
        <v>328000</v>
      </c>
      <c r="S49" s="106">
        <f t="shared" si="2"/>
        <v>4428000</v>
      </c>
      <c r="T49" s="2"/>
    </row>
    <row r="50" spans="1:20" s="1" customFormat="1" ht="33" customHeight="1" x14ac:dyDescent="0.2">
      <c r="A50" s="76">
        <v>34</v>
      </c>
      <c r="B50" s="77" t="s">
        <v>135</v>
      </c>
      <c r="C50" s="78" t="s">
        <v>124</v>
      </c>
      <c r="D50" s="78"/>
      <c r="E50" s="79">
        <v>1</v>
      </c>
      <c r="F50" s="78" t="s">
        <v>136</v>
      </c>
      <c r="G50" s="80" t="s">
        <v>37</v>
      </c>
      <c r="H50" s="79" t="s">
        <v>38</v>
      </c>
      <c r="I50" s="91" t="s">
        <v>39</v>
      </c>
      <c r="J50" s="91" t="s">
        <v>74</v>
      </c>
      <c r="K50" s="92" t="s">
        <v>137</v>
      </c>
      <c r="L50" s="93">
        <v>1500000</v>
      </c>
      <c r="M50" s="93"/>
      <c r="N50" s="94">
        <v>4100000</v>
      </c>
      <c r="O50" s="94"/>
      <c r="P50" s="94"/>
      <c r="Q50" s="93"/>
      <c r="R50" s="103">
        <f t="shared" si="1"/>
        <v>328000</v>
      </c>
      <c r="S50" s="104">
        <f t="shared" si="2"/>
        <v>4428000</v>
      </c>
      <c r="T50" s="2"/>
    </row>
    <row r="51" spans="1:20" s="1" customFormat="1" ht="33" customHeight="1" x14ac:dyDescent="0.2">
      <c r="A51" s="76">
        <v>35</v>
      </c>
      <c r="B51" s="77" t="s">
        <v>135</v>
      </c>
      <c r="C51" s="78" t="s">
        <v>124</v>
      </c>
      <c r="D51" s="78"/>
      <c r="E51" s="79">
        <v>1</v>
      </c>
      <c r="F51" s="78" t="s">
        <v>138</v>
      </c>
      <c r="G51" s="80" t="s">
        <v>37</v>
      </c>
      <c r="H51" s="79" t="s">
        <v>38</v>
      </c>
      <c r="I51" s="91" t="s">
        <v>39</v>
      </c>
      <c r="J51" s="91" t="s">
        <v>74</v>
      </c>
      <c r="K51" s="92" t="s">
        <v>139</v>
      </c>
      <c r="L51" s="93">
        <v>1500000</v>
      </c>
      <c r="M51" s="93"/>
      <c r="N51" s="94">
        <v>4100000</v>
      </c>
      <c r="O51" s="94"/>
      <c r="P51" s="94"/>
      <c r="Q51" s="93"/>
      <c r="R51" s="103">
        <f t="shared" si="1"/>
        <v>328000</v>
      </c>
      <c r="S51" s="104">
        <f t="shared" si="2"/>
        <v>4428000</v>
      </c>
      <c r="T51" s="2"/>
    </row>
    <row r="52" spans="1:20" s="1" customFormat="1" ht="33" customHeight="1" x14ac:dyDescent="0.2">
      <c r="A52" s="76">
        <v>36</v>
      </c>
      <c r="B52" s="77" t="s">
        <v>135</v>
      </c>
      <c r="C52" s="78" t="s">
        <v>124</v>
      </c>
      <c r="D52" s="78"/>
      <c r="E52" s="79">
        <v>1</v>
      </c>
      <c r="F52" s="78" t="s">
        <v>140</v>
      </c>
      <c r="G52" s="80" t="s">
        <v>37</v>
      </c>
      <c r="H52" s="79" t="s">
        <v>38</v>
      </c>
      <c r="I52" s="91" t="s">
        <v>39</v>
      </c>
      <c r="J52" s="91" t="s">
        <v>74</v>
      </c>
      <c r="K52" s="92" t="s">
        <v>141</v>
      </c>
      <c r="L52" s="93">
        <v>1500000</v>
      </c>
      <c r="M52" s="93"/>
      <c r="N52" s="94">
        <v>4100000</v>
      </c>
      <c r="O52" s="94"/>
      <c r="P52" s="94"/>
      <c r="Q52" s="93"/>
      <c r="R52" s="103">
        <f t="shared" si="1"/>
        <v>328000</v>
      </c>
      <c r="S52" s="104">
        <f t="shared" si="2"/>
        <v>4428000</v>
      </c>
      <c r="T52" s="2"/>
    </row>
    <row r="53" spans="1:20" s="1" customFormat="1" ht="33" customHeight="1" x14ac:dyDescent="0.2">
      <c r="A53" s="76">
        <v>37</v>
      </c>
      <c r="B53" s="77" t="s">
        <v>135</v>
      </c>
      <c r="C53" s="78" t="s">
        <v>124</v>
      </c>
      <c r="D53" s="78"/>
      <c r="E53" s="79">
        <v>1</v>
      </c>
      <c r="F53" s="78" t="s">
        <v>142</v>
      </c>
      <c r="G53" s="80" t="s">
        <v>37</v>
      </c>
      <c r="H53" s="79" t="s">
        <v>38</v>
      </c>
      <c r="I53" s="91" t="s">
        <v>39</v>
      </c>
      <c r="J53" s="91" t="s">
        <v>74</v>
      </c>
      <c r="K53" s="92" t="s">
        <v>143</v>
      </c>
      <c r="L53" s="93">
        <v>1500000</v>
      </c>
      <c r="M53" s="93"/>
      <c r="N53" s="94">
        <v>4100000</v>
      </c>
      <c r="O53" s="94"/>
      <c r="P53" s="94"/>
      <c r="Q53" s="93"/>
      <c r="R53" s="103">
        <f t="shared" si="1"/>
        <v>328000</v>
      </c>
      <c r="S53" s="104">
        <f t="shared" si="2"/>
        <v>4428000</v>
      </c>
      <c r="T53" s="2"/>
    </row>
    <row r="54" spans="1:20" s="1" customFormat="1" ht="33" customHeight="1" x14ac:dyDescent="0.2">
      <c r="A54" s="76">
        <v>38</v>
      </c>
      <c r="B54" s="77" t="s">
        <v>135</v>
      </c>
      <c r="C54" s="78" t="s">
        <v>124</v>
      </c>
      <c r="D54" s="78"/>
      <c r="E54" s="79">
        <v>1</v>
      </c>
      <c r="F54" s="78" t="s">
        <v>144</v>
      </c>
      <c r="G54" s="80" t="s">
        <v>37</v>
      </c>
      <c r="H54" s="79" t="s">
        <v>38</v>
      </c>
      <c r="I54" s="91" t="s">
        <v>39</v>
      </c>
      <c r="J54" s="91" t="s">
        <v>74</v>
      </c>
      <c r="K54" s="92" t="s">
        <v>145</v>
      </c>
      <c r="L54" s="93">
        <v>1500000</v>
      </c>
      <c r="M54" s="93"/>
      <c r="N54" s="94">
        <v>4100000</v>
      </c>
      <c r="O54" s="94"/>
      <c r="P54" s="94"/>
      <c r="Q54" s="93"/>
      <c r="R54" s="103">
        <f t="shared" si="1"/>
        <v>328000</v>
      </c>
      <c r="S54" s="104">
        <f t="shared" si="2"/>
        <v>4428000</v>
      </c>
      <c r="T54" s="2"/>
    </row>
    <row r="55" spans="1:20" s="1" customFormat="1" ht="33" customHeight="1" x14ac:dyDescent="0.2">
      <c r="A55" s="81">
        <v>39</v>
      </c>
      <c r="B55" s="82" t="s">
        <v>84</v>
      </c>
      <c r="C55" s="83" t="s">
        <v>85</v>
      </c>
      <c r="D55" s="83"/>
      <c r="E55" s="84">
        <v>1</v>
      </c>
      <c r="F55" s="83" t="s">
        <v>86</v>
      </c>
      <c r="G55" s="85" t="s">
        <v>37</v>
      </c>
      <c r="H55" s="84" t="s">
        <v>38</v>
      </c>
      <c r="I55" s="95" t="s">
        <v>39</v>
      </c>
      <c r="J55" s="95" t="s">
        <v>87</v>
      </c>
      <c r="K55" s="96" t="s">
        <v>88</v>
      </c>
      <c r="L55" s="97">
        <v>1500000</v>
      </c>
      <c r="M55" s="97"/>
      <c r="N55" s="98">
        <v>4100000</v>
      </c>
      <c r="O55" s="98"/>
      <c r="P55" s="98"/>
      <c r="Q55" s="97"/>
      <c r="R55" s="105">
        <f t="shared" si="1"/>
        <v>328000</v>
      </c>
      <c r="S55" s="106">
        <f t="shared" si="2"/>
        <v>4428000</v>
      </c>
      <c r="T55" s="2"/>
    </row>
    <row r="56" spans="1:20" s="1" customFormat="1" ht="33" customHeight="1" x14ac:dyDescent="0.2">
      <c r="A56" s="81">
        <v>40</v>
      </c>
      <c r="B56" s="82" t="s">
        <v>84</v>
      </c>
      <c r="C56" s="83" t="s">
        <v>85</v>
      </c>
      <c r="D56" s="83"/>
      <c r="E56" s="84">
        <v>1</v>
      </c>
      <c r="F56" s="83" t="s">
        <v>89</v>
      </c>
      <c r="G56" s="85" t="s">
        <v>37</v>
      </c>
      <c r="H56" s="84" t="s">
        <v>38</v>
      </c>
      <c r="I56" s="95" t="s">
        <v>39</v>
      </c>
      <c r="J56" s="95" t="s">
        <v>87</v>
      </c>
      <c r="K56" s="96" t="s">
        <v>90</v>
      </c>
      <c r="L56" s="97">
        <v>1500000</v>
      </c>
      <c r="M56" s="97"/>
      <c r="N56" s="98">
        <v>4100000</v>
      </c>
      <c r="O56" s="98"/>
      <c r="P56" s="98"/>
      <c r="Q56" s="97"/>
      <c r="R56" s="105">
        <f t="shared" si="1"/>
        <v>328000</v>
      </c>
      <c r="S56" s="106">
        <f t="shared" si="2"/>
        <v>4428000</v>
      </c>
      <c r="T56" s="2"/>
    </row>
    <row r="57" spans="1:20" s="1" customFormat="1" ht="33" customHeight="1" x14ac:dyDescent="0.2">
      <c r="A57" s="81">
        <v>41</v>
      </c>
      <c r="B57" s="82" t="s">
        <v>84</v>
      </c>
      <c r="C57" s="83" t="s">
        <v>85</v>
      </c>
      <c r="D57" s="83"/>
      <c r="E57" s="84">
        <v>1</v>
      </c>
      <c r="F57" s="83" t="s">
        <v>91</v>
      </c>
      <c r="G57" s="85" t="s">
        <v>37</v>
      </c>
      <c r="H57" s="84" t="s">
        <v>38</v>
      </c>
      <c r="I57" s="95" t="s">
        <v>39</v>
      </c>
      <c r="J57" s="95" t="s">
        <v>87</v>
      </c>
      <c r="K57" s="96" t="s">
        <v>92</v>
      </c>
      <c r="L57" s="97">
        <v>1500000</v>
      </c>
      <c r="M57" s="97">
        <v>5000000</v>
      </c>
      <c r="N57" s="98">
        <v>4100000</v>
      </c>
      <c r="O57" s="98"/>
      <c r="P57" s="98"/>
      <c r="Q57" s="97"/>
      <c r="R57" s="105">
        <f t="shared" si="1"/>
        <v>328000</v>
      </c>
      <c r="S57" s="106">
        <f t="shared" si="2"/>
        <v>4428000</v>
      </c>
      <c r="T57" s="2"/>
    </row>
    <row r="58" spans="1:20" s="1" customFormat="1" ht="33" customHeight="1" x14ac:dyDescent="0.2">
      <c r="A58" s="81">
        <v>42</v>
      </c>
      <c r="B58" s="82" t="s">
        <v>84</v>
      </c>
      <c r="C58" s="83" t="s">
        <v>85</v>
      </c>
      <c r="D58" s="83"/>
      <c r="E58" s="84">
        <v>1</v>
      </c>
      <c r="F58" s="83" t="s">
        <v>93</v>
      </c>
      <c r="G58" s="85" t="s">
        <v>37</v>
      </c>
      <c r="H58" s="84" t="s">
        <v>38</v>
      </c>
      <c r="I58" s="95" t="s">
        <v>39</v>
      </c>
      <c r="J58" s="95" t="s">
        <v>87</v>
      </c>
      <c r="K58" s="96" t="s">
        <v>94</v>
      </c>
      <c r="L58" s="97">
        <v>1500000</v>
      </c>
      <c r="M58" s="97">
        <v>700000</v>
      </c>
      <c r="N58" s="98">
        <v>4100000</v>
      </c>
      <c r="O58" s="98"/>
      <c r="P58" s="98"/>
      <c r="Q58" s="97"/>
      <c r="R58" s="105">
        <f t="shared" si="1"/>
        <v>328000</v>
      </c>
      <c r="S58" s="106">
        <f t="shared" si="2"/>
        <v>4428000</v>
      </c>
      <c r="T58" s="2"/>
    </row>
    <row r="59" spans="1:20" s="1" customFormat="1" ht="33" customHeight="1" x14ac:dyDescent="0.2">
      <c r="A59" s="81">
        <v>43</v>
      </c>
      <c r="B59" s="82" t="s">
        <v>84</v>
      </c>
      <c r="C59" s="83" t="s">
        <v>85</v>
      </c>
      <c r="D59" s="83"/>
      <c r="E59" s="84">
        <v>1</v>
      </c>
      <c r="F59" s="83" t="s">
        <v>95</v>
      </c>
      <c r="G59" s="85" t="s">
        <v>37</v>
      </c>
      <c r="H59" s="84" t="s">
        <v>38</v>
      </c>
      <c r="I59" s="95" t="s">
        <v>39</v>
      </c>
      <c r="J59" s="95" t="s">
        <v>87</v>
      </c>
      <c r="K59" s="96" t="s">
        <v>96</v>
      </c>
      <c r="L59" s="97">
        <v>1500000</v>
      </c>
      <c r="M59" s="97"/>
      <c r="N59" s="98">
        <v>4100000</v>
      </c>
      <c r="O59" s="98"/>
      <c r="P59" s="98"/>
      <c r="Q59" s="97"/>
      <c r="R59" s="105">
        <f t="shared" si="1"/>
        <v>328000</v>
      </c>
      <c r="S59" s="106">
        <f t="shared" si="2"/>
        <v>4428000</v>
      </c>
      <c r="T59" s="2"/>
    </row>
    <row r="60" spans="1:20" s="1" customFormat="1" ht="33" customHeight="1" x14ac:dyDescent="0.2">
      <c r="A60" s="81">
        <v>44</v>
      </c>
      <c r="B60" s="82" t="s">
        <v>84</v>
      </c>
      <c r="C60" s="83" t="s">
        <v>85</v>
      </c>
      <c r="D60" s="83"/>
      <c r="E60" s="84">
        <v>1</v>
      </c>
      <c r="F60" s="83" t="s">
        <v>97</v>
      </c>
      <c r="G60" s="85" t="s">
        <v>37</v>
      </c>
      <c r="H60" s="84" t="s">
        <v>38</v>
      </c>
      <c r="I60" s="95" t="s">
        <v>39</v>
      </c>
      <c r="J60" s="95" t="s">
        <v>87</v>
      </c>
      <c r="K60" s="96" t="s">
        <v>98</v>
      </c>
      <c r="L60" s="97">
        <v>1500000</v>
      </c>
      <c r="M60" s="97"/>
      <c r="N60" s="98">
        <v>4100000</v>
      </c>
      <c r="O60" s="98"/>
      <c r="P60" s="98"/>
      <c r="Q60" s="97"/>
      <c r="R60" s="105">
        <f t="shared" si="1"/>
        <v>328000</v>
      </c>
      <c r="S60" s="106">
        <f t="shared" si="2"/>
        <v>4428000</v>
      </c>
      <c r="T60" s="2"/>
    </row>
    <row r="61" spans="1:20" s="1" customFormat="1" ht="33" customHeight="1" x14ac:dyDescent="0.2">
      <c r="A61" s="81">
        <v>45</v>
      </c>
      <c r="B61" s="82" t="s">
        <v>84</v>
      </c>
      <c r="C61" s="83" t="s">
        <v>85</v>
      </c>
      <c r="D61" s="83"/>
      <c r="E61" s="84">
        <v>1</v>
      </c>
      <c r="F61" s="83" t="s">
        <v>99</v>
      </c>
      <c r="G61" s="85" t="s">
        <v>37</v>
      </c>
      <c r="H61" s="84" t="s">
        <v>38</v>
      </c>
      <c r="I61" s="95" t="s">
        <v>39</v>
      </c>
      <c r="J61" s="95" t="s">
        <v>87</v>
      </c>
      <c r="K61" s="96" t="s">
        <v>100</v>
      </c>
      <c r="L61" s="97">
        <v>1500000</v>
      </c>
      <c r="M61" s="97"/>
      <c r="N61" s="98">
        <v>4100000</v>
      </c>
      <c r="O61" s="98"/>
      <c r="P61" s="98"/>
      <c r="Q61" s="97"/>
      <c r="R61" s="105">
        <f t="shared" si="1"/>
        <v>328000</v>
      </c>
      <c r="S61" s="106">
        <f t="shared" si="2"/>
        <v>4428000</v>
      </c>
      <c r="T61" s="2"/>
    </row>
    <row r="62" spans="1:20" ht="33" customHeight="1" x14ac:dyDescent="0.2">
      <c r="A62" s="274" t="s">
        <v>52</v>
      </c>
      <c r="B62" s="275"/>
      <c r="C62" s="276"/>
      <c r="D62" s="55">
        <f>SUM(D17:D61)</f>
        <v>0</v>
      </c>
      <c r="E62" s="55">
        <f>SUM(E17:E61)</f>
        <v>45</v>
      </c>
      <c r="F62" s="56"/>
      <c r="G62" s="57"/>
      <c r="H62" s="56"/>
      <c r="I62" s="46"/>
      <c r="J62" s="56"/>
      <c r="K62" s="69"/>
      <c r="L62" s="70">
        <f>SUM(L17:L61)</f>
        <v>67500000</v>
      </c>
      <c r="M62" s="70">
        <f t="shared" ref="M62:S62" si="3">SUM(M17:M61)</f>
        <v>8700000</v>
      </c>
      <c r="N62" s="70">
        <f t="shared" si="3"/>
        <v>184700000</v>
      </c>
      <c r="O62" s="70">
        <f t="shared" si="3"/>
        <v>0</v>
      </c>
      <c r="P62" s="70">
        <f t="shared" si="3"/>
        <v>0</v>
      </c>
      <c r="Q62" s="70">
        <f t="shared" si="3"/>
        <v>1320000</v>
      </c>
      <c r="R62" s="70">
        <f t="shared" si="3"/>
        <v>14881600</v>
      </c>
      <c r="S62" s="70">
        <f t="shared" si="3"/>
        <v>200901600</v>
      </c>
      <c r="T62" s="2"/>
    </row>
    <row r="63" spans="1:20" ht="18" customHeight="1" x14ac:dyDescent="0.2">
      <c r="A63" s="58" t="s">
        <v>53</v>
      </c>
      <c r="B63" s="58"/>
      <c r="H63" s="14"/>
      <c r="I63" s="10"/>
      <c r="J63" s="14"/>
      <c r="K63" s="40"/>
      <c r="L63" s="41"/>
      <c r="M63" s="41"/>
      <c r="N63" s="14"/>
      <c r="O63" s="14"/>
      <c r="P63" s="14"/>
      <c r="Q63" s="41"/>
      <c r="R63" s="14"/>
      <c r="S63" s="14"/>
    </row>
    <row r="64" spans="1:20" s="2" customFormat="1" ht="23.25" customHeight="1" x14ac:dyDescent="0.2">
      <c r="A64" s="59"/>
      <c r="B64" s="60"/>
      <c r="C64" s="61" t="s">
        <v>29</v>
      </c>
      <c r="D64" s="62"/>
      <c r="E64" s="62"/>
      <c r="F64" s="62">
        <f>S62</f>
        <v>200901600</v>
      </c>
      <c r="G64" s="63"/>
      <c r="H64" s="65"/>
      <c r="I64" s="11"/>
      <c r="J64" s="65"/>
      <c r="K64" s="71"/>
      <c r="L64" s="72"/>
      <c r="M64" s="72"/>
      <c r="N64" s="65"/>
      <c r="O64" s="65"/>
      <c r="P64" s="65"/>
      <c r="Q64" s="72"/>
      <c r="R64" s="65"/>
      <c r="S64" s="65"/>
    </row>
    <row r="65" spans="1:19" x14ac:dyDescent="0.2">
      <c r="A65" s="14"/>
      <c r="B65" s="64"/>
      <c r="C65" s="65" t="s">
        <v>54</v>
      </c>
      <c r="D65" s="14"/>
      <c r="E65" s="14"/>
      <c r="F65" s="66">
        <f>L62</f>
        <v>67500000</v>
      </c>
      <c r="G65" s="10"/>
      <c r="H65" s="14"/>
      <c r="I65" s="7"/>
      <c r="J65" s="14"/>
      <c r="K65" s="40"/>
      <c r="L65" s="41"/>
      <c r="M65" s="41"/>
      <c r="N65" s="14"/>
      <c r="O65" s="14"/>
      <c r="P65" s="14"/>
      <c r="Q65" s="41"/>
      <c r="R65" s="14"/>
      <c r="S65" s="14"/>
    </row>
    <row r="66" spans="1:19" x14ac:dyDescent="0.2">
      <c r="A66" s="14"/>
      <c r="B66" s="64"/>
      <c r="C66" s="65" t="s">
        <v>55</v>
      </c>
      <c r="D66" s="14"/>
      <c r="E66" s="14"/>
      <c r="F66" s="66">
        <f>M62</f>
        <v>8700000</v>
      </c>
      <c r="G66" s="10"/>
      <c r="H66" s="14"/>
      <c r="I66" s="7"/>
      <c r="J66" s="14"/>
      <c r="K66" s="40"/>
      <c r="L66" s="41"/>
      <c r="M66" s="41"/>
      <c r="N66" s="14"/>
      <c r="O66" s="14"/>
      <c r="P66" s="14"/>
      <c r="Q66" s="41"/>
      <c r="R66" s="14"/>
      <c r="S66" s="14"/>
    </row>
    <row r="67" spans="1:19" ht="23.25" customHeight="1" x14ac:dyDescent="0.2">
      <c r="A67" s="277" t="s">
        <v>56</v>
      </c>
      <c r="B67" s="277"/>
      <c r="C67" s="277"/>
      <c r="D67" s="277"/>
      <c r="E67" s="277"/>
      <c r="F67" s="277"/>
      <c r="G67" s="67"/>
      <c r="H67" s="73"/>
      <c r="I67" s="74"/>
      <c r="J67" s="277" t="s">
        <v>57</v>
      </c>
      <c r="K67" s="277"/>
      <c r="L67" s="277"/>
      <c r="M67" s="277"/>
      <c r="N67" s="277"/>
      <c r="O67" s="277"/>
      <c r="P67" s="277"/>
      <c r="Q67" s="277"/>
      <c r="R67" s="277"/>
      <c r="S67" s="11"/>
    </row>
    <row r="68" spans="1:19" x14ac:dyDescent="0.2">
      <c r="G68" s="68"/>
      <c r="I68" s="75"/>
    </row>
    <row r="69" spans="1:19" x14ac:dyDescent="0.2">
      <c r="G69" s="68"/>
      <c r="I69" s="75"/>
    </row>
    <row r="70" spans="1:19" x14ac:dyDescent="0.2">
      <c r="G70" s="68"/>
      <c r="I70" s="75"/>
    </row>
    <row r="71" spans="1:19" x14ac:dyDescent="0.2">
      <c r="G71" s="68"/>
      <c r="I71" s="75"/>
    </row>
    <row r="72" spans="1:19" x14ac:dyDescent="0.2">
      <c r="G72" s="68"/>
      <c r="I72" s="75"/>
    </row>
    <row r="73" spans="1:19" x14ac:dyDescent="0.2">
      <c r="G73" s="68"/>
      <c r="I73" s="75"/>
    </row>
    <row r="74" spans="1:19" x14ac:dyDescent="0.2">
      <c r="G74" s="68"/>
      <c r="I74" s="75"/>
    </row>
    <row r="75" spans="1:19" x14ac:dyDescent="0.2">
      <c r="G75" s="68"/>
      <c r="I75" s="75"/>
    </row>
    <row r="76" spans="1:19" x14ac:dyDescent="0.2">
      <c r="G76" s="68"/>
      <c r="I76" s="75"/>
    </row>
    <row r="77" spans="1:19" x14ac:dyDescent="0.2">
      <c r="G77" s="68"/>
      <c r="I77" s="75"/>
    </row>
    <row r="78" spans="1:19" x14ac:dyDescent="0.2">
      <c r="G78" s="68"/>
      <c r="I78" s="75"/>
    </row>
    <row r="79" spans="1:19" x14ac:dyDescent="0.2">
      <c r="G79" s="68"/>
      <c r="I79" s="75"/>
    </row>
    <row r="80" spans="1:19" x14ac:dyDescent="0.2">
      <c r="G80" s="68"/>
      <c r="I80" s="75"/>
    </row>
    <row r="81" spans="7:9" x14ac:dyDescent="0.2">
      <c r="G81" s="68"/>
      <c r="I81" s="75"/>
    </row>
    <row r="82" spans="7:9" x14ac:dyDescent="0.2">
      <c r="G82" s="68"/>
      <c r="I82" s="75"/>
    </row>
    <row r="83" spans="7:9" x14ac:dyDescent="0.2">
      <c r="G83" s="68"/>
      <c r="I83" s="75"/>
    </row>
    <row r="84" spans="7:9" x14ac:dyDescent="0.2">
      <c r="G84" s="68"/>
      <c r="I84" s="75"/>
    </row>
    <row r="85" spans="7:9" x14ac:dyDescent="0.2">
      <c r="G85" s="68"/>
      <c r="I85" s="75"/>
    </row>
    <row r="86" spans="7:9" x14ac:dyDescent="0.2">
      <c r="G86" s="68"/>
      <c r="I86" s="75"/>
    </row>
    <row r="87" spans="7:9" x14ac:dyDescent="0.2">
      <c r="G87" s="68"/>
      <c r="I87" s="75"/>
    </row>
    <row r="88" spans="7:9" x14ac:dyDescent="0.2">
      <c r="G88" s="68"/>
      <c r="I88" s="75"/>
    </row>
    <row r="89" spans="7:9" x14ac:dyDescent="0.2">
      <c r="G89" s="68"/>
      <c r="I89" s="75"/>
    </row>
    <row r="90" spans="7:9" x14ac:dyDescent="0.2">
      <c r="G90" s="68"/>
      <c r="I90" s="75"/>
    </row>
    <row r="91" spans="7:9" x14ac:dyDescent="0.2">
      <c r="G91" s="68"/>
      <c r="I91" s="75"/>
    </row>
    <row r="92" spans="7:9" x14ac:dyDescent="0.2">
      <c r="G92" s="68"/>
      <c r="I92" s="75"/>
    </row>
    <row r="93" spans="7:9" x14ac:dyDescent="0.2">
      <c r="G93" s="68"/>
      <c r="I93" s="75"/>
    </row>
    <row r="94" spans="7:9" x14ac:dyDescent="0.2">
      <c r="G94" s="68"/>
      <c r="I94" s="75"/>
    </row>
    <row r="95" spans="7:9" x14ac:dyDescent="0.2">
      <c r="G95" s="68"/>
      <c r="I95" s="75"/>
    </row>
    <row r="96" spans="7:9" x14ac:dyDescent="0.2">
      <c r="G96" s="68"/>
      <c r="I96" s="75"/>
    </row>
    <row r="97" spans="7:9" x14ac:dyDescent="0.2">
      <c r="G97" s="68"/>
      <c r="I97" s="75"/>
    </row>
    <row r="98" spans="7:9" x14ac:dyDescent="0.2">
      <c r="G98" s="68"/>
      <c r="I98" s="75"/>
    </row>
    <row r="99" spans="7:9" x14ac:dyDescent="0.2">
      <c r="G99" s="68"/>
      <c r="I99" s="75"/>
    </row>
    <row r="100" spans="7:9" x14ac:dyDescent="0.2">
      <c r="G100" s="68"/>
      <c r="I100" s="75"/>
    </row>
    <row r="101" spans="7:9" x14ac:dyDescent="0.2">
      <c r="G101" s="68"/>
      <c r="I101" s="75"/>
    </row>
    <row r="102" spans="7:9" x14ac:dyDescent="0.2">
      <c r="G102" s="68"/>
      <c r="I102" s="75"/>
    </row>
    <row r="103" spans="7:9" x14ac:dyDescent="0.2">
      <c r="G103" s="68"/>
      <c r="I103" s="75"/>
    </row>
    <row r="104" spans="7:9" x14ac:dyDescent="0.2">
      <c r="G104" s="68"/>
      <c r="I104" s="75"/>
    </row>
    <row r="105" spans="7:9" x14ac:dyDescent="0.2">
      <c r="G105" s="68"/>
      <c r="I105" s="75"/>
    </row>
    <row r="106" spans="7:9" x14ac:dyDescent="0.2">
      <c r="G106" s="68"/>
      <c r="I106" s="75"/>
    </row>
    <row r="107" spans="7:9" x14ac:dyDescent="0.2">
      <c r="G107" s="68"/>
      <c r="I107" s="75"/>
    </row>
    <row r="108" spans="7:9" x14ac:dyDescent="0.2">
      <c r="G108" s="68"/>
      <c r="I108" s="75"/>
    </row>
  </sheetData>
  <autoFilter ref="A16:S67" xr:uid="{00000000-0009-0000-0000-000003000000}"/>
  <mergeCells count="27">
    <mergeCell ref="A2:S2"/>
    <mergeCell ref="A3:S3"/>
    <mergeCell ref="A4:S4"/>
    <mergeCell ref="A6:C6"/>
    <mergeCell ref="A7:C7"/>
    <mergeCell ref="M15:M16"/>
    <mergeCell ref="A8:C8"/>
    <mergeCell ref="A9:C9"/>
    <mergeCell ref="A11:C11"/>
    <mergeCell ref="A12:C12"/>
    <mergeCell ref="G13:H13"/>
    <mergeCell ref="S15:S16"/>
    <mergeCell ref="D15:E15"/>
    <mergeCell ref="N15:R15"/>
    <mergeCell ref="A62:C62"/>
    <mergeCell ref="A67:F67"/>
    <mergeCell ref="J67:R67"/>
    <mergeCell ref="A15:A16"/>
    <mergeCell ref="B15:B16"/>
    <mergeCell ref="C15:C16"/>
    <mergeCell ref="F15:F16"/>
    <mergeCell ref="G15:G16"/>
    <mergeCell ref="H15:H16"/>
    <mergeCell ref="I15:I16"/>
    <mergeCell ref="J15:J16"/>
    <mergeCell ref="K15:K16"/>
    <mergeCell ref="L15:L16"/>
  </mergeCells>
  <pageMargins left="0.2" right="0.2" top="0.32" bottom="0.32" header="0.2" footer="0.2"/>
  <pageSetup paperSize="9" scale="6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00B050"/>
    <pageSetUpPr fitToPage="1"/>
  </sheetPr>
  <dimension ref="A1:W427"/>
  <sheetViews>
    <sheetView tabSelected="1" topLeftCell="A10" zoomScale="73" zoomScaleNormal="73" zoomScaleSheetLayoutView="85" workbookViewId="0">
      <pane ySplit="7" topLeftCell="A283" activePane="bottomLeft" state="frozen"/>
      <selection activeCell="A10" sqref="A10"/>
      <selection pane="bottomLeft" activeCell="U15" sqref="U15:U16"/>
    </sheetView>
  </sheetViews>
  <sheetFormatPr baseColWidth="10" defaultColWidth="9" defaultRowHeight="60" customHeight="1" x14ac:dyDescent="0.2"/>
  <cols>
    <col min="1" max="1" width="7.33203125" style="164" customWidth="1"/>
    <col min="2" max="2" width="17.33203125" style="164" customWidth="1"/>
    <col min="3" max="3" width="33.83203125" style="164" customWidth="1"/>
    <col min="4" max="5" width="4.83203125" style="164" customWidth="1"/>
    <col min="6" max="7" width="20.1640625" style="244" customWidth="1"/>
    <col min="8" max="8" width="23.1640625" style="253" customWidth="1"/>
    <col min="9" max="9" width="46.1640625" style="164" hidden="1" customWidth="1"/>
    <col min="10" max="10" width="30.5" style="164" hidden="1" customWidth="1"/>
    <col min="11" max="11" width="39" style="164" customWidth="1"/>
    <col min="12" max="12" width="17.5" style="252" customWidth="1"/>
    <col min="13" max="13" width="19.5" style="163" customWidth="1"/>
    <col min="14" max="14" width="21.1640625" style="163" customWidth="1"/>
    <col min="15" max="16" width="27.33203125" style="164" customWidth="1"/>
    <col min="17" max="17" width="15.6640625" style="164" customWidth="1"/>
    <col min="18" max="18" width="16.5" style="164" hidden="1" customWidth="1"/>
    <col min="19" max="19" width="15.83203125" style="163" bestFit="1" customWidth="1"/>
    <col min="20" max="20" width="20.33203125" style="164" customWidth="1"/>
    <col min="21" max="22" width="19.6640625" style="164" customWidth="1"/>
    <col min="23" max="23" width="131.5" style="164" customWidth="1"/>
    <col min="24" max="16384" width="9" style="164"/>
  </cols>
  <sheetData>
    <row r="1" spans="1:22" ht="23.25" customHeight="1" x14ac:dyDescent="0.2">
      <c r="A1" s="157"/>
      <c r="B1" s="158"/>
      <c r="C1" s="159"/>
      <c r="D1" s="157"/>
      <c r="E1" s="157"/>
      <c r="F1" s="157"/>
      <c r="G1" s="157"/>
      <c r="H1" s="160"/>
      <c r="I1" s="161"/>
      <c r="J1" s="159"/>
      <c r="K1" s="161"/>
      <c r="L1" s="162"/>
      <c r="O1" s="161"/>
      <c r="P1" s="161"/>
      <c r="Q1" s="161"/>
      <c r="R1" s="161"/>
      <c r="T1" s="161"/>
      <c r="U1" s="161"/>
    </row>
    <row r="2" spans="1:22" ht="23.25" customHeight="1" x14ac:dyDescent="0.2">
      <c r="A2" s="289" t="s">
        <v>169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</row>
    <row r="3" spans="1:22" ht="23.25" customHeight="1" x14ac:dyDescent="0.2">
      <c r="A3" s="299" t="s">
        <v>168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</row>
    <row r="4" spans="1:22" ht="23.25" customHeight="1" x14ac:dyDescent="0.2">
      <c r="A4" s="299" t="s">
        <v>2</v>
      </c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</row>
    <row r="5" spans="1:22" ht="23.25" customHeight="1" x14ac:dyDescent="0.2">
      <c r="A5" s="157"/>
      <c r="B5" s="166"/>
      <c r="C5" s="157"/>
      <c r="D5" s="157"/>
      <c r="E5" s="157"/>
      <c r="F5" s="157"/>
      <c r="G5" s="157"/>
      <c r="H5" s="160"/>
      <c r="I5" s="157"/>
      <c r="J5" s="157"/>
      <c r="K5" s="157"/>
      <c r="L5" s="167"/>
      <c r="M5" s="168"/>
      <c r="N5" s="168"/>
      <c r="O5" s="157"/>
      <c r="P5" s="157"/>
      <c r="Q5" s="157"/>
      <c r="R5" s="157"/>
      <c r="S5" s="168"/>
      <c r="T5" s="157"/>
      <c r="U5" s="157"/>
    </row>
    <row r="6" spans="1:22" ht="23.25" customHeight="1" x14ac:dyDescent="0.2">
      <c r="A6" s="300" t="s">
        <v>161</v>
      </c>
      <c r="B6" s="300"/>
      <c r="C6" s="300"/>
      <c r="D6" s="300"/>
      <c r="E6" s="300"/>
      <c r="F6" s="300"/>
      <c r="G6" s="300"/>
      <c r="H6" s="300"/>
      <c r="I6" s="169"/>
      <c r="J6" s="170"/>
      <c r="K6" s="169"/>
      <c r="L6" s="171"/>
      <c r="M6" s="172"/>
      <c r="N6" s="172"/>
      <c r="O6" s="169"/>
      <c r="P6" s="169"/>
      <c r="Q6" s="173"/>
      <c r="R6" s="169"/>
      <c r="S6" s="172"/>
      <c r="T6" s="169"/>
      <c r="U6" s="169"/>
    </row>
    <row r="7" spans="1:22" ht="23.25" customHeight="1" x14ac:dyDescent="0.2">
      <c r="A7" s="301" t="s">
        <v>162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174"/>
      <c r="M7" s="175"/>
      <c r="N7" s="175"/>
      <c r="O7" s="169"/>
      <c r="P7" s="169"/>
      <c r="Q7" s="169"/>
      <c r="R7" s="169"/>
      <c r="S7" s="172"/>
      <c r="T7" s="169"/>
      <c r="U7" s="169"/>
    </row>
    <row r="8" spans="1:22" ht="23.25" customHeight="1" x14ac:dyDescent="0.2">
      <c r="A8" s="301" t="s">
        <v>163</v>
      </c>
      <c r="B8" s="301"/>
      <c r="C8" s="301"/>
      <c r="D8" s="301"/>
      <c r="E8" s="301"/>
      <c r="F8" s="301"/>
      <c r="G8" s="176"/>
      <c r="H8" s="177"/>
      <c r="I8" s="178"/>
      <c r="J8" s="179"/>
      <c r="K8" s="178"/>
      <c r="L8" s="174"/>
      <c r="M8" s="175"/>
      <c r="N8" s="175"/>
      <c r="O8" s="169"/>
      <c r="P8" s="169"/>
      <c r="Q8" s="169"/>
      <c r="R8" s="169"/>
      <c r="S8" s="172"/>
      <c r="T8" s="169"/>
      <c r="U8" s="169"/>
    </row>
    <row r="9" spans="1:22" ht="23.25" customHeight="1" x14ac:dyDescent="0.2">
      <c r="A9" s="302" t="s">
        <v>164</v>
      </c>
      <c r="B9" s="302"/>
      <c r="C9" s="302"/>
      <c r="D9" s="302"/>
      <c r="E9" s="302"/>
      <c r="F9" s="302"/>
      <c r="G9" s="302"/>
      <c r="H9" s="302"/>
      <c r="I9" s="302"/>
      <c r="J9" s="179"/>
      <c r="K9" s="178"/>
      <c r="L9" s="174"/>
      <c r="M9" s="175"/>
      <c r="N9" s="175"/>
      <c r="O9" s="169"/>
      <c r="P9" s="169"/>
      <c r="Q9" s="169"/>
      <c r="R9" s="169"/>
      <c r="S9" s="172"/>
      <c r="T9" s="169"/>
      <c r="U9" s="169"/>
    </row>
    <row r="10" spans="1:22" ht="23.25" customHeight="1" x14ac:dyDescent="0.2">
      <c r="A10" s="180"/>
      <c r="B10" s="181"/>
      <c r="C10" s="180"/>
      <c r="E10" s="169"/>
      <c r="F10" s="176"/>
      <c r="G10" s="176"/>
      <c r="H10" s="177"/>
      <c r="I10" s="178"/>
      <c r="J10" s="179"/>
      <c r="K10" s="178"/>
      <c r="L10" s="174"/>
      <c r="M10" s="175"/>
      <c r="N10" s="175"/>
      <c r="O10" s="169"/>
      <c r="P10" s="169"/>
      <c r="Q10" s="169"/>
      <c r="R10" s="169"/>
      <c r="S10" s="172"/>
      <c r="T10" s="169"/>
      <c r="U10" s="169"/>
    </row>
    <row r="11" spans="1:22" ht="23.25" customHeight="1" x14ac:dyDescent="0.2">
      <c r="A11" s="300" t="s">
        <v>165</v>
      </c>
      <c r="B11" s="300"/>
      <c r="C11" s="300"/>
      <c r="D11" s="300"/>
      <c r="E11" s="300"/>
      <c r="F11" s="300"/>
      <c r="G11" s="300"/>
      <c r="H11" s="300"/>
      <c r="I11" s="169"/>
      <c r="J11" s="170"/>
      <c r="K11" s="169"/>
      <c r="L11" s="171"/>
      <c r="M11" s="172"/>
      <c r="N11" s="172"/>
      <c r="O11" s="169"/>
      <c r="P11" s="169"/>
      <c r="Q11" s="173"/>
      <c r="R11" s="169"/>
      <c r="S11" s="172"/>
      <c r="T11" s="169"/>
      <c r="U11" s="169"/>
    </row>
    <row r="12" spans="1:22" ht="23.25" customHeight="1" x14ac:dyDescent="0.2">
      <c r="A12" s="301" t="s">
        <v>166</v>
      </c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174"/>
      <c r="M12" s="175"/>
      <c r="N12" s="175"/>
      <c r="O12" s="169"/>
      <c r="P12" s="169"/>
      <c r="Q12" s="169"/>
      <c r="R12" s="169"/>
      <c r="S12" s="172"/>
      <c r="T12" s="169"/>
      <c r="U12" s="169"/>
    </row>
    <row r="13" spans="1:22" ht="23.25" customHeight="1" x14ac:dyDescent="0.2">
      <c r="A13" s="301" t="s">
        <v>167</v>
      </c>
      <c r="B13" s="301"/>
      <c r="C13" s="301"/>
      <c r="D13" s="301"/>
      <c r="E13" s="301"/>
      <c r="F13" s="301"/>
      <c r="G13" s="176"/>
      <c r="H13" s="177"/>
      <c r="I13" s="179"/>
      <c r="J13" s="179"/>
      <c r="K13" s="178"/>
      <c r="L13" s="174"/>
      <c r="M13" s="175"/>
      <c r="N13" s="175"/>
      <c r="O13" s="176"/>
      <c r="P13" s="176"/>
      <c r="Q13" s="176"/>
      <c r="R13" s="176"/>
      <c r="S13" s="175"/>
      <c r="T13" s="176"/>
      <c r="U13" s="176"/>
    </row>
    <row r="14" spans="1:22" ht="23.25" customHeight="1" x14ac:dyDescent="0.2">
      <c r="A14" s="182"/>
      <c r="B14" s="183"/>
      <c r="C14" s="182"/>
      <c r="D14" s="182"/>
      <c r="E14" s="182"/>
      <c r="F14" s="182"/>
      <c r="G14" s="182"/>
      <c r="H14" s="160"/>
      <c r="I14" s="182"/>
      <c r="J14" s="157"/>
      <c r="K14" s="182"/>
      <c r="L14" s="184"/>
      <c r="M14" s="185"/>
      <c r="N14" s="185"/>
      <c r="O14" s="182"/>
      <c r="P14" s="182"/>
      <c r="Q14" s="186"/>
      <c r="R14" s="182"/>
      <c r="S14" s="185"/>
      <c r="T14" s="182"/>
      <c r="U14" s="182"/>
    </row>
    <row r="15" spans="1:22" s="152" customFormat="1" ht="60" customHeight="1" x14ac:dyDescent="0.2">
      <c r="A15" s="290" t="s">
        <v>15</v>
      </c>
      <c r="B15" s="292" t="s">
        <v>16</v>
      </c>
      <c r="C15" s="290" t="s">
        <v>17</v>
      </c>
      <c r="D15" s="290" t="s">
        <v>18</v>
      </c>
      <c r="E15" s="290"/>
      <c r="F15" s="290" t="s">
        <v>19</v>
      </c>
      <c r="G15" s="290" t="s">
        <v>157</v>
      </c>
      <c r="H15" s="290" t="s">
        <v>20</v>
      </c>
      <c r="I15" s="290" t="s">
        <v>21</v>
      </c>
      <c r="J15" s="303" t="s">
        <v>22</v>
      </c>
      <c r="K15" s="303" t="s">
        <v>23</v>
      </c>
      <c r="L15" s="307" t="s">
        <v>170</v>
      </c>
      <c r="M15" s="306" t="s">
        <v>171</v>
      </c>
      <c r="N15" s="306" t="s">
        <v>26</v>
      </c>
      <c r="O15" s="303" t="s">
        <v>147</v>
      </c>
      <c r="P15" s="303"/>
      <c r="Q15" s="303"/>
      <c r="R15" s="303"/>
      <c r="S15" s="303"/>
      <c r="T15" s="303"/>
      <c r="U15" s="303" t="s">
        <v>28</v>
      </c>
      <c r="V15" s="117"/>
    </row>
    <row r="16" spans="1:22" s="152" customFormat="1" ht="60" hidden="1" customHeight="1" x14ac:dyDescent="0.2">
      <c r="A16" s="291"/>
      <c r="B16" s="293"/>
      <c r="C16" s="294"/>
      <c r="D16" s="190">
        <v>20</v>
      </c>
      <c r="E16" s="190">
        <v>40</v>
      </c>
      <c r="F16" s="295"/>
      <c r="G16" s="294"/>
      <c r="H16" s="294"/>
      <c r="I16" s="295"/>
      <c r="J16" s="295"/>
      <c r="K16" s="295"/>
      <c r="L16" s="307"/>
      <c r="M16" s="306"/>
      <c r="N16" s="306"/>
      <c r="O16" s="187" t="s">
        <v>29</v>
      </c>
      <c r="P16" s="187" t="s">
        <v>1023</v>
      </c>
      <c r="Q16" s="187" t="s">
        <v>159</v>
      </c>
      <c r="R16" s="187" t="s">
        <v>32</v>
      </c>
      <c r="S16" s="191" t="s">
        <v>33</v>
      </c>
      <c r="T16" s="187" t="s">
        <v>30</v>
      </c>
      <c r="U16" s="291"/>
      <c r="V16" s="117"/>
    </row>
    <row r="17" spans="1:23" s="152" customFormat="1" ht="60" hidden="1" customHeight="1" x14ac:dyDescent="0.2">
      <c r="A17" s="122">
        <f>ROW()-16</f>
        <v>1</v>
      </c>
      <c r="B17" s="192">
        <v>45956</v>
      </c>
      <c r="C17" s="148">
        <v>7263043630</v>
      </c>
      <c r="D17" s="148"/>
      <c r="E17" s="148">
        <v>1</v>
      </c>
      <c r="F17" s="117" t="s">
        <v>414</v>
      </c>
      <c r="G17" s="117" t="s">
        <v>451</v>
      </c>
      <c r="H17" s="148" t="s">
        <v>353</v>
      </c>
      <c r="I17" s="148" t="s">
        <v>354</v>
      </c>
      <c r="J17" s="117" t="s">
        <v>174</v>
      </c>
      <c r="K17" s="122" t="s">
        <v>39</v>
      </c>
      <c r="L17" s="193" t="s">
        <v>415</v>
      </c>
      <c r="M17" s="194">
        <v>1500000</v>
      </c>
      <c r="N17" s="194"/>
      <c r="O17" s="124">
        <v>2700000</v>
      </c>
      <c r="P17" s="124"/>
      <c r="Q17" s="187"/>
      <c r="R17" s="187"/>
      <c r="S17" s="124"/>
      <c r="T17" s="124">
        <f t="shared" ref="T17:T80" si="0">O17*0.08</f>
        <v>216000</v>
      </c>
      <c r="U17" s="150">
        <f>T17+S17+Q17+O17+M17+N17</f>
        <v>4416000</v>
      </c>
      <c r="V17" s="117" t="s">
        <v>413</v>
      </c>
      <c r="W17" s="151" t="str">
        <f t="shared" ref="W17:W80" si="1">"Cước vận chuyển Cát Lái - "&amp;I17&amp;" cont: "&amp;F17&amp;" "</f>
        <v xml:space="preserve">Cước vận chuyển Cát Lái - THỦ DẦU MỘT, BÌNH DƯƠNG cont: OOCU9433379 </v>
      </c>
    </row>
    <row r="18" spans="1:23" s="152" customFormat="1" ht="60" hidden="1" customHeight="1" x14ac:dyDescent="0.2">
      <c r="A18" s="122">
        <f t="shared" ref="A18:A81" si="2">ROW()-16</f>
        <v>2</v>
      </c>
      <c r="B18" s="147">
        <v>45956</v>
      </c>
      <c r="C18" s="128" t="s">
        <v>218</v>
      </c>
      <c r="D18" s="128"/>
      <c r="E18" s="128">
        <v>1</v>
      </c>
      <c r="F18" s="117" t="s">
        <v>219</v>
      </c>
      <c r="G18" s="117" t="s">
        <v>195</v>
      </c>
      <c r="H18" s="117" t="s">
        <v>176</v>
      </c>
      <c r="I18" s="148" t="s">
        <v>226</v>
      </c>
      <c r="J18" s="148" t="s">
        <v>39</v>
      </c>
      <c r="K18" s="148" t="s">
        <v>204</v>
      </c>
      <c r="L18" s="149" t="s">
        <v>227</v>
      </c>
      <c r="M18" s="123">
        <v>1500000</v>
      </c>
      <c r="N18" s="123"/>
      <c r="O18" s="124">
        <v>4500000</v>
      </c>
      <c r="P18" s="124"/>
      <c r="Q18" s="124"/>
      <c r="R18" s="124"/>
      <c r="S18" s="124"/>
      <c r="T18" s="124">
        <f t="shared" si="0"/>
        <v>360000</v>
      </c>
      <c r="U18" s="150">
        <f t="shared" ref="U18:U81" si="3">T18+S18+Q18+O18+M18+N18</f>
        <v>6360000</v>
      </c>
      <c r="V18" s="117" t="s">
        <v>413</v>
      </c>
      <c r="W18" s="151" t="str">
        <f t="shared" si="1"/>
        <v xml:space="preserve">Cước vận chuyển Cát Lái - CHƠN THÀNH, BÌNH PHƯỚC cont: YMMU6226693 </v>
      </c>
    </row>
    <row r="19" spans="1:23" s="152" customFormat="1" ht="60" hidden="1" customHeight="1" x14ac:dyDescent="0.2">
      <c r="A19" s="122">
        <f t="shared" si="2"/>
        <v>3</v>
      </c>
      <c r="B19" s="147">
        <v>45956</v>
      </c>
      <c r="C19" s="128" t="s">
        <v>218</v>
      </c>
      <c r="D19" s="115"/>
      <c r="E19" s="128">
        <v>1</v>
      </c>
      <c r="F19" s="117" t="s">
        <v>220</v>
      </c>
      <c r="G19" s="117" t="s">
        <v>452</v>
      </c>
      <c r="H19" s="117" t="s">
        <v>176</v>
      </c>
      <c r="I19" s="148" t="s">
        <v>226</v>
      </c>
      <c r="J19" s="148" t="s">
        <v>39</v>
      </c>
      <c r="K19" s="148" t="s">
        <v>204</v>
      </c>
      <c r="L19" s="195" t="s">
        <v>427</v>
      </c>
      <c r="M19" s="123">
        <f>1500000+350000</f>
        <v>1850000</v>
      </c>
      <c r="N19" s="123">
        <v>2900000</v>
      </c>
      <c r="O19" s="124">
        <v>4500000</v>
      </c>
      <c r="P19" s="124"/>
      <c r="Q19" s="124"/>
      <c r="R19" s="124"/>
      <c r="S19" s="124"/>
      <c r="T19" s="124">
        <f t="shared" si="0"/>
        <v>360000</v>
      </c>
      <c r="U19" s="150">
        <f t="shared" si="3"/>
        <v>9610000</v>
      </c>
      <c r="V19" s="117" t="s">
        <v>413</v>
      </c>
      <c r="W19" s="151" t="str">
        <f t="shared" si="1"/>
        <v xml:space="preserve">Cước vận chuyển Cát Lái - CHƠN THÀNH, BÌNH PHƯỚC cont: YMMU6759136 </v>
      </c>
    </row>
    <row r="20" spans="1:23" s="152" customFormat="1" ht="60" hidden="1" customHeight="1" x14ac:dyDescent="0.2">
      <c r="A20" s="122">
        <f t="shared" si="2"/>
        <v>4</v>
      </c>
      <c r="B20" s="147">
        <v>45956</v>
      </c>
      <c r="C20" s="128" t="s">
        <v>218</v>
      </c>
      <c r="D20" s="128"/>
      <c r="E20" s="128">
        <v>1</v>
      </c>
      <c r="F20" s="117" t="s">
        <v>222</v>
      </c>
      <c r="G20" s="117" t="s">
        <v>453</v>
      </c>
      <c r="H20" s="117" t="s">
        <v>176</v>
      </c>
      <c r="I20" s="148" t="s">
        <v>226</v>
      </c>
      <c r="J20" s="148" t="s">
        <v>39</v>
      </c>
      <c r="K20" s="148" t="s">
        <v>204</v>
      </c>
      <c r="L20" s="195" t="s">
        <v>428</v>
      </c>
      <c r="M20" s="123">
        <f>1500000+350000</f>
        <v>1850000</v>
      </c>
      <c r="N20" s="123"/>
      <c r="O20" s="124">
        <v>4500000</v>
      </c>
      <c r="P20" s="124"/>
      <c r="Q20" s="124"/>
      <c r="R20" s="124"/>
      <c r="S20" s="124"/>
      <c r="T20" s="124">
        <f t="shared" si="0"/>
        <v>360000</v>
      </c>
      <c r="U20" s="150">
        <f t="shared" si="3"/>
        <v>6710000</v>
      </c>
      <c r="V20" s="117" t="s">
        <v>413</v>
      </c>
      <c r="W20" s="151" t="str">
        <f t="shared" si="1"/>
        <v xml:space="preserve">Cước vận chuyển Cát Lái - CHƠN THÀNH, BÌNH PHƯỚC cont: YMMU7045067 </v>
      </c>
    </row>
    <row r="21" spans="1:23" s="152" customFormat="1" ht="60" hidden="1" customHeight="1" x14ac:dyDescent="0.2">
      <c r="A21" s="122">
        <f t="shared" si="2"/>
        <v>5</v>
      </c>
      <c r="B21" s="147">
        <v>45956</v>
      </c>
      <c r="C21" s="128" t="s">
        <v>218</v>
      </c>
      <c r="D21" s="115"/>
      <c r="E21" s="128">
        <v>1</v>
      </c>
      <c r="F21" s="117" t="s">
        <v>224</v>
      </c>
      <c r="G21" s="117" t="s">
        <v>197</v>
      </c>
      <c r="H21" s="117" t="s">
        <v>176</v>
      </c>
      <c r="I21" s="148" t="s">
        <v>226</v>
      </c>
      <c r="J21" s="148" t="s">
        <v>39</v>
      </c>
      <c r="K21" s="148" t="s">
        <v>204</v>
      </c>
      <c r="L21" s="195" t="s">
        <v>429</v>
      </c>
      <c r="M21" s="123">
        <f>1500000+350000</f>
        <v>1850000</v>
      </c>
      <c r="N21" s="123"/>
      <c r="O21" s="124">
        <v>4500000</v>
      </c>
      <c r="P21" s="124"/>
      <c r="Q21" s="124"/>
      <c r="R21" s="124"/>
      <c r="S21" s="124"/>
      <c r="T21" s="124">
        <f t="shared" si="0"/>
        <v>360000</v>
      </c>
      <c r="U21" s="150">
        <f t="shared" si="3"/>
        <v>6710000</v>
      </c>
      <c r="V21" s="117" t="s">
        <v>413</v>
      </c>
      <c r="W21" s="151" t="str">
        <f t="shared" si="1"/>
        <v xml:space="preserve">Cước vận chuyển Cát Lái - CHƠN THÀNH, BÌNH PHƯỚC cont: YMLU8941341 </v>
      </c>
    </row>
    <row r="22" spans="1:23" s="152" customFormat="1" ht="60" hidden="1" customHeight="1" x14ac:dyDescent="0.2">
      <c r="A22" s="122">
        <f t="shared" si="2"/>
        <v>6</v>
      </c>
      <c r="B22" s="153">
        <v>45956</v>
      </c>
      <c r="C22" s="154" t="s">
        <v>218</v>
      </c>
      <c r="D22" s="155"/>
      <c r="E22" s="154">
        <v>1</v>
      </c>
      <c r="F22" s="154" t="s">
        <v>225</v>
      </c>
      <c r="G22" s="117" t="s">
        <v>191</v>
      </c>
      <c r="H22" s="117" t="s">
        <v>176</v>
      </c>
      <c r="I22" s="148" t="s">
        <v>226</v>
      </c>
      <c r="J22" s="148" t="s">
        <v>39</v>
      </c>
      <c r="K22" s="148" t="s">
        <v>204</v>
      </c>
      <c r="L22" s="149" t="s">
        <v>228</v>
      </c>
      <c r="M22" s="123">
        <v>1500000</v>
      </c>
      <c r="N22" s="123"/>
      <c r="O22" s="124">
        <v>4500000</v>
      </c>
      <c r="P22" s="124"/>
      <c r="Q22" s="124"/>
      <c r="R22" s="124"/>
      <c r="S22" s="124"/>
      <c r="T22" s="124">
        <f t="shared" si="0"/>
        <v>360000</v>
      </c>
      <c r="U22" s="150">
        <f t="shared" si="3"/>
        <v>6360000</v>
      </c>
      <c r="V22" s="117" t="s">
        <v>413</v>
      </c>
      <c r="W22" s="151" t="str">
        <f t="shared" si="1"/>
        <v xml:space="preserve">Cước vận chuyển Cát Lái - CHƠN THÀNH, BÌNH PHƯỚC cont: YMLU8851470 </v>
      </c>
    </row>
    <row r="23" spans="1:23" s="152" customFormat="1" ht="60" hidden="1" customHeight="1" x14ac:dyDescent="0.2">
      <c r="A23" s="122">
        <f t="shared" si="2"/>
        <v>7</v>
      </c>
      <c r="B23" s="147">
        <v>45956</v>
      </c>
      <c r="C23" s="128" t="s">
        <v>216</v>
      </c>
      <c r="D23" s="128"/>
      <c r="E23" s="128">
        <v>1</v>
      </c>
      <c r="F23" s="117" t="s">
        <v>229</v>
      </c>
      <c r="G23" s="117" t="s">
        <v>194</v>
      </c>
      <c r="H23" s="117" t="s">
        <v>179</v>
      </c>
      <c r="I23" s="122" t="s">
        <v>180</v>
      </c>
      <c r="J23" s="148" t="s">
        <v>39</v>
      </c>
      <c r="K23" s="128" t="s">
        <v>173</v>
      </c>
      <c r="L23" s="149" t="s">
        <v>241</v>
      </c>
      <c r="M23" s="123">
        <v>1566000</v>
      </c>
      <c r="N23" s="123"/>
      <c r="O23" s="124">
        <v>4700000</v>
      </c>
      <c r="P23" s="124"/>
      <c r="Q23" s="124"/>
      <c r="R23" s="124"/>
      <c r="S23" s="124"/>
      <c r="T23" s="124">
        <f t="shared" si="0"/>
        <v>376000</v>
      </c>
      <c r="U23" s="150">
        <f t="shared" si="3"/>
        <v>6642000</v>
      </c>
      <c r="V23" s="117" t="s">
        <v>413</v>
      </c>
      <c r="W23" s="151" t="str">
        <f t="shared" si="1"/>
        <v xml:space="preserve">Cước vận chuyển Cát Lái - HỚN QUẢN, BÌNH PHƯỚC cont: JXLU4717448 </v>
      </c>
    </row>
    <row r="24" spans="1:23" s="152" customFormat="1" ht="60" hidden="1" customHeight="1" x14ac:dyDescent="0.2">
      <c r="A24" s="122">
        <f t="shared" si="2"/>
        <v>8</v>
      </c>
      <c r="B24" s="147">
        <v>45956</v>
      </c>
      <c r="C24" s="128" t="s">
        <v>216</v>
      </c>
      <c r="D24" s="115"/>
      <c r="E24" s="128">
        <v>1</v>
      </c>
      <c r="F24" s="117" t="s">
        <v>230</v>
      </c>
      <c r="G24" s="117" t="s">
        <v>193</v>
      </c>
      <c r="H24" s="117" t="s">
        <v>179</v>
      </c>
      <c r="I24" s="122" t="s">
        <v>180</v>
      </c>
      <c r="J24" s="148" t="s">
        <v>39</v>
      </c>
      <c r="K24" s="128" t="s">
        <v>173</v>
      </c>
      <c r="L24" s="149" t="s">
        <v>244</v>
      </c>
      <c r="M24" s="123">
        <v>1566000</v>
      </c>
      <c r="N24" s="123"/>
      <c r="O24" s="124">
        <v>4700000</v>
      </c>
      <c r="P24" s="124"/>
      <c r="Q24" s="124"/>
      <c r="R24" s="124"/>
      <c r="S24" s="124"/>
      <c r="T24" s="124">
        <f t="shared" si="0"/>
        <v>376000</v>
      </c>
      <c r="U24" s="150">
        <f t="shared" si="3"/>
        <v>6642000</v>
      </c>
      <c r="V24" s="117" t="s">
        <v>413</v>
      </c>
      <c r="W24" s="151" t="str">
        <f t="shared" si="1"/>
        <v xml:space="preserve">Cước vận chuyển Cát Lái - HỚN QUẢN, BÌNH PHƯỚC cont: ZCSU6728821 </v>
      </c>
    </row>
    <row r="25" spans="1:23" s="152" customFormat="1" ht="60" hidden="1" customHeight="1" x14ac:dyDescent="0.2">
      <c r="A25" s="122">
        <f t="shared" si="2"/>
        <v>9</v>
      </c>
      <c r="B25" s="147">
        <v>45956</v>
      </c>
      <c r="C25" s="128" t="s">
        <v>216</v>
      </c>
      <c r="D25" s="115"/>
      <c r="E25" s="128">
        <v>1</v>
      </c>
      <c r="F25" s="117" t="s">
        <v>231</v>
      </c>
      <c r="G25" s="117" t="s">
        <v>186</v>
      </c>
      <c r="H25" s="117" t="s">
        <v>179</v>
      </c>
      <c r="I25" s="122" t="s">
        <v>180</v>
      </c>
      <c r="J25" s="148" t="s">
        <v>39</v>
      </c>
      <c r="K25" s="128" t="s">
        <v>173</v>
      </c>
      <c r="L25" s="149" t="s">
        <v>247</v>
      </c>
      <c r="M25" s="123">
        <v>1566000</v>
      </c>
      <c r="N25" s="123"/>
      <c r="O25" s="124">
        <v>4700000</v>
      </c>
      <c r="P25" s="124"/>
      <c r="Q25" s="124"/>
      <c r="R25" s="124"/>
      <c r="S25" s="124"/>
      <c r="T25" s="124">
        <f t="shared" si="0"/>
        <v>376000</v>
      </c>
      <c r="U25" s="150">
        <f t="shared" si="3"/>
        <v>6642000</v>
      </c>
      <c r="V25" s="117" t="s">
        <v>413</v>
      </c>
      <c r="W25" s="151" t="str">
        <f t="shared" si="1"/>
        <v xml:space="preserve">Cước vận chuyển Cát Lái - HỚN QUẢN, BÌNH PHƯỚC cont: JXLU4677860 </v>
      </c>
    </row>
    <row r="26" spans="1:23" s="152" customFormat="1" ht="60" hidden="1" customHeight="1" x14ac:dyDescent="0.2">
      <c r="A26" s="122">
        <f t="shared" si="2"/>
        <v>10</v>
      </c>
      <c r="B26" s="147">
        <v>45956</v>
      </c>
      <c r="C26" s="128" t="s">
        <v>216</v>
      </c>
      <c r="D26" s="115"/>
      <c r="E26" s="128">
        <v>1</v>
      </c>
      <c r="F26" s="117" t="s">
        <v>232</v>
      </c>
      <c r="G26" s="117" t="s">
        <v>190</v>
      </c>
      <c r="H26" s="117" t="s">
        <v>179</v>
      </c>
      <c r="I26" s="122" t="s">
        <v>180</v>
      </c>
      <c r="J26" s="148" t="s">
        <v>39</v>
      </c>
      <c r="K26" s="128" t="s">
        <v>173</v>
      </c>
      <c r="L26" s="149" t="s">
        <v>243</v>
      </c>
      <c r="M26" s="123">
        <v>1566000</v>
      </c>
      <c r="N26" s="123">
        <v>10000000</v>
      </c>
      <c r="O26" s="124">
        <v>4700000</v>
      </c>
      <c r="P26" s="124"/>
      <c r="Q26" s="124"/>
      <c r="R26" s="124"/>
      <c r="S26" s="124"/>
      <c r="T26" s="124">
        <f t="shared" si="0"/>
        <v>376000</v>
      </c>
      <c r="U26" s="150">
        <f t="shared" si="3"/>
        <v>16642000</v>
      </c>
      <c r="V26" s="117" t="s">
        <v>413</v>
      </c>
      <c r="W26" s="151" t="str">
        <f t="shared" si="1"/>
        <v xml:space="preserve">Cước vận chuyển Cát Lái - HỚN QUẢN, BÌNH PHƯỚC cont: TCNU5337176 </v>
      </c>
    </row>
    <row r="27" spans="1:23" s="152" customFormat="1" ht="60" hidden="1" customHeight="1" x14ac:dyDescent="0.2">
      <c r="A27" s="122">
        <f t="shared" si="2"/>
        <v>11</v>
      </c>
      <c r="B27" s="147">
        <v>45956</v>
      </c>
      <c r="C27" s="128" t="s">
        <v>216</v>
      </c>
      <c r="D27" s="115"/>
      <c r="E27" s="128">
        <v>1</v>
      </c>
      <c r="F27" s="117" t="s">
        <v>234</v>
      </c>
      <c r="G27" s="117" t="s">
        <v>188</v>
      </c>
      <c r="H27" s="117" t="s">
        <v>179</v>
      </c>
      <c r="I27" s="122" t="s">
        <v>180</v>
      </c>
      <c r="J27" s="148" t="s">
        <v>39</v>
      </c>
      <c r="K27" s="128" t="s">
        <v>173</v>
      </c>
      <c r="L27" s="149" t="s">
        <v>238</v>
      </c>
      <c r="M27" s="123">
        <v>1566000</v>
      </c>
      <c r="N27" s="123"/>
      <c r="O27" s="124">
        <v>4700000</v>
      </c>
      <c r="P27" s="124"/>
      <c r="Q27" s="124"/>
      <c r="R27" s="124"/>
      <c r="S27" s="124"/>
      <c r="T27" s="124">
        <f t="shared" si="0"/>
        <v>376000</v>
      </c>
      <c r="U27" s="150">
        <f t="shared" si="3"/>
        <v>6642000</v>
      </c>
      <c r="V27" s="117" t="s">
        <v>413</v>
      </c>
      <c r="W27" s="151" t="str">
        <f t="shared" si="1"/>
        <v xml:space="preserve">Cước vận chuyển Cát Lái - HỚN QUẢN, BÌNH PHƯỚC cont: JXLU4420423 </v>
      </c>
    </row>
    <row r="28" spans="1:23" s="152" customFormat="1" ht="77.25" hidden="1" customHeight="1" x14ac:dyDescent="0.2">
      <c r="A28" s="122">
        <f t="shared" si="2"/>
        <v>12</v>
      </c>
      <c r="B28" s="147">
        <v>45956</v>
      </c>
      <c r="C28" s="128" t="s">
        <v>216</v>
      </c>
      <c r="D28" s="115"/>
      <c r="E28" s="128">
        <v>1</v>
      </c>
      <c r="F28" s="117" t="s">
        <v>235</v>
      </c>
      <c r="G28" s="117" t="s">
        <v>454</v>
      </c>
      <c r="H28" s="117" t="s">
        <v>179</v>
      </c>
      <c r="I28" s="122" t="s">
        <v>180</v>
      </c>
      <c r="J28" s="148" t="s">
        <v>39</v>
      </c>
      <c r="K28" s="128" t="s">
        <v>173</v>
      </c>
      <c r="L28" s="149" t="s">
        <v>239</v>
      </c>
      <c r="M28" s="123">
        <v>1566000</v>
      </c>
      <c r="N28" s="123"/>
      <c r="O28" s="124">
        <v>4700000</v>
      </c>
      <c r="P28" s="124"/>
      <c r="Q28" s="124"/>
      <c r="R28" s="124"/>
      <c r="S28" s="124"/>
      <c r="T28" s="124">
        <f t="shared" si="0"/>
        <v>376000</v>
      </c>
      <c r="U28" s="150">
        <f t="shared" si="3"/>
        <v>6642000</v>
      </c>
      <c r="V28" s="117" t="s">
        <v>413</v>
      </c>
      <c r="W28" s="151" t="str">
        <f t="shared" si="1"/>
        <v xml:space="preserve">Cước vận chuyển Cát Lái - HỚN QUẢN, BÌNH PHƯỚC cont: TCLU5342914 </v>
      </c>
    </row>
    <row r="29" spans="1:23" s="152" customFormat="1" ht="68.25" hidden="1" customHeight="1" x14ac:dyDescent="0.2">
      <c r="A29" s="122">
        <f t="shared" si="2"/>
        <v>13</v>
      </c>
      <c r="B29" s="147">
        <v>45956</v>
      </c>
      <c r="C29" s="128" t="s">
        <v>216</v>
      </c>
      <c r="D29" s="115"/>
      <c r="E29" s="128">
        <v>1</v>
      </c>
      <c r="F29" s="128" t="s">
        <v>236</v>
      </c>
      <c r="G29" s="117" t="s">
        <v>455</v>
      </c>
      <c r="H29" s="117" t="s">
        <v>179</v>
      </c>
      <c r="I29" s="122" t="s">
        <v>180</v>
      </c>
      <c r="J29" s="148" t="s">
        <v>39</v>
      </c>
      <c r="K29" s="128" t="s">
        <v>173</v>
      </c>
      <c r="L29" s="149" t="s">
        <v>240</v>
      </c>
      <c r="M29" s="123">
        <v>1566000</v>
      </c>
      <c r="N29" s="123"/>
      <c r="O29" s="124">
        <v>4700000</v>
      </c>
      <c r="P29" s="124"/>
      <c r="Q29" s="124"/>
      <c r="R29" s="124"/>
      <c r="S29" s="124"/>
      <c r="T29" s="124">
        <f t="shared" si="0"/>
        <v>376000</v>
      </c>
      <c r="U29" s="150">
        <f t="shared" si="3"/>
        <v>6642000</v>
      </c>
      <c r="V29" s="117" t="s">
        <v>413</v>
      </c>
      <c r="W29" s="151" t="str">
        <f t="shared" si="1"/>
        <v xml:space="preserve">Cước vận chuyển Cát Lái - HỚN QUẢN, BÌNH PHƯỚC cont: GAOU7155216 </v>
      </c>
    </row>
    <row r="30" spans="1:23" s="152" customFormat="1" ht="60" hidden="1" customHeight="1" x14ac:dyDescent="0.2">
      <c r="A30" s="122">
        <f t="shared" si="2"/>
        <v>14</v>
      </c>
      <c r="B30" s="147">
        <v>45956</v>
      </c>
      <c r="C30" s="128" t="s">
        <v>216</v>
      </c>
      <c r="D30" s="115"/>
      <c r="E30" s="128">
        <v>1</v>
      </c>
      <c r="F30" s="117" t="s">
        <v>237</v>
      </c>
      <c r="G30" s="117" t="s">
        <v>196</v>
      </c>
      <c r="H30" s="117" t="s">
        <v>179</v>
      </c>
      <c r="I30" s="122" t="s">
        <v>180</v>
      </c>
      <c r="J30" s="148" t="s">
        <v>39</v>
      </c>
      <c r="K30" s="128" t="s">
        <v>173</v>
      </c>
      <c r="L30" s="120" t="s">
        <v>242</v>
      </c>
      <c r="M30" s="123">
        <v>1566000</v>
      </c>
      <c r="N30" s="123"/>
      <c r="O30" s="124">
        <v>4700000</v>
      </c>
      <c r="P30" s="124"/>
      <c r="Q30" s="124"/>
      <c r="R30" s="124"/>
      <c r="S30" s="124"/>
      <c r="T30" s="124">
        <f t="shared" si="0"/>
        <v>376000</v>
      </c>
      <c r="U30" s="150">
        <f t="shared" si="3"/>
        <v>6642000</v>
      </c>
      <c r="V30" s="117" t="s">
        <v>413</v>
      </c>
      <c r="W30" s="151" t="str">
        <f t="shared" si="1"/>
        <v xml:space="preserve">Cước vận chuyển Cát Lái - HỚN QUẢN, BÌNH PHƯỚC cont: TCNU4236833 </v>
      </c>
    </row>
    <row r="31" spans="1:23" s="152" customFormat="1" ht="60" hidden="1" customHeight="1" x14ac:dyDescent="0.2">
      <c r="A31" s="122">
        <f t="shared" si="2"/>
        <v>15</v>
      </c>
      <c r="B31" s="147">
        <v>45956</v>
      </c>
      <c r="C31" s="128" t="s">
        <v>216</v>
      </c>
      <c r="D31" s="115"/>
      <c r="E31" s="128">
        <v>1</v>
      </c>
      <c r="F31" s="117" t="s">
        <v>246</v>
      </c>
      <c r="G31" s="117" t="s">
        <v>187</v>
      </c>
      <c r="H31" s="117" t="s">
        <v>179</v>
      </c>
      <c r="I31" s="122" t="s">
        <v>180</v>
      </c>
      <c r="J31" s="148" t="s">
        <v>39</v>
      </c>
      <c r="K31" s="128" t="s">
        <v>173</v>
      </c>
      <c r="L31" s="149" t="s">
        <v>245</v>
      </c>
      <c r="M31" s="123">
        <v>1566000</v>
      </c>
      <c r="N31" s="123"/>
      <c r="O31" s="124">
        <v>4700000</v>
      </c>
      <c r="P31" s="124"/>
      <c r="Q31" s="124"/>
      <c r="R31" s="124"/>
      <c r="S31" s="124"/>
      <c r="T31" s="124">
        <f t="shared" si="0"/>
        <v>376000</v>
      </c>
      <c r="U31" s="150">
        <f t="shared" si="3"/>
        <v>6642000</v>
      </c>
      <c r="V31" s="117" t="s">
        <v>413</v>
      </c>
      <c r="W31" s="151" t="str">
        <f t="shared" si="1"/>
        <v xml:space="preserve">Cước vận chuyển Cát Lái - HỚN QUẢN, BÌNH PHƯỚC cont: ZCSU7277640 </v>
      </c>
    </row>
    <row r="32" spans="1:23" s="152" customFormat="1" ht="60" hidden="1" customHeight="1" x14ac:dyDescent="0.2">
      <c r="A32" s="122">
        <f t="shared" si="2"/>
        <v>16</v>
      </c>
      <c r="B32" s="147">
        <v>45956</v>
      </c>
      <c r="C32" s="128" t="s">
        <v>216</v>
      </c>
      <c r="D32" s="115"/>
      <c r="E32" s="128">
        <v>1</v>
      </c>
      <c r="F32" s="117" t="s">
        <v>416</v>
      </c>
      <c r="G32" s="117" t="s">
        <v>182</v>
      </c>
      <c r="H32" s="117" t="s">
        <v>179</v>
      </c>
      <c r="I32" s="122" t="s">
        <v>180</v>
      </c>
      <c r="J32" s="148" t="s">
        <v>39</v>
      </c>
      <c r="K32" s="128" t="s">
        <v>173</v>
      </c>
      <c r="L32" s="149" t="s">
        <v>417</v>
      </c>
      <c r="M32" s="123">
        <v>1566000</v>
      </c>
      <c r="N32" s="123"/>
      <c r="O32" s="124">
        <v>4700000</v>
      </c>
      <c r="P32" s="124"/>
      <c r="Q32" s="124"/>
      <c r="R32" s="124"/>
      <c r="S32" s="124"/>
      <c r="T32" s="124">
        <f t="shared" si="0"/>
        <v>376000</v>
      </c>
      <c r="U32" s="150">
        <f t="shared" si="3"/>
        <v>6642000</v>
      </c>
      <c r="V32" s="117" t="s">
        <v>413</v>
      </c>
      <c r="W32" s="151" t="str">
        <f t="shared" si="1"/>
        <v xml:space="preserve">Cước vận chuyển Cát Lái - HỚN QUẢN, BÌNH PHƯỚC cont: SEGU5807360 </v>
      </c>
    </row>
    <row r="33" spans="1:23" s="152" customFormat="1" ht="60" hidden="1" customHeight="1" x14ac:dyDescent="0.2">
      <c r="A33" s="122">
        <f t="shared" si="2"/>
        <v>17</v>
      </c>
      <c r="B33" s="147">
        <v>45957</v>
      </c>
      <c r="C33" s="117" t="s">
        <v>248</v>
      </c>
      <c r="D33" s="115"/>
      <c r="E33" s="128">
        <v>1</v>
      </c>
      <c r="F33" s="117" t="s">
        <v>249</v>
      </c>
      <c r="G33" s="117" t="s">
        <v>250</v>
      </c>
      <c r="H33" s="117" t="s">
        <v>179</v>
      </c>
      <c r="I33" s="122" t="s">
        <v>180</v>
      </c>
      <c r="J33" s="148" t="s">
        <v>39</v>
      </c>
      <c r="K33" s="117" t="s">
        <v>259</v>
      </c>
      <c r="L33" s="149" t="s">
        <v>264</v>
      </c>
      <c r="M33" s="123">
        <v>1500000</v>
      </c>
      <c r="N33" s="123"/>
      <c r="O33" s="124">
        <v>4700000</v>
      </c>
      <c r="P33" s="124"/>
      <c r="Q33" s="124"/>
      <c r="R33" s="124"/>
      <c r="S33" s="124"/>
      <c r="T33" s="124">
        <f t="shared" si="0"/>
        <v>376000</v>
      </c>
      <c r="U33" s="150">
        <f t="shared" si="3"/>
        <v>6576000</v>
      </c>
      <c r="V33" s="117" t="s">
        <v>413</v>
      </c>
      <c r="W33" s="151" t="str">
        <f t="shared" si="1"/>
        <v xml:space="preserve">Cước vận chuyển Cát Lái - HỚN QUẢN, BÌNH PHƯỚC cont: SEGU6905438 </v>
      </c>
    </row>
    <row r="34" spans="1:23" s="152" customFormat="1" ht="60" hidden="1" customHeight="1" x14ac:dyDescent="0.2">
      <c r="A34" s="122">
        <f t="shared" si="2"/>
        <v>18</v>
      </c>
      <c r="B34" s="147">
        <v>45957</v>
      </c>
      <c r="C34" s="117" t="s">
        <v>248</v>
      </c>
      <c r="D34" s="115"/>
      <c r="E34" s="128">
        <v>1</v>
      </c>
      <c r="F34" s="117" t="s">
        <v>251</v>
      </c>
      <c r="G34" s="117" t="s">
        <v>252</v>
      </c>
      <c r="H34" s="117" t="s">
        <v>179</v>
      </c>
      <c r="I34" s="122" t="s">
        <v>180</v>
      </c>
      <c r="J34" s="148" t="s">
        <v>39</v>
      </c>
      <c r="K34" s="117" t="s">
        <v>259</v>
      </c>
      <c r="L34" s="149" t="s">
        <v>262</v>
      </c>
      <c r="M34" s="123">
        <v>1500000</v>
      </c>
      <c r="N34" s="123"/>
      <c r="O34" s="124">
        <v>4700000</v>
      </c>
      <c r="P34" s="124"/>
      <c r="Q34" s="124"/>
      <c r="R34" s="124"/>
      <c r="S34" s="124"/>
      <c r="T34" s="124">
        <f t="shared" si="0"/>
        <v>376000</v>
      </c>
      <c r="U34" s="150">
        <f t="shared" si="3"/>
        <v>6576000</v>
      </c>
      <c r="V34" s="128" t="s">
        <v>562</v>
      </c>
      <c r="W34" s="151" t="str">
        <f t="shared" si="1"/>
        <v xml:space="preserve">Cước vận chuyển Cát Lái - HỚN QUẢN, BÌNH PHƯỚC cont: OOCU8804032 </v>
      </c>
    </row>
    <row r="35" spans="1:23" s="152" customFormat="1" ht="60" hidden="1" customHeight="1" x14ac:dyDescent="0.2">
      <c r="A35" s="122">
        <f t="shared" si="2"/>
        <v>19</v>
      </c>
      <c r="B35" s="147">
        <v>45957</v>
      </c>
      <c r="C35" s="117" t="s">
        <v>248</v>
      </c>
      <c r="D35" s="115"/>
      <c r="E35" s="128">
        <v>1</v>
      </c>
      <c r="F35" s="117" t="s">
        <v>253</v>
      </c>
      <c r="G35" s="117" t="s">
        <v>254</v>
      </c>
      <c r="H35" s="117" t="s">
        <v>179</v>
      </c>
      <c r="I35" s="122" t="s">
        <v>180</v>
      </c>
      <c r="J35" s="148" t="s">
        <v>39</v>
      </c>
      <c r="K35" s="117" t="s">
        <v>259</v>
      </c>
      <c r="L35" s="149" t="s">
        <v>261</v>
      </c>
      <c r="M35" s="123">
        <v>1500000</v>
      </c>
      <c r="N35" s="123"/>
      <c r="O35" s="124">
        <v>4700000</v>
      </c>
      <c r="P35" s="124"/>
      <c r="Q35" s="124"/>
      <c r="R35" s="124"/>
      <c r="S35" s="124"/>
      <c r="T35" s="124">
        <f t="shared" si="0"/>
        <v>376000</v>
      </c>
      <c r="U35" s="150">
        <f t="shared" si="3"/>
        <v>6576000</v>
      </c>
      <c r="V35" s="117" t="s">
        <v>413</v>
      </c>
      <c r="W35" s="151" t="str">
        <f t="shared" si="1"/>
        <v xml:space="preserve">Cước vận chuyển Cát Lái - HỚN QUẢN, BÌNH PHƯỚC cont: OOCU8236143 </v>
      </c>
    </row>
    <row r="36" spans="1:23" s="152" customFormat="1" ht="60" hidden="1" customHeight="1" x14ac:dyDescent="0.2">
      <c r="A36" s="122">
        <f t="shared" si="2"/>
        <v>20</v>
      </c>
      <c r="B36" s="147">
        <v>45957</v>
      </c>
      <c r="C36" s="117" t="s">
        <v>248</v>
      </c>
      <c r="D36" s="115"/>
      <c r="E36" s="128">
        <v>1</v>
      </c>
      <c r="F36" s="117" t="s">
        <v>255</v>
      </c>
      <c r="G36" s="117" t="s">
        <v>256</v>
      </c>
      <c r="H36" s="117" t="s">
        <v>179</v>
      </c>
      <c r="I36" s="122" t="s">
        <v>180</v>
      </c>
      <c r="J36" s="148" t="s">
        <v>39</v>
      </c>
      <c r="K36" s="117" t="s">
        <v>259</v>
      </c>
      <c r="L36" s="149" t="s">
        <v>263</v>
      </c>
      <c r="M36" s="123">
        <v>1500000</v>
      </c>
      <c r="N36" s="123"/>
      <c r="O36" s="124">
        <v>4700000</v>
      </c>
      <c r="P36" s="124"/>
      <c r="Q36" s="124"/>
      <c r="R36" s="124"/>
      <c r="S36" s="124"/>
      <c r="T36" s="124">
        <f t="shared" si="0"/>
        <v>376000</v>
      </c>
      <c r="U36" s="150">
        <f t="shared" si="3"/>
        <v>6576000</v>
      </c>
      <c r="V36" s="117" t="s">
        <v>413</v>
      </c>
      <c r="W36" s="151" t="str">
        <f t="shared" si="1"/>
        <v xml:space="preserve">Cước vận chuyển Cát Lái - HỚN QUẢN, BÌNH PHƯỚC cont: OOCU7806616 </v>
      </c>
    </row>
    <row r="37" spans="1:23" s="152" customFormat="1" ht="60" hidden="1" customHeight="1" x14ac:dyDescent="0.2">
      <c r="A37" s="122">
        <f t="shared" si="2"/>
        <v>21</v>
      </c>
      <c r="B37" s="147">
        <v>45957</v>
      </c>
      <c r="C37" s="117" t="s">
        <v>248</v>
      </c>
      <c r="D37" s="115"/>
      <c r="E37" s="128">
        <v>1</v>
      </c>
      <c r="F37" s="128" t="s">
        <v>257</v>
      </c>
      <c r="G37" s="196" t="s">
        <v>451</v>
      </c>
      <c r="H37" s="117" t="s">
        <v>179</v>
      </c>
      <c r="I37" s="122" t="s">
        <v>180</v>
      </c>
      <c r="J37" s="148" t="s">
        <v>39</v>
      </c>
      <c r="K37" s="117" t="s">
        <v>259</v>
      </c>
      <c r="L37" s="149" t="s">
        <v>260</v>
      </c>
      <c r="M37" s="123">
        <v>1500000</v>
      </c>
      <c r="N37" s="123"/>
      <c r="O37" s="124">
        <v>4700000</v>
      </c>
      <c r="P37" s="124"/>
      <c r="Q37" s="124"/>
      <c r="R37" s="124"/>
      <c r="S37" s="124"/>
      <c r="T37" s="124">
        <f t="shared" si="0"/>
        <v>376000</v>
      </c>
      <c r="U37" s="150">
        <f t="shared" si="3"/>
        <v>6576000</v>
      </c>
      <c r="V37" s="117" t="s">
        <v>413</v>
      </c>
      <c r="W37" s="151" t="str">
        <f t="shared" si="1"/>
        <v xml:space="preserve">Cước vận chuyển Cát Lái - HỚN QUẢN, BÌNH PHƯỚC cont: CSNU7176795 </v>
      </c>
    </row>
    <row r="38" spans="1:23" s="152" customFormat="1" ht="60" hidden="1" customHeight="1" x14ac:dyDescent="0.2">
      <c r="A38" s="122">
        <f t="shared" si="2"/>
        <v>22</v>
      </c>
      <c r="B38" s="147">
        <v>45957</v>
      </c>
      <c r="C38" s="117" t="s">
        <v>218</v>
      </c>
      <c r="D38" s="115"/>
      <c r="E38" s="128">
        <v>1</v>
      </c>
      <c r="F38" s="117" t="s">
        <v>265</v>
      </c>
      <c r="G38" s="117" t="s">
        <v>178</v>
      </c>
      <c r="H38" s="117" t="s">
        <v>176</v>
      </c>
      <c r="I38" s="148" t="s">
        <v>226</v>
      </c>
      <c r="J38" s="148" t="s">
        <v>39</v>
      </c>
      <c r="K38" s="117" t="s">
        <v>204</v>
      </c>
      <c r="L38" s="149" t="s">
        <v>268</v>
      </c>
      <c r="M38" s="123">
        <v>1500000</v>
      </c>
      <c r="N38" s="123">
        <v>3650000</v>
      </c>
      <c r="O38" s="124">
        <v>4500000</v>
      </c>
      <c r="P38" s="124"/>
      <c r="Q38" s="124"/>
      <c r="R38" s="124"/>
      <c r="S38" s="124"/>
      <c r="T38" s="124">
        <f t="shared" si="0"/>
        <v>360000</v>
      </c>
      <c r="U38" s="150">
        <f t="shared" si="3"/>
        <v>10010000</v>
      </c>
      <c r="V38" s="117" t="s">
        <v>413</v>
      </c>
      <c r="W38" s="151" t="str">
        <f t="shared" si="1"/>
        <v xml:space="preserve">Cước vận chuyển Cát Lái - CHƠN THÀNH, BÌNH PHƯỚC cont: OCGU8011370 </v>
      </c>
    </row>
    <row r="39" spans="1:23" s="152" customFormat="1" ht="60" hidden="1" customHeight="1" x14ac:dyDescent="0.2">
      <c r="A39" s="122">
        <f t="shared" si="2"/>
        <v>23</v>
      </c>
      <c r="B39" s="147">
        <v>45957</v>
      </c>
      <c r="C39" s="117" t="s">
        <v>218</v>
      </c>
      <c r="D39" s="115"/>
      <c r="E39" s="128">
        <v>1</v>
      </c>
      <c r="F39" s="117" t="s">
        <v>266</v>
      </c>
      <c r="G39" s="117" t="s">
        <v>267</v>
      </c>
      <c r="H39" s="117" t="s">
        <v>176</v>
      </c>
      <c r="I39" s="148" t="s">
        <v>226</v>
      </c>
      <c r="J39" s="148" t="s">
        <v>39</v>
      </c>
      <c r="K39" s="117" t="s">
        <v>204</v>
      </c>
      <c r="L39" s="149" t="s">
        <v>430</v>
      </c>
      <c r="M39" s="123">
        <f>1500000+698000</f>
        <v>2198000</v>
      </c>
      <c r="N39" s="123"/>
      <c r="O39" s="124">
        <v>4500000</v>
      </c>
      <c r="P39" s="124"/>
      <c r="Q39" s="124"/>
      <c r="R39" s="124"/>
      <c r="S39" s="124"/>
      <c r="T39" s="124">
        <f t="shared" si="0"/>
        <v>360000</v>
      </c>
      <c r="U39" s="150">
        <f t="shared" si="3"/>
        <v>7058000</v>
      </c>
      <c r="V39" s="117" t="s">
        <v>413</v>
      </c>
      <c r="W39" s="151" t="str">
        <f t="shared" si="1"/>
        <v xml:space="preserve">Cước vận chuyển Cát Lái - CHƠN THÀNH, BÌNH PHƯỚC cont: FFAU1257531 </v>
      </c>
    </row>
    <row r="40" spans="1:23" s="152" customFormat="1" ht="60" hidden="1" customHeight="1" x14ac:dyDescent="0.2">
      <c r="A40" s="122">
        <f t="shared" si="2"/>
        <v>24</v>
      </c>
      <c r="B40" s="147">
        <v>45957</v>
      </c>
      <c r="C40" s="117">
        <v>7263168621</v>
      </c>
      <c r="D40" s="197"/>
      <c r="E40" s="198">
        <v>1</v>
      </c>
      <c r="F40" s="117" t="s">
        <v>269</v>
      </c>
      <c r="G40" s="199" t="s">
        <v>181</v>
      </c>
      <c r="H40" s="117" t="s">
        <v>282</v>
      </c>
      <c r="I40" s="122" t="s">
        <v>172</v>
      </c>
      <c r="J40" s="117" t="s">
        <v>174</v>
      </c>
      <c r="K40" s="148" t="s">
        <v>39</v>
      </c>
      <c r="L40" s="120" t="s">
        <v>283</v>
      </c>
      <c r="M40" s="123">
        <v>1500000</v>
      </c>
      <c r="N40" s="123"/>
      <c r="O40" s="124">
        <v>4500000</v>
      </c>
      <c r="P40" s="124"/>
      <c r="Q40" s="124"/>
      <c r="R40" s="124"/>
      <c r="S40" s="124"/>
      <c r="T40" s="124">
        <f t="shared" si="0"/>
        <v>360000</v>
      </c>
      <c r="U40" s="150">
        <f t="shared" si="3"/>
        <v>6360000</v>
      </c>
      <c r="V40" s="117" t="s">
        <v>413</v>
      </c>
      <c r="W40" s="151" t="str">
        <f t="shared" si="1"/>
        <v xml:space="preserve">Cước vận chuyển Cát Lái - XÃ CHƠN THÀNH, TỈNH ĐỒNG NAI cont: SEGU5288434 </v>
      </c>
    </row>
    <row r="41" spans="1:23" s="152" customFormat="1" ht="60" hidden="1" customHeight="1" x14ac:dyDescent="0.2">
      <c r="A41" s="122">
        <f t="shared" si="2"/>
        <v>25</v>
      </c>
      <c r="B41" s="147">
        <v>45957</v>
      </c>
      <c r="C41" s="117">
        <v>7263168621</v>
      </c>
      <c r="D41" s="197"/>
      <c r="E41" s="198">
        <v>1</v>
      </c>
      <c r="F41" s="117" t="s">
        <v>270</v>
      </c>
      <c r="G41" s="117" t="s">
        <v>271</v>
      </c>
      <c r="H41" s="117" t="s">
        <v>282</v>
      </c>
      <c r="I41" s="122" t="s">
        <v>172</v>
      </c>
      <c r="J41" s="117" t="s">
        <v>174</v>
      </c>
      <c r="K41" s="148" t="s">
        <v>39</v>
      </c>
      <c r="L41" s="149" t="s">
        <v>284</v>
      </c>
      <c r="M41" s="123">
        <f>1500000</f>
        <v>1500000</v>
      </c>
      <c r="N41" s="123"/>
      <c r="O41" s="124">
        <f>4500000</f>
        <v>4500000</v>
      </c>
      <c r="P41" s="124"/>
      <c r="Q41" s="124"/>
      <c r="R41" s="124"/>
      <c r="S41" s="124"/>
      <c r="T41" s="124">
        <f t="shared" si="0"/>
        <v>360000</v>
      </c>
      <c r="U41" s="150">
        <f t="shared" si="3"/>
        <v>6360000</v>
      </c>
      <c r="V41" s="117" t="s">
        <v>413</v>
      </c>
      <c r="W41" s="151" t="str">
        <f t="shared" si="1"/>
        <v xml:space="preserve">Cước vận chuyển Cát Lái - XÃ CHƠN THÀNH, TỈNH ĐỒNG NAI cont: TRHU4527220 </v>
      </c>
    </row>
    <row r="42" spans="1:23" s="152" customFormat="1" ht="60" hidden="1" customHeight="1" x14ac:dyDescent="0.2">
      <c r="A42" s="122">
        <f t="shared" si="2"/>
        <v>26</v>
      </c>
      <c r="B42" s="147">
        <v>45957</v>
      </c>
      <c r="C42" s="117">
        <v>7263168621</v>
      </c>
      <c r="D42" s="197"/>
      <c r="E42" s="198">
        <v>1</v>
      </c>
      <c r="F42" s="128" t="s">
        <v>272</v>
      </c>
      <c r="G42" s="117" t="s">
        <v>273</v>
      </c>
      <c r="H42" s="117" t="s">
        <v>282</v>
      </c>
      <c r="I42" s="122" t="s">
        <v>172</v>
      </c>
      <c r="J42" s="117" t="s">
        <v>174</v>
      </c>
      <c r="K42" s="148" t="s">
        <v>39</v>
      </c>
      <c r="L42" s="149" t="s">
        <v>285</v>
      </c>
      <c r="M42" s="123">
        <v>1500000</v>
      </c>
      <c r="N42" s="123"/>
      <c r="O42" s="124">
        <v>4500000</v>
      </c>
      <c r="P42" s="124"/>
      <c r="Q42" s="124"/>
      <c r="R42" s="124"/>
      <c r="S42" s="124"/>
      <c r="T42" s="124">
        <f t="shared" si="0"/>
        <v>360000</v>
      </c>
      <c r="U42" s="150">
        <f t="shared" si="3"/>
        <v>6360000</v>
      </c>
      <c r="V42" s="117" t="s">
        <v>413</v>
      </c>
      <c r="W42" s="151" t="str">
        <f t="shared" si="1"/>
        <v xml:space="preserve">Cước vận chuyển Cát Lái - XÃ CHƠN THÀNH, TỈNH ĐỒNG NAI cont: TRHU4653614 </v>
      </c>
    </row>
    <row r="43" spans="1:23" s="152" customFormat="1" ht="60" hidden="1" customHeight="1" x14ac:dyDescent="0.2">
      <c r="A43" s="122">
        <f t="shared" si="2"/>
        <v>27</v>
      </c>
      <c r="B43" s="147">
        <v>45957</v>
      </c>
      <c r="C43" s="117">
        <v>7263168621</v>
      </c>
      <c r="D43" s="198"/>
      <c r="E43" s="198">
        <v>1</v>
      </c>
      <c r="F43" s="117" t="s">
        <v>274</v>
      </c>
      <c r="G43" s="117" t="s">
        <v>275</v>
      </c>
      <c r="H43" s="117" t="s">
        <v>282</v>
      </c>
      <c r="I43" s="122" t="s">
        <v>172</v>
      </c>
      <c r="J43" s="117" t="s">
        <v>174</v>
      </c>
      <c r="K43" s="148" t="s">
        <v>39</v>
      </c>
      <c r="L43" s="149" t="s">
        <v>286</v>
      </c>
      <c r="M43" s="123">
        <v>1500000</v>
      </c>
      <c r="N43" s="123"/>
      <c r="O43" s="124">
        <v>4500000</v>
      </c>
      <c r="P43" s="124"/>
      <c r="Q43" s="124"/>
      <c r="R43" s="124"/>
      <c r="S43" s="124"/>
      <c r="T43" s="124">
        <f t="shared" si="0"/>
        <v>360000</v>
      </c>
      <c r="U43" s="150">
        <f t="shared" si="3"/>
        <v>6360000</v>
      </c>
      <c r="V43" s="117" t="s">
        <v>413</v>
      </c>
      <c r="W43" s="151" t="str">
        <f t="shared" si="1"/>
        <v xml:space="preserve">Cước vận chuyển Cát Lái - XÃ CHƠN THÀNH, TỈNH ĐỒNG NAI cont: CSNU6188467 </v>
      </c>
    </row>
    <row r="44" spans="1:23" s="152" customFormat="1" ht="60" hidden="1" customHeight="1" x14ac:dyDescent="0.2">
      <c r="A44" s="122">
        <f t="shared" si="2"/>
        <v>28</v>
      </c>
      <c r="B44" s="147">
        <v>45957</v>
      </c>
      <c r="C44" s="117">
        <v>7263168621</v>
      </c>
      <c r="D44" s="197"/>
      <c r="E44" s="198">
        <v>1</v>
      </c>
      <c r="F44" s="117" t="s">
        <v>276</v>
      </c>
      <c r="G44" s="117" t="s">
        <v>277</v>
      </c>
      <c r="H44" s="117" t="s">
        <v>282</v>
      </c>
      <c r="I44" s="122" t="s">
        <v>172</v>
      </c>
      <c r="J44" s="117" t="s">
        <v>174</v>
      </c>
      <c r="K44" s="148" t="s">
        <v>39</v>
      </c>
      <c r="L44" s="149" t="s">
        <v>287</v>
      </c>
      <c r="M44" s="123">
        <v>1500000</v>
      </c>
      <c r="N44" s="123"/>
      <c r="O44" s="124">
        <v>4500000</v>
      </c>
      <c r="P44" s="124"/>
      <c r="Q44" s="124"/>
      <c r="R44" s="124"/>
      <c r="S44" s="124"/>
      <c r="T44" s="124">
        <f t="shared" si="0"/>
        <v>360000</v>
      </c>
      <c r="U44" s="150">
        <f t="shared" si="3"/>
        <v>6360000</v>
      </c>
      <c r="V44" s="117" t="s">
        <v>413</v>
      </c>
      <c r="W44" s="151" t="str">
        <f t="shared" si="1"/>
        <v xml:space="preserve">Cước vận chuyển Cát Lái - XÃ CHƠN THÀNH, TỈNH ĐỒNG NAI cont: CSNU7464343 </v>
      </c>
    </row>
    <row r="45" spans="1:23" s="152" customFormat="1" ht="60" hidden="1" customHeight="1" x14ac:dyDescent="0.2">
      <c r="A45" s="122">
        <f t="shared" si="2"/>
        <v>29</v>
      </c>
      <c r="B45" s="147">
        <v>45957</v>
      </c>
      <c r="C45" s="117">
        <v>7263168621</v>
      </c>
      <c r="D45" s="197"/>
      <c r="E45" s="198">
        <v>1</v>
      </c>
      <c r="F45" s="117" t="s">
        <v>278</v>
      </c>
      <c r="G45" s="117" t="s">
        <v>279</v>
      </c>
      <c r="H45" s="117" t="s">
        <v>282</v>
      </c>
      <c r="I45" s="122" t="s">
        <v>172</v>
      </c>
      <c r="J45" s="117" t="s">
        <v>174</v>
      </c>
      <c r="K45" s="148" t="s">
        <v>39</v>
      </c>
      <c r="L45" s="149" t="s">
        <v>288</v>
      </c>
      <c r="M45" s="123">
        <v>1500000</v>
      </c>
      <c r="N45" s="123"/>
      <c r="O45" s="124">
        <v>4500000</v>
      </c>
      <c r="P45" s="124"/>
      <c r="Q45" s="124"/>
      <c r="R45" s="124"/>
      <c r="S45" s="124"/>
      <c r="T45" s="124">
        <f t="shared" si="0"/>
        <v>360000</v>
      </c>
      <c r="U45" s="150">
        <f t="shared" si="3"/>
        <v>6360000</v>
      </c>
      <c r="V45" s="117" t="s">
        <v>413</v>
      </c>
      <c r="W45" s="151" t="str">
        <f t="shared" si="1"/>
        <v xml:space="preserve">Cước vận chuyển Cát Lái - XÃ CHƠN THÀNH, TỈNH ĐỒNG NAI cont: CCLU7969851 </v>
      </c>
    </row>
    <row r="46" spans="1:23" s="152" customFormat="1" ht="60" hidden="1" customHeight="1" x14ac:dyDescent="0.2">
      <c r="A46" s="122">
        <f t="shared" si="2"/>
        <v>30</v>
      </c>
      <c r="B46" s="147">
        <v>45957</v>
      </c>
      <c r="C46" s="117">
        <v>7263168621</v>
      </c>
      <c r="D46" s="197"/>
      <c r="E46" s="198">
        <v>1</v>
      </c>
      <c r="F46" s="117" t="s">
        <v>280</v>
      </c>
      <c r="G46" s="117" t="s">
        <v>456</v>
      </c>
      <c r="H46" s="117" t="s">
        <v>282</v>
      </c>
      <c r="I46" s="122" t="s">
        <v>172</v>
      </c>
      <c r="J46" s="117" t="s">
        <v>174</v>
      </c>
      <c r="K46" s="148" t="s">
        <v>39</v>
      </c>
      <c r="L46" s="149" t="s">
        <v>289</v>
      </c>
      <c r="M46" s="123">
        <v>1500000</v>
      </c>
      <c r="N46" s="123"/>
      <c r="O46" s="124">
        <v>4500000</v>
      </c>
      <c r="P46" s="124"/>
      <c r="Q46" s="124"/>
      <c r="R46" s="124"/>
      <c r="S46" s="124"/>
      <c r="T46" s="124">
        <f t="shared" si="0"/>
        <v>360000</v>
      </c>
      <c r="U46" s="150">
        <f t="shared" si="3"/>
        <v>6360000</v>
      </c>
      <c r="V46" s="117" t="s">
        <v>413</v>
      </c>
      <c r="W46" s="151" t="str">
        <f t="shared" si="1"/>
        <v xml:space="preserve">Cước vận chuyển Cát Lái - XÃ CHƠN THÀNH, TỈNH ĐỒNG NAI cont: FFAU2742531 </v>
      </c>
    </row>
    <row r="47" spans="1:23" s="152" customFormat="1" ht="60" hidden="1" customHeight="1" x14ac:dyDescent="0.2">
      <c r="A47" s="122">
        <f t="shared" si="2"/>
        <v>31</v>
      </c>
      <c r="B47" s="147">
        <v>45957</v>
      </c>
      <c r="C47" s="117">
        <v>7263168621</v>
      </c>
      <c r="D47" s="197"/>
      <c r="E47" s="198">
        <v>1</v>
      </c>
      <c r="F47" s="128" t="s">
        <v>281</v>
      </c>
      <c r="G47" s="117" t="s">
        <v>457</v>
      </c>
      <c r="H47" s="117" t="s">
        <v>282</v>
      </c>
      <c r="I47" s="122" t="s">
        <v>172</v>
      </c>
      <c r="J47" s="117" t="s">
        <v>174</v>
      </c>
      <c r="K47" s="148" t="s">
        <v>39</v>
      </c>
      <c r="L47" s="149" t="s">
        <v>290</v>
      </c>
      <c r="M47" s="123">
        <v>1500000</v>
      </c>
      <c r="N47" s="123"/>
      <c r="O47" s="124">
        <v>4500000</v>
      </c>
      <c r="P47" s="124"/>
      <c r="Q47" s="124"/>
      <c r="R47" s="124"/>
      <c r="S47" s="124"/>
      <c r="T47" s="124">
        <f t="shared" si="0"/>
        <v>360000</v>
      </c>
      <c r="U47" s="150">
        <f t="shared" si="3"/>
        <v>6360000</v>
      </c>
      <c r="V47" s="117" t="s">
        <v>413</v>
      </c>
      <c r="W47" s="151" t="str">
        <f t="shared" si="1"/>
        <v xml:space="preserve">Cước vận chuyển Cát Lái - XÃ CHƠN THÀNH, TỈNH ĐỒNG NAI cont: CSNU8324557 </v>
      </c>
    </row>
    <row r="48" spans="1:23" s="152" customFormat="1" ht="60" hidden="1" customHeight="1" x14ac:dyDescent="0.2">
      <c r="A48" s="122">
        <f t="shared" si="2"/>
        <v>32</v>
      </c>
      <c r="B48" s="147">
        <v>45958</v>
      </c>
      <c r="C48" s="156" t="s">
        <v>291</v>
      </c>
      <c r="D48" s="200"/>
      <c r="E48" s="201">
        <v>1</v>
      </c>
      <c r="F48" s="117" t="s">
        <v>292</v>
      </c>
      <c r="G48" s="117" t="s">
        <v>273</v>
      </c>
      <c r="H48" s="117" t="s">
        <v>282</v>
      </c>
      <c r="I48" s="122" t="s">
        <v>172</v>
      </c>
      <c r="J48" s="117" t="s">
        <v>39</v>
      </c>
      <c r="K48" s="117" t="s">
        <v>300</v>
      </c>
      <c r="L48" s="149" t="s">
        <v>302</v>
      </c>
      <c r="M48" s="123">
        <v>1500000</v>
      </c>
      <c r="N48" s="123"/>
      <c r="O48" s="124">
        <v>4500000</v>
      </c>
      <c r="P48" s="124"/>
      <c r="Q48" s="124"/>
      <c r="R48" s="124"/>
      <c r="S48" s="124"/>
      <c r="T48" s="124">
        <f t="shared" si="0"/>
        <v>360000</v>
      </c>
      <c r="U48" s="150">
        <f t="shared" si="3"/>
        <v>6360000</v>
      </c>
      <c r="V48" s="117" t="s">
        <v>413</v>
      </c>
      <c r="W48" s="151" t="str">
        <f t="shared" si="1"/>
        <v xml:space="preserve">Cước vận chuyển Cát Lái - XÃ CHƠN THÀNH, TỈNH ĐỒNG NAI cont: TGBU4841881 </v>
      </c>
    </row>
    <row r="49" spans="1:23" s="152" customFormat="1" ht="60" hidden="1" customHeight="1" x14ac:dyDescent="0.2">
      <c r="A49" s="122">
        <f t="shared" si="2"/>
        <v>33</v>
      </c>
      <c r="B49" s="147">
        <v>45958</v>
      </c>
      <c r="C49" s="156" t="s">
        <v>291</v>
      </c>
      <c r="D49" s="115"/>
      <c r="E49" s="201">
        <v>1</v>
      </c>
      <c r="F49" s="117" t="s">
        <v>293</v>
      </c>
      <c r="G49" s="117" t="s">
        <v>294</v>
      </c>
      <c r="H49" s="117" t="s">
        <v>282</v>
      </c>
      <c r="I49" s="122" t="s">
        <v>172</v>
      </c>
      <c r="J49" s="117" t="s">
        <v>39</v>
      </c>
      <c r="K49" s="117" t="s">
        <v>300</v>
      </c>
      <c r="L49" s="149" t="s">
        <v>303</v>
      </c>
      <c r="M49" s="123">
        <v>1500000</v>
      </c>
      <c r="N49" s="123"/>
      <c r="O49" s="124">
        <v>4500000</v>
      </c>
      <c r="P49" s="124"/>
      <c r="Q49" s="124"/>
      <c r="R49" s="124"/>
      <c r="S49" s="124"/>
      <c r="T49" s="124">
        <f t="shared" si="0"/>
        <v>360000</v>
      </c>
      <c r="U49" s="150">
        <f t="shared" si="3"/>
        <v>6360000</v>
      </c>
      <c r="V49" s="117" t="s">
        <v>413</v>
      </c>
      <c r="W49" s="151" t="str">
        <f t="shared" si="1"/>
        <v xml:space="preserve">Cước vận chuyển Cát Lái - XÃ CHƠN THÀNH, TỈNH ĐỒNG NAI cont: CSLU6331210 </v>
      </c>
    </row>
    <row r="50" spans="1:23" s="152" customFormat="1" ht="60" hidden="1" customHeight="1" x14ac:dyDescent="0.2">
      <c r="A50" s="122">
        <f t="shared" si="2"/>
        <v>34</v>
      </c>
      <c r="B50" s="147">
        <v>45958</v>
      </c>
      <c r="C50" s="156" t="s">
        <v>291</v>
      </c>
      <c r="D50" s="115"/>
      <c r="E50" s="201">
        <v>1</v>
      </c>
      <c r="F50" s="117" t="s">
        <v>295</v>
      </c>
      <c r="G50" s="117" t="s">
        <v>177</v>
      </c>
      <c r="H50" s="117" t="s">
        <v>282</v>
      </c>
      <c r="I50" s="122" t="s">
        <v>172</v>
      </c>
      <c r="J50" s="117" t="s">
        <v>39</v>
      </c>
      <c r="K50" s="117" t="s">
        <v>300</v>
      </c>
      <c r="L50" s="149" t="s">
        <v>305</v>
      </c>
      <c r="M50" s="123">
        <v>1500000</v>
      </c>
      <c r="N50" s="123"/>
      <c r="O50" s="124">
        <v>4500000</v>
      </c>
      <c r="P50" s="124"/>
      <c r="Q50" s="124"/>
      <c r="R50" s="124"/>
      <c r="S50" s="124"/>
      <c r="T50" s="124">
        <f t="shared" si="0"/>
        <v>360000</v>
      </c>
      <c r="U50" s="150">
        <f t="shared" si="3"/>
        <v>6360000</v>
      </c>
      <c r="V50" s="117" t="s">
        <v>413</v>
      </c>
      <c r="W50" s="151" t="str">
        <f t="shared" si="1"/>
        <v xml:space="preserve">Cước vận chuyển Cát Lái - XÃ CHƠN THÀNH, TỈNH ĐỒNG NAI cont: TIIU5260561 </v>
      </c>
    </row>
    <row r="51" spans="1:23" s="203" customFormat="1" ht="60" hidden="1" customHeight="1" x14ac:dyDescent="0.2">
      <c r="A51" s="122">
        <f t="shared" si="2"/>
        <v>35</v>
      </c>
      <c r="B51" s="147">
        <v>45958</v>
      </c>
      <c r="C51" s="156" t="s">
        <v>291</v>
      </c>
      <c r="D51" s="202"/>
      <c r="E51" s="201">
        <v>1</v>
      </c>
      <c r="F51" s="128" t="s">
        <v>296</v>
      </c>
      <c r="G51" s="117" t="s">
        <v>297</v>
      </c>
      <c r="H51" s="117" t="s">
        <v>282</v>
      </c>
      <c r="I51" s="122" t="s">
        <v>172</v>
      </c>
      <c r="J51" s="117" t="s">
        <v>39</v>
      </c>
      <c r="K51" s="117" t="s">
        <v>300</v>
      </c>
      <c r="L51" s="149" t="s">
        <v>304</v>
      </c>
      <c r="M51" s="123">
        <v>1500000</v>
      </c>
      <c r="N51" s="123"/>
      <c r="O51" s="124">
        <v>4500000</v>
      </c>
      <c r="P51" s="124"/>
      <c r="Q51" s="124"/>
      <c r="R51" s="124"/>
      <c r="S51" s="124"/>
      <c r="T51" s="124">
        <f t="shared" si="0"/>
        <v>360000</v>
      </c>
      <c r="U51" s="150">
        <f t="shared" si="3"/>
        <v>6360000</v>
      </c>
      <c r="V51" s="117" t="s">
        <v>413</v>
      </c>
      <c r="W51" s="151" t="str">
        <f t="shared" si="1"/>
        <v xml:space="preserve">Cước vận chuyển Cát Lái - XÃ CHƠN THÀNH, TỈNH ĐỒNG NAI cont: UETU5759563 </v>
      </c>
    </row>
    <row r="52" spans="1:23" s="152" customFormat="1" ht="60" hidden="1" customHeight="1" x14ac:dyDescent="0.2">
      <c r="A52" s="122">
        <f t="shared" si="2"/>
        <v>36</v>
      </c>
      <c r="B52" s="147">
        <v>45958</v>
      </c>
      <c r="C52" s="156" t="s">
        <v>291</v>
      </c>
      <c r="D52" s="115"/>
      <c r="E52" s="201">
        <v>1</v>
      </c>
      <c r="F52" s="117" t="s">
        <v>298</v>
      </c>
      <c r="G52" s="117" t="s">
        <v>299</v>
      </c>
      <c r="H52" s="117" t="s">
        <v>282</v>
      </c>
      <c r="I52" s="122" t="s">
        <v>172</v>
      </c>
      <c r="J52" s="117" t="s">
        <v>39</v>
      </c>
      <c r="K52" s="117" t="s">
        <v>300</v>
      </c>
      <c r="L52" s="149" t="s">
        <v>301</v>
      </c>
      <c r="M52" s="123">
        <v>1500000</v>
      </c>
      <c r="N52" s="123"/>
      <c r="O52" s="124">
        <v>4500000</v>
      </c>
      <c r="P52" s="124"/>
      <c r="Q52" s="124"/>
      <c r="R52" s="124"/>
      <c r="S52" s="124"/>
      <c r="T52" s="124">
        <f t="shared" si="0"/>
        <v>360000</v>
      </c>
      <c r="U52" s="150">
        <f t="shared" si="3"/>
        <v>6360000</v>
      </c>
      <c r="V52" s="117" t="s">
        <v>413</v>
      </c>
      <c r="W52" s="151" t="str">
        <f t="shared" si="1"/>
        <v xml:space="preserve">Cước vận chuyển Cát Lái - XÃ CHƠN THÀNH, TỈNH ĐỒNG NAI cont: CCLU7823147 </v>
      </c>
    </row>
    <row r="53" spans="1:23" s="152" customFormat="1" ht="60" hidden="1" customHeight="1" x14ac:dyDescent="0.2">
      <c r="A53" s="122">
        <f t="shared" si="2"/>
        <v>37</v>
      </c>
      <c r="B53" s="147">
        <v>45958</v>
      </c>
      <c r="C53" s="204" t="s">
        <v>291</v>
      </c>
      <c r="D53" s="155"/>
      <c r="E53" s="198">
        <v>1</v>
      </c>
      <c r="F53" s="196" t="s">
        <v>306</v>
      </c>
      <c r="G53" s="117" t="s">
        <v>187</v>
      </c>
      <c r="H53" s="205" t="s">
        <v>282</v>
      </c>
      <c r="I53" s="206" t="s">
        <v>172</v>
      </c>
      <c r="J53" s="205" t="s">
        <v>39</v>
      </c>
      <c r="K53" s="117" t="s">
        <v>300</v>
      </c>
      <c r="L53" s="149" t="s">
        <v>307</v>
      </c>
      <c r="M53" s="123">
        <v>1500000</v>
      </c>
      <c r="N53" s="123"/>
      <c r="O53" s="124">
        <v>4500000</v>
      </c>
      <c r="P53" s="124"/>
      <c r="Q53" s="124"/>
      <c r="R53" s="124"/>
      <c r="S53" s="124"/>
      <c r="T53" s="124">
        <f t="shared" si="0"/>
        <v>360000</v>
      </c>
      <c r="U53" s="150">
        <f t="shared" si="3"/>
        <v>6360000</v>
      </c>
      <c r="V53" s="117" t="s">
        <v>413</v>
      </c>
      <c r="W53" s="151" t="str">
        <f t="shared" si="1"/>
        <v xml:space="preserve">Cước vận chuyển Cát Lái - XÃ CHƠN THÀNH, TỈNH ĐỒNG NAI cont: TGHU6847828 </v>
      </c>
    </row>
    <row r="54" spans="1:23" s="152" customFormat="1" ht="60" hidden="1" customHeight="1" x14ac:dyDescent="0.2">
      <c r="A54" s="122">
        <f t="shared" si="2"/>
        <v>38</v>
      </c>
      <c r="B54" s="147">
        <v>45958</v>
      </c>
      <c r="C54" s="117">
        <v>7263168622</v>
      </c>
      <c r="D54" s="115"/>
      <c r="E54" s="128">
        <v>1</v>
      </c>
      <c r="F54" s="207" t="s">
        <v>308</v>
      </c>
      <c r="G54" s="117" t="s">
        <v>194</v>
      </c>
      <c r="H54" s="117" t="s">
        <v>158</v>
      </c>
      <c r="I54" s="148" t="s">
        <v>632</v>
      </c>
      <c r="J54" s="117" t="s">
        <v>174</v>
      </c>
      <c r="K54" s="148" t="s">
        <v>39</v>
      </c>
      <c r="L54" s="149" t="s">
        <v>312</v>
      </c>
      <c r="M54" s="123">
        <v>1500000</v>
      </c>
      <c r="N54" s="123"/>
      <c r="O54" s="124">
        <v>5300000</v>
      </c>
      <c r="P54" s="124"/>
      <c r="Q54" s="124"/>
      <c r="R54" s="124"/>
      <c r="S54" s="124"/>
      <c r="T54" s="124">
        <f t="shared" si="0"/>
        <v>424000</v>
      </c>
      <c r="U54" s="150">
        <f t="shared" si="3"/>
        <v>7224000</v>
      </c>
      <c r="V54" s="117" t="s">
        <v>413</v>
      </c>
      <c r="W54" s="151" t="str">
        <f t="shared" si="1"/>
        <v xml:space="preserve">Cước vận chuyển Cát Lái - ĐỒNG PHÚ, BÌNH PHƯỚC cont: FCIU9498316 </v>
      </c>
    </row>
    <row r="55" spans="1:23" s="152" customFormat="1" ht="60" hidden="1" customHeight="1" x14ac:dyDescent="0.2">
      <c r="A55" s="122">
        <f t="shared" si="2"/>
        <v>39</v>
      </c>
      <c r="B55" s="147">
        <v>45958</v>
      </c>
      <c r="C55" s="117">
        <v>7263168622</v>
      </c>
      <c r="D55" s="115"/>
      <c r="E55" s="128">
        <v>1</v>
      </c>
      <c r="F55" s="208" t="s">
        <v>309</v>
      </c>
      <c r="G55" s="117" t="s">
        <v>458</v>
      </c>
      <c r="H55" s="117" t="s">
        <v>158</v>
      </c>
      <c r="I55" s="148" t="s">
        <v>632</v>
      </c>
      <c r="J55" s="117" t="s">
        <v>174</v>
      </c>
      <c r="K55" s="148" t="s">
        <v>39</v>
      </c>
      <c r="L55" s="149" t="s">
        <v>313</v>
      </c>
      <c r="M55" s="123">
        <v>1500000</v>
      </c>
      <c r="N55" s="123"/>
      <c r="O55" s="124">
        <v>5300000</v>
      </c>
      <c r="P55" s="124"/>
      <c r="Q55" s="124"/>
      <c r="R55" s="124"/>
      <c r="S55" s="124"/>
      <c r="T55" s="124">
        <f t="shared" si="0"/>
        <v>424000</v>
      </c>
      <c r="U55" s="150">
        <f t="shared" si="3"/>
        <v>7224000</v>
      </c>
      <c r="V55" s="117" t="s">
        <v>413</v>
      </c>
      <c r="W55" s="151" t="str">
        <f t="shared" si="1"/>
        <v xml:space="preserve">Cước vận chuyển Cát Lái - ĐỒNG PHÚ, BÌNH PHƯỚC cont: CSNU6358434 </v>
      </c>
    </row>
    <row r="56" spans="1:23" s="152" customFormat="1" ht="60" hidden="1" customHeight="1" x14ac:dyDescent="0.2">
      <c r="A56" s="122">
        <f t="shared" si="2"/>
        <v>40</v>
      </c>
      <c r="B56" s="147">
        <v>45958</v>
      </c>
      <c r="C56" s="117">
        <v>7263168622</v>
      </c>
      <c r="D56" s="115"/>
      <c r="E56" s="128">
        <v>1</v>
      </c>
      <c r="F56" s="207" t="s">
        <v>310</v>
      </c>
      <c r="G56" s="117" t="s">
        <v>185</v>
      </c>
      <c r="H56" s="117" t="s">
        <v>158</v>
      </c>
      <c r="I56" s="148" t="s">
        <v>632</v>
      </c>
      <c r="J56" s="117" t="s">
        <v>174</v>
      </c>
      <c r="K56" s="148" t="s">
        <v>39</v>
      </c>
      <c r="L56" s="149" t="s">
        <v>314</v>
      </c>
      <c r="M56" s="123">
        <v>1500000</v>
      </c>
      <c r="N56" s="123"/>
      <c r="O56" s="124">
        <v>5300000</v>
      </c>
      <c r="P56" s="124"/>
      <c r="Q56" s="124"/>
      <c r="R56" s="124"/>
      <c r="S56" s="124"/>
      <c r="T56" s="124">
        <f t="shared" si="0"/>
        <v>424000</v>
      </c>
      <c r="U56" s="150">
        <f t="shared" si="3"/>
        <v>7224000</v>
      </c>
      <c r="V56" s="117" t="s">
        <v>413</v>
      </c>
      <c r="W56" s="151" t="str">
        <f t="shared" si="1"/>
        <v xml:space="preserve">Cước vận chuyển Cát Lái - ĐỒNG PHÚ, BÌNH PHƯỚC cont: TGBU7963311 </v>
      </c>
    </row>
    <row r="57" spans="1:23" s="152" customFormat="1" ht="60" hidden="1" customHeight="1" x14ac:dyDescent="0.2">
      <c r="A57" s="122">
        <f t="shared" si="2"/>
        <v>41</v>
      </c>
      <c r="B57" s="147">
        <v>45958</v>
      </c>
      <c r="C57" s="117">
        <v>7263168622</v>
      </c>
      <c r="D57" s="115"/>
      <c r="E57" s="128">
        <v>1</v>
      </c>
      <c r="F57" s="208" t="s">
        <v>311</v>
      </c>
      <c r="G57" s="117" t="s">
        <v>459</v>
      </c>
      <c r="H57" s="117" t="s">
        <v>158</v>
      </c>
      <c r="I57" s="148" t="s">
        <v>632</v>
      </c>
      <c r="J57" s="117" t="s">
        <v>174</v>
      </c>
      <c r="K57" s="148" t="s">
        <v>39</v>
      </c>
      <c r="L57" s="149" t="s">
        <v>315</v>
      </c>
      <c r="M57" s="123">
        <v>1500000</v>
      </c>
      <c r="N57" s="123"/>
      <c r="O57" s="124">
        <v>5300000</v>
      </c>
      <c r="P57" s="124"/>
      <c r="Q57" s="124"/>
      <c r="R57" s="124"/>
      <c r="S57" s="124"/>
      <c r="T57" s="124">
        <f t="shared" si="0"/>
        <v>424000</v>
      </c>
      <c r="U57" s="150">
        <f t="shared" si="3"/>
        <v>7224000</v>
      </c>
      <c r="V57" s="117" t="s">
        <v>413</v>
      </c>
      <c r="W57" s="151" t="str">
        <f t="shared" si="1"/>
        <v xml:space="preserve">Cước vận chuyển Cát Lái - ĐỒNG PHÚ, BÌNH PHƯỚC cont: CSNU8750357 </v>
      </c>
    </row>
    <row r="58" spans="1:23" s="152" customFormat="1" ht="60" hidden="1" customHeight="1" x14ac:dyDescent="0.2">
      <c r="A58" s="122">
        <f t="shared" si="2"/>
        <v>42</v>
      </c>
      <c r="B58" s="147">
        <v>45958</v>
      </c>
      <c r="C58" s="117">
        <v>7263168620</v>
      </c>
      <c r="D58" s="115"/>
      <c r="E58" s="128">
        <v>1</v>
      </c>
      <c r="F58" s="117" t="s">
        <v>316</v>
      </c>
      <c r="G58" s="199" t="s">
        <v>181</v>
      </c>
      <c r="H58" s="117" t="s">
        <v>282</v>
      </c>
      <c r="I58" s="122" t="s">
        <v>172</v>
      </c>
      <c r="J58" s="117" t="s">
        <v>174</v>
      </c>
      <c r="K58" s="148" t="s">
        <v>39</v>
      </c>
      <c r="L58" s="149" t="s">
        <v>328</v>
      </c>
      <c r="M58" s="123">
        <v>1500000</v>
      </c>
      <c r="N58" s="123"/>
      <c r="O58" s="124">
        <v>4500000</v>
      </c>
      <c r="P58" s="124"/>
      <c r="Q58" s="124"/>
      <c r="R58" s="124"/>
      <c r="S58" s="124"/>
      <c r="T58" s="124">
        <f t="shared" si="0"/>
        <v>360000</v>
      </c>
      <c r="U58" s="150">
        <f t="shared" si="3"/>
        <v>6360000</v>
      </c>
      <c r="V58" s="117" t="s">
        <v>413</v>
      </c>
      <c r="W58" s="151" t="str">
        <f t="shared" si="1"/>
        <v xml:space="preserve">Cước vận chuyển Cát Lái - XÃ CHƠN THÀNH, TỈNH ĐỒNG NAI cont: CSNU7179731 </v>
      </c>
    </row>
    <row r="59" spans="1:23" s="152" customFormat="1" ht="60" hidden="1" customHeight="1" x14ac:dyDescent="0.2">
      <c r="A59" s="122">
        <f t="shared" si="2"/>
        <v>43</v>
      </c>
      <c r="B59" s="147">
        <v>45958</v>
      </c>
      <c r="C59" s="117">
        <v>7263168620</v>
      </c>
      <c r="D59" s="115"/>
      <c r="E59" s="128">
        <v>1</v>
      </c>
      <c r="F59" s="117" t="s">
        <v>317</v>
      </c>
      <c r="G59" s="117" t="s">
        <v>318</v>
      </c>
      <c r="H59" s="117" t="s">
        <v>282</v>
      </c>
      <c r="I59" s="122" t="s">
        <v>172</v>
      </c>
      <c r="J59" s="117" t="s">
        <v>174</v>
      </c>
      <c r="K59" s="148" t="s">
        <v>39</v>
      </c>
      <c r="L59" s="149" t="s">
        <v>329</v>
      </c>
      <c r="M59" s="123">
        <f>1500000</f>
        <v>1500000</v>
      </c>
      <c r="N59" s="123"/>
      <c r="O59" s="124">
        <v>4500000</v>
      </c>
      <c r="P59" s="124"/>
      <c r="Q59" s="124"/>
      <c r="R59" s="124"/>
      <c r="S59" s="124"/>
      <c r="T59" s="124">
        <f t="shared" si="0"/>
        <v>360000</v>
      </c>
      <c r="U59" s="150">
        <f t="shared" si="3"/>
        <v>6360000</v>
      </c>
      <c r="V59" s="117" t="s">
        <v>413</v>
      </c>
      <c r="W59" s="151" t="str">
        <f t="shared" si="1"/>
        <v xml:space="preserve">Cước vận chuyển Cát Lái - XÃ CHƠN THÀNH, TỈNH ĐỒNG NAI cont: CBHU9446654 </v>
      </c>
    </row>
    <row r="60" spans="1:23" s="152" customFormat="1" ht="60" hidden="1" customHeight="1" x14ac:dyDescent="0.2">
      <c r="A60" s="122">
        <f t="shared" si="2"/>
        <v>44</v>
      </c>
      <c r="B60" s="147">
        <v>45958</v>
      </c>
      <c r="C60" s="117">
        <v>7263168620</v>
      </c>
      <c r="D60" s="115"/>
      <c r="E60" s="128">
        <v>1</v>
      </c>
      <c r="F60" s="128" t="s">
        <v>319</v>
      </c>
      <c r="G60" s="117" t="s">
        <v>250</v>
      </c>
      <c r="H60" s="117" t="s">
        <v>282</v>
      </c>
      <c r="I60" s="122" t="s">
        <v>172</v>
      </c>
      <c r="J60" s="117" t="s">
        <v>174</v>
      </c>
      <c r="K60" s="148" t="s">
        <v>39</v>
      </c>
      <c r="L60" s="149" t="s">
        <v>330</v>
      </c>
      <c r="M60" s="123">
        <v>1500000</v>
      </c>
      <c r="N60" s="123"/>
      <c r="O60" s="124">
        <v>4500000</v>
      </c>
      <c r="P60" s="124"/>
      <c r="Q60" s="124"/>
      <c r="R60" s="124"/>
      <c r="S60" s="124"/>
      <c r="T60" s="124">
        <f t="shared" si="0"/>
        <v>360000</v>
      </c>
      <c r="U60" s="150">
        <f t="shared" si="3"/>
        <v>6360000</v>
      </c>
      <c r="V60" s="117" t="s">
        <v>413</v>
      </c>
      <c r="W60" s="151" t="str">
        <f t="shared" si="1"/>
        <v xml:space="preserve">Cước vận chuyển Cát Lái - XÃ CHƠN THÀNH, TỈNH ĐỒNG NAI cont: CSNU7228749 </v>
      </c>
    </row>
    <row r="61" spans="1:23" s="152" customFormat="1" ht="60" hidden="1" customHeight="1" x14ac:dyDescent="0.2">
      <c r="A61" s="122">
        <f t="shared" si="2"/>
        <v>45</v>
      </c>
      <c r="B61" s="147">
        <v>45958</v>
      </c>
      <c r="C61" s="117">
        <v>7263168620</v>
      </c>
      <c r="D61" s="115"/>
      <c r="E61" s="128">
        <v>1</v>
      </c>
      <c r="F61" s="117" t="s">
        <v>320</v>
      </c>
      <c r="G61" s="117" t="s">
        <v>321</v>
      </c>
      <c r="H61" s="117" t="s">
        <v>282</v>
      </c>
      <c r="I61" s="122" t="s">
        <v>172</v>
      </c>
      <c r="J61" s="117" t="s">
        <v>174</v>
      </c>
      <c r="K61" s="148" t="s">
        <v>39</v>
      </c>
      <c r="L61" s="149" t="s">
        <v>330</v>
      </c>
      <c r="M61" s="123">
        <v>1500000</v>
      </c>
      <c r="N61" s="123"/>
      <c r="O61" s="124">
        <v>4500000</v>
      </c>
      <c r="P61" s="124"/>
      <c r="Q61" s="124"/>
      <c r="R61" s="124"/>
      <c r="S61" s="124"/>
      <c r="T61" s="124">
        <f t="shared" si="0"/>
        <v>360000</v>
      </c>
      <c r="U61" s="150">
        <f t="shared" si="3"/>
        <v>6360000</v>
      </c>
      <c r="V61" s="117" t="s">
        <v>413</v>
      </c>
      <c r="W61" s="151" t="str">
        <f t="shared" si="1"/>
        <v xml:space="preserve">Cước vận chuyển Cát Lái - XÃ CHƠN THÀNH, TỈNH ĐỒNG NAI cont: CSNU8479287 </v>
      </c>
    </row>
    <row r="62" spans="1:23" s="152" customFormat="1" ht="60" hidden="1" customHeight="1" x14ac:dyDescent="0.2">
      <c r="A62" s="122">
        <f t="shared" si="2"/>
        <v>46</v>
      </c>
      <c r="B62" s="147">
        <v>45958</v>
      </c>
      <c r="C62" s="117">
        <v>7263168620</v>
      </c>
      <c r="D62" s="115"/>
      <c r="E62" s="128">
        <v>1</v>
      </c>
      <c r="F62" s="117" t="s">
        <v>322</v>
      </c>
      <c r="G62" s="117" t="s">
        <v>323</v>
      </c>
      <c r="H62" s="117" t="s">
        <v>282</v>
      </c>
      <c r="I62" s="122" t="s">
        <v>172</v>
      </c>
      <c r="J62" s="117" t="s">
        <v>174</v>
      </c>
      <c r="K62" s="148" t="s">
        <v>39</v>
      </c>
      <c r="L62" s="149" t="s">
        <v>331</v>
      </c>
      <c r="M62" s="123">
        <v>1500000</v>
      </c>
      <c r="N62" s="123"/>
      <c r="O62" s="124">
        <v>4500000</v>
      </c>
      <c r="P62" s="124"/>
      <c r="Q62" s="124"/>
      <c r="R62" s="124"/>
      <c r="S62" s="124"/>
      <c r="T62" s="124">
        <f t="shared" si="0"/>
        <v>360000</v>
      </c>
      <c r="U62" s="150">
        <f t="shared" si="3"/>
        <v>6360000</v>
      </c>
      <c r="V62" s="117" t="s">
        <v>413</v>
      </c>
      <c r="W62" s="151" t="str">
        <f t="shared" si="1"/>
        <v xml:space="preserve">Cước vận chuyển Cát Lái - XÃ CHƠN THÀNH, TỈNH ĐỒNG NAI cont: CSNU7251013 </v>
      </c>
    </row>
    <row r="63" spans="1:23" s="152" customFormat="1" ht="60" hidden="1" customHeight="1" x14ac:dyDescent="0.2">
      <c r="A63" s="122">
        <f t="shared" si="2"/>
        <v>47</v>
      </c>
      <c r="B63" s="147">
        <v>45958</v>
      </c>
      <c r="C63" s="117">
        <v>7263168620</v>
      </c>
      <c r="D63" s="115"/>
      <c r="E63" s="128">
        <v>1</v>
      </c>
      <c r="F63" s="128" t="s">
        <v>324</v>
      </c>
      <c r="G63" s="117" t="s">
        <v>325</v>
      </c>
      <c r="H63" s="117" t="s">
        <v>282</v>
      </c>
      <c r="I63" s="122" t="s">
        <v>172</v>
      </c>
      <c r="J63" s="117" t="s">
        <v>174</v>
      </c>
      <c r="K63" s="148" t="s">
        <v>39</v>
      </c>
      <c r="L63" s="149" t="s">
        <v>332</v>
      </c>
      <c r="M63" s="123">
        <v>1500000</v>
      </c>
      <c r="N63" s="123"/>
      <c r="O63" s="124">
        <v>4500000</v>
      </c>
      <c r="P63" s="124"/>
      <c r="Q63" s="124"/>
      <c r="R63" s="124"/>
      <c r="S63" s="124"/>
      <c r="T63" s="124">
        <f t="shared" si="0"/>
        <v>360000</v>
      </c>
      <c r="U63" s="150">
        <f t="shared" si="3"/>
        <v>6360000</v>
      </c>
      <c r="V63" s="117" t="s">
        <v>413</v>
      </c>
      <c r="W63" s="151" t="str">
        <f t="shared" si="1"/>
        <v xml:space="preserve">Cước vận chuyển Cát Lái - XÃ CHƠN THÀNH, TỈNH ĐỒNG NAI cont: CSNU7419724 </v>
      </c>
    </row>
    <row r="64" spans="1:23" s="152" customFormat="1" ht="60" hidden="1" customHeight="1" x14ac:dyDescent="0.2">
      <c r="A64" s="122">
        <f t="shared" si="2"/>
        <v>48</v>
      </c>
      <c r="B64" s="147">
        <v>45958</v>
      </c>
      <c r="C64" s="117">
        <v>7263168620</v>
      </c>
      <c r="D64" s="115"/>
      <c r="E64" s="128">
        <v>1</v>
      </c>
      <c r="F64" s="117" t="s">
        <v>326</v>
      </c>
      <c r="G64" s="128" t="s">
        <v>223</v>
      </c>
      <c r="H64" s="117" t="s">
        <v>282</v>
      </c>
      <c r="I64" s="122" t="s">
        <v>172</v>
      </c>
      <c r="J64" s="117" t="s">
        <v>174</v>
      </c>
      <c r="K64" s="148" t="s">
        <v>39</v>
      </c>
      <c r="L64" s="149" t="s">
        <v>333</v>
      </c>
      <c r="M64" s="123">
        <v>1500000</v>
      </c>
      <c r="N64" s="123"/>
      <c r="O64" s="124">
        <v>4500000</v>
      </c>
      <c r="P64" s="124"/>
      <c r="Q64" s="124"/>
      <c r="R64" s="124"/>
      <c r="S64" s="124"/>
      <c r="T64" s="124">
        <f t="shared" si="0"/>
        <v>360000</v>
      </c>
      <c r="U64" s="150">
        <f t="shared" si="3"/>
        <v>6360000</v>
      </c>
      <c r="V64" s="117" t="s">
        <v>413</v>
      </c>
      <c r="W64" s="151" t="str">
        <f t="shared" si="1"/>
        <v xml:space="preserve">Cước vận chuyển Cát Lái - XÃ CHƠN THÀNH, TỈNH ĐỒNG NAI cont: CSNU6787341 </v>
      </c>
    </row>
    <row r="65" spans="1:23" s="152" customFormat="1" ht="60" hidden="1" customHeight="1" x14ac:dyDescent="0.2">
      <c r="A65" s="122">
        <f t="shared" si="2"/>
        <v>49</v>
      </c>
      <c r="B65" s="147">
        <v>45958</v>
      </c>
      <c r="C65" s="117">
        <v>7263168620</v>
      </c>
      <c r="D65" s="115"/>
      <c r="E65" s="128">
        <v>1</v>
      </c>
      <c r="F65" s="117" t="s">
        <v>327</v>
      </c>
      <c r="G65" s="117" t="s">
        <v>453</v>
      </c>
      <c r="H65" s="117" t="s">
        <v>282</v>
      </c>
      <c r="I65" s="122" t="s">
        <v>172</v>
      </c>
      <c r="J65" s="117" t="s">
        <v>174</v>
      </c>
      <c r="K65" s="148" t="s">
        <v>39</v>
      </c>
      <c r="L65" s="149" t="s">
        <v>334</v>
      </c>
      <c r="M65" s="123">
        <v>1500000</v>
      </c>
      <c r="N65" s="123"/>
      <c r="O65" s="124">
        <v>4500000</v>
      </c>
      <c r="P65" s="124"/>
      <c r="Q65" s="124"/>
      <c r="R65" s="124"/>
      <c r="S65" s="124"/>
      <c r="T65" s="124">
        <f t="shared" si="0"/>
        <v>360000</v>
      </c>
      <c r="U65" s="150">
        <f t="shared" si="3"/>
        <v>6360000</v>
      </c>
      <c r="V65" s="117" t="s">
        <v>413</v>
      </c>
      <c r="W65" s="151" t="str">
        <f t="shared" si="1"/>
        <v xml:space="preserve">Cước vận chuyển Cát Lái - XÃ CHƠN THÀNH, TỈNH ĐỒNG NAI cont: CSNU8559016 </v>
      </c>
    </row>
    <row r="66" spans="1:23" s="152" customFormat="1" ht="60" hidden="1" customHeight="1" x14ac:dyDescent="0.2">
      <c r="A66" s="122">
        <f t="shared" si="2"/>
        <v>50</v>
      </c>
      <c r="B66" s="147">
        <v>45958</v>
      </c>
      <c r="C66" s="117" t="s">
        <v>335</v>
      </c>
      <c r="D66" s="128"/>
      <c r="E66" s="128">
        <v>1</v>
      </c>
      <c r="F66" s="117" t="s">
        <v>336</v>
      </c>
      <c r="G66" s="117" t="s">
        <v>452</v>
      </c>
      <c r="H66" s="128" t="s">
        <v>176</v>
      </c>
      <c r="I66" s="148" t="s">
        <v>226</v>
      </c>
      <c r="J66" s="148" t="s">
        <v>39</v>
      </c>
      <c r="K66" s="117" t="s">
        <v>342</v>
      </c>
      <c r="L66" s="209" t="s">
        <v>346</v>
      </c>
      <c r="M66" s="123">
        <v>1500000</v>
      </c>
      <c r="N66" s="123"/>
      <c r="O66" s="124">
        <v>4500000</v>
      </c>
      <c r="P66" s="124"/>
      <c r="Q66" s="124"/>
      <c r="R66" s="124"/>
      <c r="S66" s="124"/>
      <c r="T66" s="124">
        <f t="shared" si="0"/>
        <v>360000</v>
      </c>
      <c r="U66" s="150">
        <f t="shared" si="3"/>
        <v>6360000</v>
      </c>
      <c r="V66" s="117" t="s">
        <v>413</v>
      </c>
      <c r="W66" s="151" t="str">
        <f t="shared" si="1"/>
        <v xml:space="preserve">Cước vận chuyển Cát Lái - CHƠN THÀNH, BÌNH PHƯỚC cont: KKFU8144661 </v>
      </c>
    </row>
    <row r="67" spans="1:23" s="152" customFormat="1" ht="60" hidden="1" customHeight="1" x14ac:dyDescent="0.2">
      <c r="A67" s="122">
        <f t="shared" si="2"/>
        <v>51</v>
      </c>
      <c r="B67" s="147">
        <v>45958</v>
      </c>
      <c r="C67" s="117" t="s">
        <v>335</v>
      </c>
      <c r="D67" s="115"/>
      <c r="E67" s="128">
        <v>1</v>
      </c>
      <c r="F67" s="117" t="s">
        <v>337</v>
      </c>
      <c r="G67" s="117" t="s">
        <v>192</v>
      </c>
      <c r="H67" s="128" t="s">
        <v>176</v>
      </c>
      <c r="I67" s="148" t="s">
        <v>226</v>
      </c>
      <c r="J67" s="148" t="s">
        <v>39</v>
      </c>
      <c r="K67" s="117" t="s">
        <v>342</v>
      </c>
      <c r="L67" s="209" t="s">
        <v>345</v>
      </c>
      <c r="M67" s="123">
        <v>1500000</v>
      </c>
      <c r="N67" s="123"/>
      <c r="O67" s="124">
        <v>4500000</v>
      </c>
      <c r="P67" s="124"/>
      <c r="Q67" s="124"/>
      <c r="R67" s="124"/>
      <c r="S67" s="124"/>
      <c r="T67" s="124">
        <f t="shared" si="0"/>
        <v>360000</v>
      </c>
      <c r="U67" s="150">
        <f t="shared" si="3"/>
        <v>6360000</v>
      </c>
      <c r="V67" s="117" t="s">
        <v>413</v>
      </c>
      <c r="W67" s="151" t="str">
        <f t="shared" si="1"/>
        <v xml:space="preserve">Cước vận chuyển Cát Lái - CHƠN THÀNH, BÌNH PHƯỚC cont: KKFU7835144 </v>
      </c>
    </row>
    <row r="68" spans="1:23" s="152" customFormat="1" ht="60" hidden="1" customHeight="1" x14ac:dyDescent="0.2">
      <c r="A68" s="122">
        <f t="shared" si="2"/>
        <v>52</v>
      </c>
      <c r="B68" s="147">
        <v>45958</v>
      </c>
      <c r="C68" s="117" t="s">
        <v>335</v>
      </c>
      <c r="D68" s="115"/>
      <c r="E68" s="128">
        <v>1</v>
      </c>
      <c r="F68" s="128" t="s">
        <v>339</v>
      </c>
      <c r="G68" s="117" t="s">
        <v>183</v>
      </c>
      <c r="H68" s="128" t="s">
        <v>176</v>
      </c>
      <c r="I68" s="148" t="s">
        <v>226</v>
      </c>
      <c r="J68" s="148" t="s">
        <v>39</v>
      </c>
      <c r="K68" s="117" t="s">
        <v>342</v>
      </c>
      <c r="L68" s="209" t="s">
        <v>347</v>
      </c>
      <c r="M68" s="123">
        <v>1512000</v>
      </c>
      <c r="N68" s="123"/>
      <c r="O68" s="124">
        <v>4500000</v>
      </c>
      <c r="P68" s="124"/>
      <c r="Q68" s="124"/>
      <c r="R68" s="124"/>
      <c r="S68" s="124"/>
      <c r="T68" s="124">
        <f t="shared" si="0"/>
        <v>360000</v>
      </c>
      <c r="U68" s="150">
        <f t="shared" si="3"/>
        <v>6372000</v>
      </c>
      <c r="V68" s="117" t="s">
        <v>413</v>
      </c>
      <c r="W68" s="151" t="str">
        <f t="shared" si="1"/>
        <v xml:space="preserve">Cước vận chuyển Cát Lái - CHƠN THÀNH, BÌNH PHƯỚC cont: GAOU6546176 </v>
      </c>
    </row>
    <row r="69" spans="1:23" s="152" customFormat="1" ht="60" hidden="1" customHeight="1" x14ac:dyDescent="0.2">
      <c r="A69" s="122">
        <f t="shared" si="2"/>
        <v>53</v>
      </c>
      <c r="B69" s="147">
        <v>45958</v>
      </c>
      <c r="C69" s="117" t="s">
        <v>335</v>
      </c>
      <c r="D69" s="115"/>
      <c r="E69" s="128">
        <v>1</v>
      </c>
      <c r="F69" s="117" t="s">
        <v>340</v>
      </c>
      <c r="G69" s="117" t="s">
        <v>460</v>
      </c>
      <c r="H69" s="128" t="s">
        <v>176</v>
      </c>
      <c r="I69" s="148" t="s">
        <v>226</v>
      </c>
      <c r="J69" s="148" t="s">
        <v>39</v>
      </c>
      <c r="K69" s="117" t="s">
        <v>342</v>
      </c>
      <c r="L69" s="209" t="s">
        <v>343</v>
      </c>
      <c r="M69" s="123">
        <v>1512000</v>
      </c>
      <c r="N69" s="123"/>
      <c r="O69" s="124">
        <v>4500000</v>
      </c>
      <c r="P69" s="124"/>
      <c r="Q69" s="124"/>
      <c r="R69" s="124"/>
      <c r="S69" s="124"/>
      <c r="T69" s="124">
        <f t="shared" si="0"/>
        <v>360000</v>
      </c>
      <c r="U69" s="150">
        <f t="shared" si="3"/>
        <v>6372000</v>
      </c>
      <c r="V69" s="117" t="s">
        <v>413</v>
      </c>
      <c r="W69" s="151" t="str">
        <f t="shared" si="1"/>
        <v xml:space="preserve">Cước vận chuyển Cát Lái - CHƠN THÀNH, BÌNH PHƯỚC cont: FFAU6449178 </v>
      </c>
    </row>
    <row r="70" spans="1:23" s="152" customFormat="1" ht="60" hidden="1" customHeight="1" x14ac:dyDescent="0.2">
      <c r="A70" s="122">
        <f t="shared" si="2"/>
        <v>54</v>
      </c>
      <c r="B70" s="147">
        <v>45958</v>
      </c>
      <c r="C70" s="117" t="s">
        <v>335</v>
      </c>
      <c r="D70" s="115"/>
      <c r="E70" s="128">
        <v>1</v>
      </c>
      <c r="F70" s="117" t="s">
        <v>341</v>
      </c>
      <c r="G70" s="117" t="s">
        <v>197</v>
      </c>
      <c r="H70" s="128" t="s">
        <v>176</v>
      </c>
      <c r="I70" s="148" t="s">
        <v>226</v>
      </c>
      <c r="J70" s="148" t="s">
        <v>39</v>
      </c>
      <c r="K70" s="117" t="s">
        <v>342</v>
      </c>
      <c r="L70" s="210" t="s">
        <v>344</v>
      </c>
      <c r="M70" s="127">
        <v>1512000</v>
      </c>
      <c r="N70" s="127"/>
      <c r="O70" s="124">
        <v>4500000</v>
      </c>
      <c r="P70" s="124"/>
      <c r="Q70" s="124"/>
      <c r="R70" s="124"/>
      <c r="S70" s="124"/>
      <c r="T70" s="124">
        <f t="shared" si="0"/>
        <v>360000</v>
      </c>
      <c r="U70" s="150">
        <f t="shared" si="3"/>
        <v>6372000</v>
      </c>
      <c r="V70" s="117" t="s">
        <v>413</v>
      </c>
      <c r="W70" s="151" t="str">
        <f t="shared" si="1"/>
        <v xml:space="preserve">Cước vận chuyển Cát Lái - CHƠN THÀNH, BÌNH PHƯỚC cont: NYKU0799299 </v>
      </c>
    </row>
    <row r="71" spans="1:23" s="152" customFormat="1" ht="60" hidden="1" customHeight="1" x14ac:dyDescent="0.2">
      <c r="A71" s="122">
        <f t="shared" si="2"/>
        <v>55</v>
      </c>
      <c r="B71" s="147">
        <v>45959</v>
      </c>
      <c r="C71" s="117" t="s">
        <v>348</v>
      </c>
      <c r="D71" s="115"/>
      <c r="E71" s="128">
        <v>1</v>
      </c>
      <c r="F71" s="117" t="s">
        <v>349</v>
      </c>
      <c r="G71" s="199" t="s">
        <v>181</v>
      </c>
      <c r="H71" s="117" t="s">
        <v>353</v>
      </c>
      <c r="I71" s="148" t="s">
        <v>354</v>
      </c>
      <c r="J71" s="148" t="s">
        <v>39</v>
      </c>
      <c r="K71" s="117" t="s">
        <v>174</v>
      </c>
      <c r="L71" s="149" t="s">
        <v>355</v>
      </c>
      <c r="M71" s="123">
        <v>1500000</v>
      </c>
      <c r="N71" s="123">
        <v>2500000</v>
      </c>
      <c r="O71" s="211">
        <v>2700000</v>
      </c>
      <c r="P71" s="211"/>
      <c r="Q71" s="124"/>
      <c r="R71" s="124"/>
      <c r="S71" s="211"/>
      <c r="T71" s="124">
        <f t="shared" si="0"/>
        <v>216000</v>
      </c>
      <c r="U71" s="150">
        <f t="shared" si="3"/>
        <v>6916000</v>
      </c>
      <c r="V71" s="117" t="s">
        <v>413</v>
      </c>
      <c r="W71" s="151" t="str">
        <f t="shared" si="1"/>
        <v xml:space="preserve">Cước vận chuyển Cát Lái - THỦ DẦU MỘT, BÌNH DƯƠNG cont: EGSU1237816 </v>
      </c>
    </row>
    <row r="72" spans="1:23" s="152" customFormat="1" ht="60" hidden="1" customHeight="1" x14ac:dyDescent="0.2">
      <c r="A72" s="122">
        <f t="shared" si="2"/>
        <v>56</v>
      </c>
      <c r="B72" s="147">
        <v>45959</v>
      </c>
      <c r="C72" s="117" t="s">
        <v>348</v>
      </c>
      <c r="D72" s="115"/>
      <c r="E72" s="128">
        <v>1</v>
      </c>
      <c r="F72" s="117" t="s">
        <v>350</v>
      </c>
      <c r="G72" s="117" t="s">
        <v>184</v>
      </c>
      <c r="H72" s="117" t="s">
        <v>353</v>
      </c>
      <c r="I72" s="148" t="s">
        <v>354</v>
      </c>
      <c r="J72" s="148" t="s">
        <v>39</v>
      </c>
      <c r="K72" s="117" t="s">
        <v>174</v>
      </c>
      <c r="L72" s="149" t="s">
        <v>356</v>
      </c>
      <c r="M72" s="123">
        <v>1500000</v>
      </c>
      <c r="N72" s="123">
        <v>700000</v>
      </c>
      <c r="O72" s="211">
        <v>2700000</v>
      </c>
      <c r="P72" s="211"/>
      <c r="Q72" s="124"/>
      <c r="R72" s="124"/>
      <c r="S72" s="211"/>
      <c r="T72" s="124">
        <f t="shared" si="0"/>
        <v>216000</v>
      </c>
      <c r="U72" s="150">
        <f t="shared" si="3"/>
        <v>5116000</v>
      </c>
      <c r="V72" s="117" t="s">
        <v>413</v>
      </c>
      <c r="W72" s="151" t="str">
        <f t="shared" si="1"/>
        <v xml:space="preserve">Cước vận chuyển Cát Lái - THỦ DẦU MỘT, BÌNH DƯƠNG cont: EGHU9195550 </v>
      </c>
    </row>
    <row r="73" spans="1:23" s="152" customFormat="1" ht="60" hidden="1" customHeight="1" x14ac:dyDescent="0.2">
      <c r="A73" s="122">
        <f t="shared" si="2"/>
        <v>57</v>
      </c>
      <c r="B73" s="147">
        <v>45959</v>
      </c>
      <c r="C73" s="117" t="s">
        <v>348</v>
      </c>
      <c r="D73" s="115"/>
      <c r="E73" s="128">
        <v>1</v>
      </c>
      <c r="F73" s="128" t="s">
        <v>352</v>
      </c>
      <c r="G73" s="117" t="s">
        <v>459</v>
      </c>
      <c r="H73" s="117" t="s">
        <v>353</v>
      </c>
      <c r="I73" s="148" t="s">
        <v>354</v>
      </c>
      <c r="J73" s="148" t="s">
        <v>39</v>
      </c>
      <c r="K73" s="117" t="s">
        <v>174</v>
      </c>
      <c r="L73" s="149" t="s">
        <v>357</v>
      </c>
      <c r="M73" s="123">
        <v>1500000</v>
      </c>
      <c r="N73" s="123">
        <v>1100000</v>
      </c>
      <c r="O73" s="211">
        <v>2700000</v>
      </c>
      <c r="P73" s="211"/>
      <c r="Q73" s="124"/>
      <c r="R73" s="124"/>
      <c r="S73" s="211"/>
      <c r="T73" s="124">
        <f t="shared" si="0"/>
        <v>216000</v>
      </c>
      <c r="U73" s="150">
        <f t="shared" si="3"/>
        <v>5516000</v>
      </c>
      <c r="V73" s="117" t="s">
        <v>413</v>
      </c>
      <c r="W73" s="151" t="str">
        <f t="shared" si="1"/>
        <v xml:space="preserve">Cước vận chuyển Cát Lái - THỦ DẦU MỘT, BÌNH DƯƠNG cont: EGHU9520310 </v>
      </c>
    </row>
    <row r="74" spans="1:23" s="152" customFormat="1" ht="60" hidden="1" customHeight="1" x14ac:dyDescent="0.2">
      <c r="A74" s="122">
        <f t="shared" si="2"/>
        <v>58</v>
      </c>
      <c r="B74" s="147">
        <v>45959</v>
      </c>
      <c r="C74" s="117" t="s">
        <v>348</v>
      </c>
      <c r="D74" s="115"/>
      <c r="E74" s="128">
        <v>1</v>
      </c>
      <c r="F74" s="117" t="s">
        <v>418</v>
      </c>
      <c r="G74" s="117" t="s">
        <v>419</v>
      </c>
      <c r="H74" s="117" t="s">
        <v>353</v>
      </c>
      <c r="I74" s="148" t="s">
        <v>354</v>
      </c>
      <c r="J74" s="148" t="s">
        <v>39</v>
      </c>
      <c r="K74" s="117" t="s">
        <v>174</v>
      </c>
      <c r="L74" s="149" t="s">
        <v>420</v>
      </c>
      <c r="M74" s="123">
        <v>1500000</v>
      </c>
      <c r="N74" s="123">
        <v>1500000</v>
      </c>
      <c r="O74" s="211">
        <v>2700000</v>
      </c>
      <c r="P74" s="211"/>
      <c r="Q74" s="124"/>
      <c r="R74" s="124"/>
      <c r="S74" s="211"/>
      <c r="T74" s="124">
        <f t="shared" si="0"/>
        <v>216000</v>
      </c>
      <c r="U74" s="150">
        <f t="shared" si="3"/>
        <v>5916000</v>
      </c>
      <c r="V74" s="117" t="s">
        <v>413</v>
      </c>
      <c r="W74" s="151" t="str">
        <f t="shared" si="1"/>
        <v xml:space="preserve">Cước vận chuyển Cát Lái - THỦ DẦU MỘT, BÌNH DƯƠNG cont: EGHU9612761 </v>
      </c>
    </row>
    <row r="75" spans="1:23" s="152" customFormat="1" ht="60" hidden="1" customHeight="1" x14ac:dyDescent="0.2">
      <c r="A75" s="122">
        <f t="shared" si="2"/>
        <v>59</v>
      </c>
      <c r="B75" s="147">
        <v>45960</v>
      </c>
      <c r="C75" s="117" t="s">
        <v>358</v>
      </c>
      <c r="D75" s="115"/>
      <c r="E75" s="128">
        <v>1</v>
      </c>
      <c r="F75" s="267" t="s">
        <v>359</v>
      </c>
      <c r="G75" s="117" t="s">
        <v>459</v>
      </c>
      <c r="H75" s="212" t="s">
        <v>158</v>
      </c>
      <c r="I75" s="148" t="s">
        <v>632</v>
      </c>
      <c r="J75" s="148" t="s">
        <v>39</v>
      </c>
      <c r="K75" s="117" t="s">
        <v>361</v>
      </c>
      <c r="L75" s="210">
        <v>391740</v>
      </c>
      <c r="M75" s="123">
        <v>1500000</v>
      </c>
      <c r="N75" s="123">
        <v>9000000</v>
      </c>
      <c r="O75" s="124">
        <v>5300000</v>
      </c>
      <c r="P75" s="124"/>
      <c r="Q75" s="124"/>
      <c r="R75" s="124"/>
      <c r="S75" s="211"/>
      <c r="T75" s="124">
        <f t="shared" si="0"/>
        <v>424000</v>
      </c>
      <c r="U75" s="150">
        <f t="shared" si="3"/>
        <v>16224000</v>
      </c>
      <c r="V75" s="117" t="s">
        <v>413</v>
      </c>
      <c r="W75" s="151" t="str">
        <f t="shared" si="1"/>
        <v xml:space="preserve">Cước vận chuyển Cát Lái - ĐỒNG PHÚ, BÌNH PHƯỚC cont: EGSU9703320 </v>
      </c>
    </row>
    <row r="76" spans="1:23" s="152" customFormat="1" ht="60" hidden="1" customHeight="1" x14ac:dyDescent="0.2">
      <c r="A76" s="122">
        <f t="shared" si="2"/>
        <v>60</v>
      </c>
      <c r="B76" s="147">
        <v>45960</v>
      </c>
      <c r="C76" s="117" t="s">
        <v>358</v>
      </c>
      <c r="D76" s="115"/>
      <c r="E76" s="128">
        <v>1</v>
      </c>
      <c r="F76" s="117" t="s">
        <v>360</v>
      </c>
      <c r="G76" s="117" t="s">
        <v>458</v>
      </c>
      <c r="H76" s="212" t="s">
        <v>158</v>
      </c>
      <c r="I76" s="148" t="s">
        <v>632</v>
      </c>
      <c r="J76" s="148" t="s">
        <v>39</v>
      </c>
      <c r="K76" s="117" t="s">
        <v>361</v>
      </c>
      <c r="L76" s="213">
        <v>392409</v>
      </c>
      <c r="M76" s="123">
        <v>1500000</v>
      </c>
      <c r="N76" s="123"/>
      <c r="O76" s="124">
        <v>5300000</v>
      </c>
      <c r="P76" s="124"/>
      <c r="Q76" s="124"/>
      <c r="R76" s="124"/>
      <c r="S76" s="211"/>
      <c r="T76" s="124">
        <f t="shared" si="0"/>
        <v>424000</v>
      </c>
      <c r="U76" s="150">
        <f t="shared" si="3"/>
        <v>7224000</v>
      </c>
      <c r="V76" s="117" t="s">
        <v>413</v>
      </c>
      <c r="W76" s="151" t="str">
        <f t="shared" si="1"/>
        <v xml:space="preserve">Cước vận chuyển Cát Lái - ĐỒNG PHÚ, BÌNH PHƯỚC cont: CAAU5747657 </v>
      </c>
    </row>
    <row r="77" spans="1:23" s="152" customFormat="1" ht="60" hidden="1" customHeight="1" x14ac:dyDescent="0.2">
      <c r="A77" s="122">
        <f t="shared" si="2"/>
        <v>61</v>
      </c>
      <c r="B77" s="147">
        <v>45960</v>
      </c>
      <c r="C77" s="214">
        <v>257754101</v>
      </c>
      <c r="D77" s="214"/>
      <c r="E77" s="128">
        <v>1</v>
      </c>
      <c r="F77" s="117" t="s">
        <v>362</v>
      </c>
      <c r="G77" s="117" t="s">
        <v>188</v>
      </c>
      <c r="H77" s="212" t="s">
        <v>158</v>
      </c>
      <c r="I77" s="148" t="s">
        <v>632</v>
      </c>
      <c r="J77" s="148" t="s">
        <v>39</v>
      </c>
      <c r="K77" s="128" t="s">
        <v>370</v>
      </c>
      <c r="L77" s="120" t="s">
        <v>371</v>
      </c>
      <c r="M77" s="123">
        <v>1450000</v>
      </c>
      <c r="N77" s="123"/>
      <c r="O77" s="124">
        <v>5300000</v>
      </c>
      <c r="P77" s="124"/>
      <c r="Q77" s="124"/>
      <c r="R77" s="124"/>
      <c r="S77" s="211"/>
      <c r="T77" s="124">
        <f t="shared" si="0"/>
        <v>424000</v>
      </c>
      <c r="U77" s="150">
        <f t="shared" si="3"/>
        <v>7174000</v>
      </c>
      <c r="V77" s="117" t="s">
        <v>413</v>
      </c>
      <c r="W77" s="151" t="str">
        <f t="shared" si="1"/>
        <v xml:space="preserve">Cước vận chuyển Cát Lái - ĐỒNG PHÚ, BÌNH PHƯỚC cont: MRKU5232506 </v>
      </c>
    </row>
    <row r="78" spans="1:23" s="152" customFormat="1" ht="60" hidden="1" customHeight="1" x14ac:dyDescent="0.2">
      <c r="A78" s="122">
        <f t="shared" si="2"/>
        <v>62</v>
      </c>
      <c r="B78" s="147">
        <v>45960</v>
      </c>
      <c r="C78" s="214">
        <v>257754101</v>
      </c>
      <c r="D78" s="115"/>
      <c r="E78" s="128">
        <v>1</v>
      </c>
      <c r="F78" s="117" t="s">
        <v>363</v>
      </c>
      <c r="G78" s="117" t="s">
        <v>194</v>
      </c>
      <c r="H78" s="212" t="s">
        <v>158</v>
      </c>
      <c r="I78" s="148" t="s">
        <v>632</v>
      </c>
      <c r="J78" s="148" t="s">
        <v>39</v>
      </c>
      <c r="K78" s="128" t="s">
        <v>370</v>
      </c>
      <c r="L78" s="120" t="s">
        <v>373</v>
      </c>
      <c r="M78" s="123">
        <v>1450000</v>
      </c>
      <c r="N78" s="123"/>
      <c r="O78" s="124">
        <v>5300000</v>
      </c>
      <c r="P78" s="124"/>
      <c r="Q78" s="124"/>
      <c r="R78" s="124"/>
      <c r="S78" s="211"/>
      <c r="T78" s="124">
        <f t="shared" si="0"/>
        <v>424000</v>
      </c>
      <c r="U78" s="150">
        <f t="shared" si="3"/>
        <v>7174000</v>
      </c>
      <c r="V78" s="117" t="s">
        <v>413</v>
      </c>
      <c r="W78" s="151" t="str">
        <f t="shared" si="1"/>
        <v xml:space="preserve">Cước vận chuyển Cát Lái - ĐỒNG PHÚ, BÌNH PHƯỚC cont: MIEU3062340 </v>
      </c>
    </row>
    <row r="79" spans="1:23" s="152" customFormat="1" ht="60" hidden="1" customHeight="1" x14ac:dyDescent="0.2">
      <c r="A79" s="122">
        <f t="shared" si="2"/>
        <v>63</v>
      </c>
      <c r="B79" s="147">
        <v>45960</v>
      </c>
      <c r="C79" s="128">
        <v>257754101</v>
      </c>
      <c r="D79" s="115"/>
      <c r="E79" s="128">
        <v>1</v>
      </c>
      <c r="F79" s="117" t="s">
        <v>364</v>
      </c>
      <c r="G79" s="117" t="s">
        <v>197</v>
      </c>
      <c r="H79" s="212" t="s">
        <v>158</v>
      </c>
      <c r="I79" s="148" t="s">
        <v>632</v>
      </c>
      <c r="J79" s="148" t="s">
        <v>39</v>
      </c>
      <c r="K79" s="128" t="s">
        <v>370</v>
      </c>
      <c r="L79" s="120" t="s">
        <v>376</v>
      </c>
      <c r="M79" s="123">
        <v>1450000</v>
      </c>
      <c r="N79" s="123"/>
      <c r="O79" s="124">
        <v>5300000</v>
      </c>
      <c r="P79" s="124"/>
      <c r="Q79" s="124"/>
      <c r="R79" s="124"/>
      <c r="S79" s="211"/>
      <c r="T79" s="124">
        <f t="shared" si="0"/>
        <v>424000</v>
      </c>
      <c r="U79" s="150">
        <f t="shared" si="3"/>
        <v>7174000</v>
      </c>
      <c r="V79" s="117" t="s">
        <v>413</v>
      </c>
      <c r="W79" s="151" t="str">
        <f t="shared" si="1"/>
        <v xml:space="preserve">Cước vận chuyển Cát Lái - ĐỒNG PHÚ, BÌNH PHƯỚC cont: UETU6997165 </v>
      </c>
    </row>
    <row r="80" spans="1:23" s="152" customFormat="1" ht="60" hidden="1" customHeight="1" x14ac:dyDescent="0.2">
      <c r="A80" s="122">
        <f t="shared" si="2"/>
        <v>64</v>
      </c>
      <c r="B80" s="147">
        <v>45960</v>
      </c>
      <c r="C80" s="128">
        <v>257754101</v>
      </c>
      <c r="D80" s="115"/>
      <c r="E80" s="128">
        <v>1</v>
      </c>
      <c r="F80" s="117" t="s">
        <v>365</v>
      </c>
      <c r="G80" s="117" t="s">
        <v>189</v>
      </c>
      <c r="H80" s="212" t="s">
        <v>158</v>
      </c>
      <c r="I80" s="148" t="s">
        <v>632</v>
      </c>
      <c r="J80" s="148" t="s">
        <v>39</v>
      </c>
      <c r="K80" s="128" t="s">
        <v>370</v>
      </c>
      <c r="L80" s="120" t="s">
        <v>431</v>
      </c>
      <c r="M80" s="123">
        <v>1450000</v>
      </c>
      <c r="N80" s="123"/>
      <c r="O80" s="124">
        <v>5300000</v>
      </c>
      <c r="P80" s="124"/>
      <c r="Q80" s="124"/>
      <c r="R80" s="124"/>
      <c r="S80" s="211"/>
      <c r="T80" s="124">
        <f t="shared" si="0"/>
        <v>424000</v>
      </c>
      <c r="U80" s="150">
        <f t="shared" si="3"/>
        <v>7174000</v>
      </c>
      <c r="V80" s="117" t="s">
        <v>413</v>
      </c>
      <c r="W80" s="151" t="str">
        <f t="shared" si="1"/>
        <v xml:space="preserve">Cước vận chuyển Cát Lái - ĐỒNG PHÚ, BÌNH PHƯỚC cont: TCKU6802642 </v>
      </c>
    </row>
    <row r="81" spans="1:23" s="152" customFormat="1" ht="60" hidden="1" customHeight="1" x14ac:dyDescent="0.2">
      <c r="A81" s="122">
        <f t="shared" si="2"/>
        <v>65</v>
      </c>
      <c r="B81" s="147">
        <v>45960</v>
      </c>
      <c r="C81" s="128">
        <v>257754101</v>
      </c>
      <c r="D81" s="115"/>
      <c r="E81" s="128">
        <v>1</v>
      </c>
      <c r="F81" s="128" t="s">
        <v>366</v>
      </c>
      <c r="G81" s="117" t="s">
        <v>183</v>
      </c>
      <c r="H81" s="212" t="s">
        <v>158</v>
      </c>
      <c r="I81" s="148" t="s">
        <v>632</v>
      </c>
      <c r="J81" s="148" t="s">
        <v>39</v>
      </c>
      <c r="K81" s="128" t="s">
        <v>370</v>
      </c>
      <c r="L81" s="120" t="s">
        <v>377</v>
      </c>
      <c r="M81" s="123">
        <v>1450000</v>
      </c>
      <c r="N81" s="123"/>
      <c r="O81" s="124">
        <v>5300000</v>
      </c>
      <c r="P81" s="124"/>
      <c r="Q81" s="124"/>
      <c r="R81" s="124"/>
      <c r="S81" s="211"/>
      <c r="T81" s="124">
        <f t="shared" ref="T81:T144" si="4">O81*0.08</f>
        <v>424000</v>
      </c>
      <c r="U81" s="150">
        <f t="shared" si="3"/>
        <v>7174000</v>
      </c>
      <c r="V81" s="117" t="s">
        <v>413</v>
      </c>
      <c r="W81" s="151" t="str">
        <f t="shared" ref="W81:W144" si="5">"Cước vận chuyển Cát Lái - "&amp;I81&amp;" cont: "&amp;F81&amp;" "</f>
        <v xml:space="preserve">Cước vận chuyển Cát Lái - ĐỒNG PHÚ, BÌNH PHƯỚC cont: MRSU4302535 </v>
      </c>
    </row>
    <row r="82" spans="1:23" s="152" customFormat="1" ht="60" hidden="1" customHeight="1" x14ac:dyDescent="0.2">
      <c r="A82" s="122">
        <f t="shared" ref="A82:A145" si="6">ROW()-16</f>
        <v>66</v>
      </c>
      <c r="B82" s="147">
        <v>45960</v>
      </c>
      <c r="C82" s="128">
        <v>257754101</v>
      </c>
      <c r="D82" s="115"/>
      <c r="E82" s="128">
        <v>1</v>
      </c>
      <c r="F82" s="117" t="s">
        <v>367</v>
      </c>
      <c r="G82" s="117" t="s">
        <v>185</v>
      </c>
      <c r="H82" s="212" t="s">
        <v>158</v>
      </c>
      <c r="I82" s="148" t="s">
        <v>632</v>
      </c>
      <c r="J82" s="148" t="s">
        <v>39</v>
      </c>
      <c r="K82" s="128" t="s">
        <v>370</v>
      </c>
      <c r="L82" s="120" t="s">
        <v>375</v>
      </c>
      <c r="M82" s="123">
        <v>1450000</v>
      </c>
      <c r="N82" s="123"/>
      <c r="O82" s="124">
        <v>5300000</v>
      </c>
      <c r="P82" s="124"/>
      <c r="Q82" s="124"/>
      <c r="R82" s="124"/>
      <c r="S82" s="211"/>
      <c r="T82" s="124">
        <f t="shared" si="4"/>
        <v>424000</v>
      </c>
      <c r="U82" s="150">
        <f t="shared" ref="U82:U145" si="7">T82+S82+Q82+O82+M82+N82</f>
        <v>7174000</v>
      </c>
      <c r="V82" s="117" t="s">
        <v>413</v>
      </c>
      <c r="W82" s="151" t="str">
        <f t="shared" si="5"/>
        <v xml:space="preserve">Cước vận chuyển Cát Lái - ĐỒNG PHÚ, BÌNH PHƯỚC cont: MRKU3376675 </v>
      </c>
    </row>
    <row r="83" spans="1:23" s="152" customFormat="1" ht="60" hidden="1" customHeight="1" x14ac:dyDescent="0.2">
      <c r="A83" s="122">
        <f t="shared" si="6"/>
        <v>67</v>
      </c>
      <c r="B83" s="147">
        <v>45960</v>
      </c>
      <c r="C83" s="128">
        <v>257754101</v>
      </c>
      <c r="D83" s="115"/>
      <c r="E83" s="128">
        <v>1</v>
      </c>
      <c r="F83" s="117" t="s">
        <v>368</v>
      </c>
      <c r="G83" s="117" t="s">
        <v>454</v>
      </c>
      <c r="H83" s="212" t="s">
        <v>158</v>
      </c>
      <c r="I83" s="148" t="s">
        <v>632</v>
      </c>
      <c r="J83" s="148" t="s">
        <v>39</v>
      </c>
      <c r="K83" s="128" t="s">
        <v>370</v>
      </c>
      <c r="L83" s="120" t="s">
        <v>372</v>
      </c>
      <c r="M83" s="123">
        <v>1450000</v>
      </c>
      <c r="N83" s="123"/>
      <c r="O83" s="124">
        <v>5300000</v>
      </c>
      <c r="P83" s="124"/>
      <c r="Q83" s="124"/>
      <c r="R83" s="124"/>
      <c r="S83" s="211"/>
      <c r="T83" s="124">
        <f t="shared" si="4"/>
        <v>424000</v>
      </c>
      <c r="U83" s="150">
        <f t="shared" si="7"/>
        <v>7174000</v>
      </c>
      <c r="V83" s="117" t="s">
        <v>413</v>
      </c>
      <c r="W83" s="151" t="str">
        <f t="shared" si="5"/>
        <v xml:space="preserve">Cước vận chuyển Cát Lái - ĐỒNG PHÚ, BÌNH PHƯỚC cont: TIIU4699098 </v>
      </c>
    </row>
    <row r="84" spans="1:23" s="152" customFormat="1" ht="60" hidden="1" customHeight="1" x14ac:dyDescent="0.2">
      <c r="A84" s="122">
        <f t="shared" si="6"/>
        <v>68</v>
      </c>
      <c r="B84" s="147">
        <v>45960</v>
      </c>
      <c r="C84" s="128">
        <v>257754101</v>
      </c>
      <c r="D84" s="115"/>
      <c r="E84" s="128">
        <v>1</v>
      </c>
      <c r="F84" s="117" t="s">
        <v>369</v>
      </c>
      <c r="G84" s="117" t="s">
        <v>190</v>
      </c>
      <c r="H84" s="212" t="s">
        <v>158</v>
      </c>
      <c r="I84" s="148" t="s">
        <v>632</v>
      </c>
      <c r="J84" s="148" t="s">
        <v>39</v>
      </c>
      <c r="K84" s="128" t="s">
        <v>370</v>
      </c>
      <c r="L84" s="120" t="s">
        <v>374</v>
      </c>
      <c r="M84" s="123">
        <v>1450000</v>
      </c>
      <c r="N84" s="123"/>
      <c r="O84" s="124">
        <v>5300000</v>
      </c>
      <c r="P84" s="124"/>
      <c r="Q84" s="124"/>
      <c r="R84" s="124"/>
      <c r="S84" s="211"/>
      <c r="T84" s="124">
        <f t="shared" si="4"/>
        <v>424000</v>
      </c>
      <c r="U84" s="150">
        <f t="shared" si="7"/>
        <v>7174000</v>
      </c>
      <c r="V84" s="117" t="s">
        <v>413</v>
      </c>
      <c r="W84" s="151" t="str">
        <f t="shared" si="5"/>
        <v xml:space="preserve">Cước vận chuyển Cát Lái - ĐỒNG PHÚ, BÌNH PHƯỚC cont: SEKU6977350 </v>
      </c>
    </row>
    <row r="85" spans="1:23" s="152" customFormat="1" ht="60" hidden="1" customHeight="1" x14ac:dyDescent="0.2">
      <c r="A85" s="122">
        <f t="shared" si="6"/>
        <v>69</v>
      </c>
      <c r="B85" s="215">
        <v>45960</v>
      </c>
      <c r="C85" s="117">
        <v>2313711130</v>
      </c>
      <c r="D85" s="200"/>
      <c r="E85" s="128">
        <v>1</v>
      </c>
      <c r="F85" s="117" t="s">
        <v>378</v>
      </c>
      <c r="G85" s="117" t="s">
        <v>197</v>
      </c>
      <c r="H85" s="212" t="s">
        <v>158</v>
      </c>
      <c r="I85" s="148" t="s">
        <v>632</v>
      </c>
      <c r="J85" s="117" t="s">
        <v>259</v>
      </c>
      <c r="K85" s="128" t="s">
        <v>39</v>
      </c>
      <c r="L85" s="120" t="s">
        <v>380</v>
      </c>
      <c r="M85" s="123">
        <v>1500000</v>
      </c>
      <c r="N85" s="123"/>
      <c r="O85" s="124">
        <v>5300000</v>
      </c>
      <c r="P85" s="124"/>
      <c r="Q85" s="124"/>
      <c r="R85" s="124"/>
      <c r="S85" s="211"/>
      <c r="T85" s="124">
        <f t="shared" si="4"/>
        <v>424000</v>
      </c>
      <c r="U85" s="150">
        <f t="shared" si="7"/>
        <v>7224000</v>
      </c>
      <c r="V85" s="117" t="s">
        <v>413</v>
      </c>
      <c r="W85" s="151" t="str">
        <f t="shared" si="5"/>
        <v xml:space="preserve">Cước vận chuyển Cát Lái - ĐỒNG PHÚ, BÌNH PHƯỚC cont: OOCU9670339 </v>
      </c>
    </row>
    <row r="86" spans="1:23" s="152" customFormat="1" ht="60" hidden="1" customHeight="1" x14ac:dyDescent="0.2">
      <c r="A86" s="122">
        <f t="shared" si="6"/>
        <v>70</v>
      </c>
      <c r="B86" s="215">
        <v>45960</v>
      </c>
      <c r="C86" s="117">
        <v>2313711130</v>
      </c>
      <c r="D86" s="115"/>
      <c r="E86" s="128">
        <v>1</v>
      </c>
      <c r="F86" s="117" t="s">
        <v>379</v>
      </c>
      <c r="G86" s="117" t="s">
        <v>183</v>
      </c>
      <c r="H86" s="212" t="s">
        <v>158</v>
      </c>
      <c r="I86" s="148" t="s">
        <v>632</v>
      </c>
      <c r="J86" s="117" t="s">
        <v>259</v>
      </c>
      <c r="K86" s="128" t="s">
        <v>39</v>
      </c>
      <c r="L86" s="120" t="s">
        <v>381</v>
      </c>
      <c r="M86" s="123">
        <v>1500000</v>
      </c>
      <c r="N86" s="123"/>
      <c r="O86" s="124">
        <v>5300000</v>
      </c>
      <c r="P86" s="124"/>
      <c r="Q86" s="124"/>
      <c r="R86" s="124"/>
      <c r="S86" s="211"/>
      <c r="T86" s="124">
        <f t="shared" si="4"/>
        <v>424000</v>
      </c>
      <c r="U86" s="150">
        <f t="shared" si="7"/>
        <v>7224000</v>
      </c>
      <c r="V86" s="117" t="s">
        <v>413</v>
      </c>
      <c r="W86" s="151" t="str">
        <f t="shared" si="5"/>
        <v xml:space="preserve">Cước vận chuyển Cát Lái - ĐỒNG PHÚ, BÌNH PHƯỚC cont: BEAU5652349 </v>
      </c>
    </row>
    <row r="87" spans="1:23" s="152" customFormat="1" ht="60" hidden="1" customHeight="1" x14ac:dyDescent="0.2">
      <c r="A87" s="122">
        <f t="shared" si="6"/>
        <v>71</v>
      </c>
      <c r="B87" s="215">
        <v>45960</v>
      </c>
      <c r="C87" s="205" t="s">
        <v>399</v>
      </c>
      <c r="D87" s="155"/>
      <c r="E87" s="154">
        <v>1</v>
      </c>
      <c r="F87" s="205" t="s">
        <v>421</v>
      </c>
      <c r="G87" s="205" t="s">
        <v>252</v>
      </c>
      <c r="H87" s="205" t="s">
        <v>176</v>
      </c>
      <c r="I87" s="216" t="s">
        <v>226</v>
      </c>
      <c r="J87" s="205" t="s">
        <v>39</v>
      </c>
      <c r="K87" s="205" t="s">
        <v>259</v>
      </c>
      <c r="L87" s="120">
        <v>6433</v>
      </c>
      <c r="M87" s="123">
        <v>1500000</v>
      </c>
      <c r="N87" s="123"/>
      <c r="O87" s="124">
        <v>4500000</v>
      </c>
      <c r="P87" s="124"/>
      <c r="Q87" s="124"/>
      <c r="R87" s="124"/>
      <c r="S87" s="211"/>
      <c r="T87" s="124">
        <f t="shared" si="4"/>
        <v>360000</v>
      </c>
      <c r="U87" s="150">
        <f t="shared" si="7"/>
        <v>6360000</v>
      </c>
      <c r="V87" s="117" t="s">
        <v>413</v>
      </c>
      <c r="W87" s="151" t="str">
        <f t="shared" si="5"/>
        <v xml:space="preserve">Cước vận chuyển Cát Lái - CHƠN THÀNH, BÌNH PHƯỚC cont: OOCU8594110 </v>
      </c>
    </row>
    <row r="88" spans="1:23" s="152" customFormat="1" ht="60" hidden="1" customHeight="1" x14ac:dyDescent="0.2">
      <c r="A88" s="122">
        <f t="shared" si="6"/>
        <v>72</v>
      </c>
      <c r="B88" s="217">
        <v>45960</v>
      </c>
      <c r="C88" s="128" t="s">
        <v>422</v>
      </c>
      <c r="D88" s="128"/>
      <c r="E88" s="128">
        <v>1</v>
      </c>
      <c r="F88" s="117" t="s">
        <v>423</v>
      </c>
      <c r="G88" s="117" t="s">
        <v>419</v>
      </c>
      <c r="H88" s="117" t="s">
        <v>179</v>
      </c>
      <c r="I88" s="148" t="s">
        <v>180</v>
      </c>
      <c r="J88" s="117" t="s">
        <v>39</v>
      </c>
      <c r="K88" s="117" t="s">
        <v>426</v>
      </c>
      <c r="L88" s="195" t="s">
        <v>433</v>
      </c>
      <c r="M88" s="123">
        <f>1450000+96000</f>
        <v>1546000</v>
      </c>
      <c r="N88" s="123"/>
      <c r="O88" s="211">
        <v>4700000</v>
      </c>
      <c r="P88" s="211"/>
      <c r="Q88" s="124"/>
      <c r="R88" s="124"/>
      <c r="S88" s="211"/>
      <c r="T88" s="124">
        <f t="shared" si="4"/>
        <v>376000</v>
      </c>
      <c r="U88" s="150">
        <f t="shared" si="7"/>
        <v>6622000</v>
      </c>
      <c r="V88" s="117" t="s">
        <v>413</v>
      </c>
      <c r="W88" s="151" t="str">
        <f t="shared" si="5"/>
        <v xml:space="preserve">Cước vận chuyển Cát Lái - HỚN QUẢN, BÌNH PHƯỚC cont: WHSU5793367 </v>
      </c>
    </row>
    <row r="89" spans="1:23" s="152" customFormat="1" ht="60" hidden="1" customHeight="1" x14ac:dyDescent="0.2">
      <c r="A89" s="122">
        <f t="shared" si="6"/>
        <v>73</v>
      </c>
      <c r="B89" s="217">
        <v>45960</v>
      </c>
      <c r="C89" s="128" t="s">
        <v>422</v>
      </c>
      <c r="D89" s="128"/>
      <c r="E89" s="128">
        <v>1</v>
      </c>
      <c r="F89" s="117" t="s">
        <v>424</v>
      </c>
      <c r="G89" s="117" t="s">
        <v>425</v>
      </c>
      <c r="H89" s="117" t="s">
        <v>179</v>
      </c>
      <c r="I89" s="148" t="s">
        <v>180</v>
      </c>
      <c r="J89" s="117" t="s">
        <v>39</v>
      </c>
      <c r="K89" s="117" t="s">
        <v>426</v>
      </c>
      <c r="L89" s="196">
        <v>73579</v>
      </c>
      <c r="M89" s="123">
        <v>1450000</v>
      </c>
      <c r="N89" s="123"/>
      <c r="O89" s="211">
        <v>4700000</v>
      </c>
      <c r="P89" s="211"/>
      <c r="Q89" s="124"/>
      <c r="R89" s="124"/>
      <c r="S89" s="211"/>
      <c r="T89" s="124">
        <f t="shared" si="4"/>
        <v>376000</v>
      </c>
      <c r="U89" s="150">
        <f t="shared" si="7"/>
        <v>6526000</v>
      </c>
      <c r="V89" s="117" t="s">
        <v>413</v>
      </c>
      <c r="W89" s="151" t="str">
        <f t="shared" si="5"/>
        <v xml:space="preserve">Cước vận chuyển Cát Lái - HỚN QUẢN, BÌNH PHƯỚC cont: WHSU6085845 </v>
      </c>
    </row>
    <row r="90" spans="1:23" s="152" customFormat="1" ht="60" hidden="1" customHeight="1" x14ac:dyDescent="0.2">
      <c r="A90" s="122">
        <f t="shared" si="6"/>
        <v>74</v>
      </c>
      <c r="B90" s="147">
        <v>45961</v>
      </c>
      <c r="C90" s="218" t="s">
        <v>382</v>
      </c>
      <c r="D90" s="200"/>
      <c r="E90" s="156">
        <v>1</v>
      </c>
      <c r="F90" s="218" t="s">
        <v>383</v>
      </c>
      <c r="G90" s="117" t="s">
        <v>186</v>
      </c>
      <c r="H90" s="219" t="s">
        <v>176</v>
      </c>
      <c r="I90" s="220" t="s">
        <v>226</v>
      </c>
      <c r="J90" s="218" t="s">
        <v>259</v>
      </c>
      <c r="K90" s="156" t="s">
        <v>39</v>
      </c>
      <c r="L90" s="195" t="s">
        <v>395</v>
      </c>
      <c r="M90" s="123">
        <v>1500000</v>
      </c>
      <c r="N90" s="123"/>
      <c r="O90" s="124">
        <v>4500000</v>
      </c>
      <c r="P90" s="124"/>
      <c r="Q90" s="124"/>
      <c r="R90" s="124"/>
      <c r="S90" s="124"/>
      <c r="T90" s="124">
        <f t="shared" si="4"/>
        <v>360000</v>
      </c>
      <c r="U90" s="150">
        <f t="shared" si="7"/>
        <v>6360000</v>
      </c>
      <c r="V90" s="117" t="s">
        <v>413</v>
      </c>
      <c r="W90" s="151" t="str">
        <f t="shared" si="5"/>
        <v xml:space="preserve">Cước vận chuyển Cát Lái - CHƠN THÀNH, BÌNH PHƯỚC cont: JXLU4317708 </v>
      </c>
    </row>
    <row r="91" spans="1:23" s="152" customFormat="1" ht="60" hidden="1" customHeight="1" x14ac:dyDescent="0.2">
      <c r="A91" s="122">
        <f t="shared" si="6"/>
        <v>75</v>
      </c>
      <c r="B91" s="147">
        <v>45961</v>
      </c>
      <c r="C91" s="117" t="s">
        <v>382</v>
      </c>
      <c r="D91" s="115"/>
      <c r="E91" s="128">
        <v>1</v>
      </c>
      <c r="F91" s="117" t="s">
        <v>384</v>
      </c>
      <c r="G91" s="117" t="s">
        <v>183</v>
      </c>
      <c r="H91" s="212" t="s">
        <v>176</v>
      </c>
      <c r="I91" s="148" t="s">
        <v>226</v>
      </c>
      <c r="J91" s="117" t="s">
        <v>259</v>
      </c>
      <c r="K91" s="128" t="s">
        <v>39</v>
      </c>
      <c r="L91" s="120" t="s">
        <v>394</v>
      </c>
      <c r="M91" s="123">
        <v>1500000</v>
      </c>
      <c r="N91" s="123"/>
      <c r="O91" s="124">
        <v>4500000</v>
      </c>
      <c r="P91" s="124"/>
      <c r="Q91" s="124"/>
      <c r="R91" s="124"/>
      <c r="S91" s="124"/>
      <c r="T91" s="124">
        <f t="shared" si="4"/>
        <v>360000</v>
      </c>
      <c r="U91" s="150">
        <f t="shared" si="7"/>
        <v>6360000</v>
      </c>
      <c r="V91" s="117" t="s">
        <v>413</v>
      </c>
      <c r="W91" s="151" t="str">
        <f t="shared" si="5"/>
        <v xml:space="preserve">Cước vận chuyển Cát Lái - CHƠN THÀNH, BÌNH PHƯỚC cont: BSIU9834254 </v>
      </c>
    </row>
    <row r="92" spans="1:23" s="152" customFormat="1" ht="60" hidden="1" customHeight="1" x14ac:dyDescent="0.2">
      <c r="A92" s="122">
        <f t="shared" si="6"/>
        <v>76</v>
      </c>
      <c r="B92" s="147">
        <v>45961</v>
      </c>
      <c r="C92" s="117" t="s">
        <v>382</v>
      </c>
      <c r="D92" s="115"/>
      <c r="E92" s="128">
        <v>1</v>
      </c>
      <c r="F92" s="117" t="s">
        <v>385</v>
      </c>
      <c r="G92" s="117" t="s">
        <v>197</v>
      </c>
      <c r="H92" s="212" t="s">
        <v>176</v>
      </c>
      <c r="I92" s="148" t="s">
        <v>226</v>
      </c>
      <c r="J92" s="117" t="s">
        <v>259</v>
      </c>
      <c r="K92" s="128" t="s">
        <v>39</v>
      </c>
      <c r="L92" s="120" t="s">
        <v>393</v>
      </c>
      <c r="M92" s="123">
        <v>1500000</v>
      </c>
      <c r="N92" s="123"/>
      <c r="O92" s="124">
        <v>4500000</v>
      </c>
      <c r="P92" s="124"/>
      <c r="Q92" s="124"/>
      <c r="R92" s="124"/>
      <c r="S92" s="124"/>
      <c r="T92" s="124">
        <f t="shared" si="4"/>
        <v>360000</v>
      </c>
      <c r="U92" s="150">
        <f t="shared" si="7"/>
        <v>6360000</v>
      </c>
      <c r="V92" s="117" t="s">
        <v>413</v>
      </c>
      <c r="W92" s="151" t="str">
        <f t="shared" si="5"/>
        <v xml:space="preserve">Cước vận chuyển Cát Lái - CHƠN THÀNH, BÌNH PHƯỚC cont: KSSU1004541 </v>
      </c>
    </row>
    <row r="93" spans="1:23" s="152" customFormat="1" ht="60" hidden="1" customHeight="1" x14ac:dyDescent="0.2">
      <c r="A93" s="122">
        <f t="shared" si="6"/>
        <v>77</v>
      </c>
      <c r="B93" s="147">
        <v>45961</v>
      </c>
      <c r="C93" s="117" t="s">
        <v>382</v>
      </c>
      <c r="D93" s="115"/>
      <c r="E93" s="128">
        <v>1</v>
      </c>
      <c r="F93" s="117" t="s">
        <v>386</v>
      </c>
      <c r="G93" s="117" t="s">
        <v>192</v>
      </c>
      <c r="H93" s="212" t="s">
        <v>176</v>
      </c>
      <c r="I93" s="148" t="s">
        <v>226</v>
      </c>
      <c r="J93" s="117" t="s">
        <v>259</v>
      </c>
      <c r="K93" s="128" t="s">
        <v>39</v>
      </c>
      <c r="L93" s="120">
        <v>393944</v>
      </c>
      <c r="M93" s="123">
        <v>1500000</v>
      </c>
      <c r="N93" s="123"/>
      <c r="O93" s="124">
        <v>4500000</v>
      </c>
      <c r="P93" s="124"/>
      <c r="Q93" s="124"/>
      <c r="R93" s="124"/>
      <c r="S93" s="124"/>
      <c r="T93" s="124">
        <f t="shared" si="4"/>
        <v>360000</v>
      </c>
      <c r="U93" s="150">
        <f t="shared" si="7"/>
        <v>6360000</v>
      </c>
      <c r="V93" s="117" t="s">
        <v>413</v>
      </c>
      <c r="W93" s="151" t="str">
        <f t="shared" si="5"/>
        <v xml:space="preserve">Cước vận chuyển Cát Lái - CHƠN THÀNH, BÌNH PHƯỚC cont: JXLU7843917 </v>
      </c>
    </row>
    <row r="94" spans="1:23" s="152" customFormat="1" ht="60" hidden="1" customHeight="1" x14ac:dyDescent="0.2">
      <c r="A94" s="122">
        <f t="shared" si="6"/>
        <v>78</v>
      </c>
      <c r="B94" s="147">
        <v>45961</v>
      </c>
      <c r="C94" s="117" t="s">
        <v>382</v>
      </c>
      <c r="D94" s="128"/>
      <c r="E94" s="128">
        <v>1</v>
      </c>
      <c r="F94" s="117" t="s">
        <v>387</v>
      </c>
      <c r="G94" s="117" t="s">
        <v>184</v>
      </c>
      <c r="H94" s="212" t="s">
        <v>176</v>
      </c>
      <c r="I94" s="148" t="s">
        <v>226</v>
      </c>
      <c r="J94" s="117" t="s">
        <v>259</v>
      </c>
      <c r="K94" s="128" t="s">
        <v>39</v>
      </c>
      <c r="L94" s="195" t="s">
        <v>392</v>
      </c>
      <c r="M94" s="123">
        <v>1500000</v>
      </c>
      <c r="N94" s="123"/>
      <c r="O94" s="124">
        <v>4500000</v>
      </c>
      <c r="P94" s="124"/>
      <c r="Q94" s="124"/>
      <c r="R94" s="124"/>
      <c r="S94" s="124"/>
      <c r="T94" s="124">
        <f t="shared" si="4"/>
        <v>360000</v>
      </c>
      <c r="U94" s="150">
        <f t="shared" si="7"/>
        <v>6360000</v>
      </c>
      <c r="V94" s="117" t="s">
        <v>413</v>
      </c>
      <c r="W94" s="151" t="str">
        <f t="shared" si="5"/>
        <v xml:space="preserve">Cước vận chuyển Cát Lái - CHƠN THÀNH, BÌNH PHƯỚC cont: ZCSU7479364 </v>
      </c>
    </row>
    <row r="95" spans="1:23" s="152" customFormat="1" ht="60" hidden="1" customHeight="1" x14ac:dyDescent="0.2">
      <c r="A95" s="122">
        <f t="shared" si="6"/>
        <v>79</v>
      </c>
      <c r="B95" s="147">
        <v>45961</v>
      </c>
      <c r="C95" s="117" t="s">
        <v>382</v>
      </c>
      <c r="D95" s="115"/>
      <c r="E95" s="128">
        <v>1</v>
      </c>
      <c r="F95" s="117" t="s">
        <v>388</v>
      </c>
      <c r="G95" s="117" t="s">
        <v>454</v>
      </c>
      <c r="H95" s="212" t="s">
        <v>176</v>
      </c>
      <c r="I95" s="148" t="s">
        <v>226</v>
      </c>
      <c r="J95" s="117" t="s">
        <v>259</v>
      </c>
      <c r="K95" s="128" t="s">
        <v>39</v>
      </c>
      <c r="L95" s="120" t="s">
        <v>390</v>
      </c>
      <c r="M95" s="123">
        <v>1500000</v>
      </c>
      <c r="N95" s="123"/>
      <c r="O95" s="124">
        <v>4500000</v>
      </c>
      <c r="P95" s="124"/>
      <c r="Q95" s="124"/>
      <c r="R95" s="124"/>
      <c r="S95" s="124"/>
      <c r="T95" s="124">
        <f t="shared" si="4"/>
        <v>360000</v>
      </c>
      <c r="U95" s="150">
        <f t="shared" si="7"/>
        <v>6360000</v>
      </c>
      <c r="V95" s="117" t="s">
        <v>413</v>
      </c>
      <c r="W95" s="151" t="str">
        <f t="shared" si="5"/>
        <v xml:space="preserve">Cước vận chuyển Cát Lái - CHƠN THÀNH, BÌNH PHƯỚC cont: CAAU9581775 </v>
      </c>
    </row>
    <row r="96" spans="1:23" s="152" customFormat="1" ht="60" hidden="1" customHeight="1" x14ac:dyDescent="0.2">
      <c r="A96" s="122">
        <f t="shared" si="6"/>
        <v>80</v>
      </c>
      <c r="B96" s="147">
        <v>45961</v>
      </c>
      <c r="C96" s="117" t="s">
        <v>382</v>
      </c>
      <c r="D96" s="115"/>
      <c r="E96" s="128">
        <v>1</v>
      </c>
      <c r="F96" s="117" t="s">
        <v>389</v>
      </c>
      <c r="G96" s="117" t="s">
        <v>185</v>
      </c>
      <c r="H96" s="212" t="s">
        <v>176</v>
      </c>
      <c r="I96" s="148" t="s">
        <v>226</v>
      </c>
      <c r="J96" s="117" t="s">
        <v>259</v>
      </c>
      <c r="K96" s="128" t="s">
        <v>39</v>
      </c>
      <c r="L96" s="120" t="s">
        <v>391</v>
      </c>
      <c r="M96" s="123">
        <v>1500000</v>
      </c>
      <c r="N96" s="123"/>
      <c r="O96" s="124">
        <v>4500000</v>
      </c>
      <c r="P96" s="124"/>
      <c r="Q96" s="124"/>
      <c r="R96" s="124"/>
      <c r="S96" s="124"/>
      <c r="T96" s="124">
        <f t="shared" si="4"/>
        <v>360000</v>
      </c>
      <c r="U96" s="150">
        <f t="shared" si="7"/>
        <v>6360000</v>
      </c>
      <c r="V96" s="117" t="s">
        <v>413</v>
      </c>
      <c r="W96" s="151" t="str">
        <f t="shared" si="5"/>
        <v xml:space="preserve">Cước vận chuyển Cát Lái - CHƠN THÀNH, BÌNH PHƯỚC cont: JXLU6296878 </v>
      </c>
    </row>
    <row r="97" spans="1:23" s="152" customFormat="1" ht="60" hidden="1" customHeight="1" x14ac:dyDescent="0.2">
      <c r="A97" s="122">
        <f t="shared" si="6"/>
        <v>81</v>
      </c>
      <c r="B97" s="147">
        <v>45961</v>
      </c>
      <c r="C97" s="117">
        <v>7263632460</v>
      </c>
      <c r="D97" s="197"/>
      <c r="E97" s="198">
        <v>1</v>
      </c>
      <c r="F97" s="221" t="s">
        <v>396</v>
      </c>
      <c r="G97" s="117" t="s">
        <v>186</v>
      </c>
      <c r="H97" s="212" t="s">
        <v>158</v>
      </c>
      <c r="I97" s="148" t="s">
        <v>632</v>
      </c>
      <c r="J97" s="117" t="s">
        <v>175</v>
      </c>
      <c r="K97" s="128" t="s">
        <v>39</v>
      </c>
      <c r="L97" s="210" t="s">
        <v>432</v>
      </c>
      <c r="M97" s="123">
        <v>1500000</v>
      </c>
      <c r="N97" s="123"/>
      <c r="O97" s="124">
        <v>5300000</v>
      </c>
      <c r="P97" s="124"/>
      <c r="Q97" s="124"/>
      <c r="R97" s="124"/>
      <c r="S97" s="124"/>
      <c r="T97" s="124">
        <f t="shared" si="4"/>
        <v>424000</v>
      </c>
      <c r="U97" s="150">
        <f t="shared" si="7"/>
        <v>7224000</v>
      </c>
      <c r="V97" s="117" t="s">
        <v>413</v>
      </c>
      <c r="W97" s="151" t="str">
        <f t="shared" si="5"/>
        <v xml:space="preserve">Cước vận chuyển Cát Lái - ĐỒNG PHÚ, BÌNH PHƯỚC cont: FDCU0107426 </v>
      </c>
    </row>
    <row r="98" spans="1:23" s="152" customFormat="1" ht="60" hidden="1" customHeight="1" x14ac:dyDescent="0.2">
      <c r="A98" s="122">
        <f t="shared" si="6"/>
        <v>82</v>
      </c>
      <c r="B98" s="147">
        <v>45961</v>
      </c>
      <c r="C98" s="117">
        <v>7263632460</v>
      </c>
      <c r="D98" s="197"/>
      <c r="E98" s="198">
        <v>1</v>
      </c>
      <c r="F98" s="221" t="s">
        <v>397</v>
      </c>
      <c r="G98" s="117" t="s">
        <v>460</v>
      </c>
      <c r="H98" s="212" t="s">
        <v>158</v>
      </c>
      <c r="I98" s="148" t="s">
        <v>632</v>
      </c>
      <c r="J98" s="117" t="s">
        <v>175</v>
      </c>
      <c r="K98" s="128" t="s">
        <v>39</v>
      </c>
      <c r="L98" s="120" t="s">
        <v>398</v>
      </c>
      <c r="M98" s="123">
        <v>1500000</v>
      </c>
      <c r="N98" s="123"/>
      <c r="O98" s="124">
        <v>5300000</v>
      </c>
      <c r="P98" s="124"/>
      <c r="Q98" s="124"/>
      <c r="R98" s="124"/>
      <c r="S98" s="124"/>
      <c r="T98" s="124">
        <f t="shared" si="4"/>
        <v>424000</v>
      </c>
      <c r="U98" s="150">
        <f t="shared" si="7"/>
        <v>7224000</v>
      </c>
      <c r="V98" s="117" t="s">
        <v>413</v>
      </c>
      <c r="W98" s="151" t="str">
        <f t="shared" si="5"/>
        <v xml:space="preserve">Cước vận chuyển Cát Lái - ĐỒNG PHÚ, BÌNH PHƯỚC cont: OOCU8048911 </v>
      </c>
    </row>
    <row r="99" spans="1:23" s="152" customFormat="1" ht="60" hidden="1" customHeight="1" x14ac:dyDescent="0.2">
      <c r="A99" s="122">
        <f t="shared" si="6"/>
        <v>83</v>
      </c>
      <c r="B99" s="147">
        <v>45961</v>
      </c>
      <c r="C99" s="117" t="s">
        <v>399</v>
      </c>
      <c r="D99" s="128"/>
      <c r="E99" s="128">
        <v>1</v>
      </c>
      <c r="F99" s="117" t="s">
        <v>400</v>
      </c>
      <c r="G99" s="117" t="s">
        <v>194</v>
      </c>
      <c r="H99" s="212" t="s">
        <v>176</v>
      </c>
      <c r="I99" s="148" t="s">
        <v>226</v>
      </c>
      <c r="J99" s="128" t="s">
        <v>39</v>
      </c>
      <c r="K99" s="117" t="s">
        <v>259</v>
      </c>
      <c r="L99" s="120" t="s">
        <v>403</v>
      </c>
      <c r="M99" s="123">
        <v>1500000</v>
      </c>
      <c r="N99" s="123"/>
      <c r="O99" s="124">
        <v>4500000</v>
      </c>
      <c r="P99" s="124"/>
      <c r="Q99" s="124"/>
      <c r="R99" s="124"/>
      <c r="S99" s="124"/>
      <c r="T99" s="124">
        <f t="shared" si="4"/>
        <v>360000</v>
      </c>
      <c r="U99" s="150">
        <f t="shared" si="7"/>
        <v>6360000</v>
      </c>
      <c r="V99" s="117" t="s">
        <v>413</v>
      </c>
      <c r="W99" s="151" t="str">
        <f t="shared" si="5"/>
        <v xml:space="preserve">Cước vận chuyển Cát Lái - CHƠN THÀNH, BÌNH PHƯỚC cont: TGBU4361645 </v>
      </c>
    </row>
    <row r="100" spans="1:23" s="152" customFormat="1" ht="60" hidden="1" customHeight="1" x14ac:dyDescent="0.2">
      <c r="A100" s="122">
        <f t="shared" si="6"/>
        <v>84</v>
      </c>
      <c r="B100" s="147">
        <v>45961</v>
      </c>
      <c r="C100" s="117" t="s">
        <v>399</v>
      </c>
      <c r="D100" s="115"/>
      <c r="E100" s="128">
        <v>1</v>
      </c>
      <c r="F100" s="117" t="s">
        <v>401</v>
      </c>
      <c r="G100" s="117" t="s">
        <v>460</v>
      </c>
      <c r="H100" s="212" t="s">
        <v>176</v>
      </c>
      <c r="I100" s="148" t="s">
        <v>226</v>
      </c>
      <c r="J100" s="128" t="s">
        <v>39</v>
      </c>
      <c r="K100" s="117" t="s">
        <v>259</v>
      </c>
      <c r="L100" s="120" t="s">
        <v>405</v>
      </c>
      <c r="M100" s="123">
        <v>1500000</v>
      </c>
      <c r="N100" s="127"/>
      <c r="O100" s="124">
        <v>4500000</v>
      </c>
      <c r="P100" s="124"/>
      <c r="Q100" s="124"/>
      <c r="R100" s="124"/>
      <c r="S100" s="124"/>
      <c r="T100" s="124">
        <f t="shared" si="4"/>
        <v>360000</v>
      </c>
      <c r="U100" s="150">
        <f t="shared" si="7"/>
        <v>6360000</v>
      </c>
      <c r="V100" s="117" t="s">
        <v>413</v>
      </c>
      <c r="W100" s="151" t="str">
        <f t="shared" si="5"/>
        <v xml:space="preserve">Cước vận chuyển Cát Lái - CHƠN THÀNH, BÌNH PHƯỚC cont: TCKU7665415 </v>
      </c>
    </row>
    <row r="101" spans="1:23" s="152" customFormat="1" ht="60" hidden="1" customHeight="1" x14ac:dyDescent="0.2">
      <c r="A101" s="122">
        <f t="shared" si="6"/>
        <v>85</v>
      </c>
      <c r="B101" s="147">
        <v>45961</v>
      </c>
      <c r="C101" s="117" t="s">
        <v>399</v>
      </c>
      <c r="D101" s="115"/>
      <c r="E101" s="128">
        <v>1</v>
      </c>
      <c r="F101" s="117" t="s">
        <v>402</v>
      </c>
      <c r="G101" s="117" t="s">
        <v>458</v>
      </c>
      <c r="H101" s="117" t="s">
        <v>176</v>
      </c>
      <c r="I101" s="148" t="s">
        <v>226</v>
      </c>
      <c r="J101" s="128" t="s">
        <v>39</v>
      </c>
      <c r="K101" s="117" t="s">
        <v>259</v>
      </c>
      <c r="L101" s="120" t="s">
        <v>404</v>
      </c>
      <c r="M101" s="123">
        <v>1500000</v>
      </c>
      <c r="N101" s="127"/>
      <c r="O101" s="124">
        <v>4500000</v>
      </c>
      <c r="P101" s="124"/>
      <c r="Q101" s="124"/>
      <c r="R101" s="124"/>
      <c r="S101" s="124"/>
      <c r="T101" s="124">
        <f t="shared" si="4"/>
        <v>360000</v>
      </c>
      <c r="U101" s="150">
        <f t="shared" si="7"/>
        <v>6360000</v>
      </c>
      <c r="V101" s="117" t="s">
        <v>413</v>
      </c>
      <c r="W101" s="151" t="str">
        <f t="shared" si="5"/>
        <v xml:space="preserve">Cước vận chuyển Cát Lái - CHƠN THÀNH, BÌNH PHƯỚC cont: SEGU4043530 </v>
      </c>
    </row>
    <row r="102" spans="1:23" s="152" customFormat="1" ht="60" hidden="1" customHeight="1" x14ac:dyDescent="0.2">
      <c r="A102" s="122">
        <f t="shared" si="6"/>
        <v>86</v>
      </c>
      <c r="B102" s="147">
        <v>45961</v>
      </c>
      <c r="C102" s="117" t="s">
        <v>406</v>
      </c>
      <c r="D102" s="115"/>
      <c r="E102" s="128">
        <v>1</v>
      </c>
      <c r="F102" s="117" t="s">
        <v>407</v>
      </c>
      <c r="G102" s="117" t="s">
        <v>187</v>
      </c>
      <c r="H102" s="117" t="s">
        <v>176</v>
      </c>
      <c r="I102" s="148" t="s">
        <v>226</v>
      </c>
      <c r="J102" s="128" t="s">
        <v>39</v>
      </c>
      <c r="K102" s="117" t="s">
        <v>174</v>
      </c>
      <c r="L102" s="120" t="s">
        <v>410</v>
      </c>
      <c r="M102" s="123">
        <v>1500000</v>
      </c>
      <c r="N102" s="127">
        <v>2600000</v>
      </c>
      <c r="O102" s="124">
        <v>4500000</v>
      </c>
      <c r="P102" s="124"/>
      <c r="Q102" s="124"/>
      <c r="R102" s="124"/>
      <c r="S102" s="124"/>
      <c r="T102" s="124">
        <f t="shared" si="4"/>
        <v>360000</v>
      </c>
      <c r="U102" s="150">
        <f t="shared" si="7"/>
        <v>8960000</v>
      </c>
      <c r="V102" s="117" t="s">
        <v>413</v>
      </c>
      <c r="W102" s="151" t="str">
        <f t="shared" si="5"/>
        <v xml:space="preserve">Cước vận chuyển Cát Lái - CHƠN THÀNH, BÌNH PHƯỚC cont: TGBU7285209 </v>
      </c>
    </row>
    <row r="103" spans="1:23" s="152" customFormat="1" ht="60" hidden="1" customHeight="1" x14ac:dyDescent="0.2">
      <c r="A103" s="122">
        <f t="shared" si="6"/>
        <v>87</v>
      </c>
      <c r="B103" s="147">
        <v>45961</v>
      </c>
      <c r="C103" s="117" t="s">
        <v>406</v>
      </c>
      <c r="D103" s="115"/>
      <c r="E103" s="128">
        <v>1</v>
      </c>
      <c r="F103" s="117" t="s">
        <v>408</v>
      </c>
      <c r="G103" s="117" t="s">
        <v>197</v>
      </c>
      <c r="H103" s="117" t="s">
        <v>176</v>
      </c>
      <c r="I103" s="148" t="s">
        <v>226</v>
      </c>
      <c r="J103" s="128" t="s">
        <v>39</v>
      </c>
      <c r="K103" s="117" t="s">
        <v>174</v>
      </c>
      <c r="L103" s="120" t="s">
        <v>411</v>
      </c>
      <c r="M103" s="123">
        <v>1500000</v>
      </c>
      <c r="N103" s="127"/>
      <c r="O103" s="124">
        <v>4500000</v>
      </c>
      <c r="P103" s="124"/>
      <c r="Q103" s="124"/>
      <c r="R103" s="124"/>
      <c r="S103" s="124"/>
      <c r="T103" s="124">
        <f t="shared" si="4"/>
        <v>360000</v>
      </c>
      <c r="U103" s="150">
        <f t="shared" si="7"/>
        <v>6360000</v>
      </c>
      <c r="V103" s="117"/>
      <c r="W103" s="151" t="str">
        <f t="shared" si="5"/>
        <v xml:space="preserve">Cước vận chuyển Cát Lái - CHƠN THÀNH, BÌNH PHƯỚC cont: EMCU8973701 </v>
      </c>
    </row>
    <row r="104" spans="1:23" s="152" customFormat="1" ht="60" hidden="1" customHeight="1" x14ac:dyDescent="0.2">
      <c r="A104" s="122">
        <f t="shared" si="6"/>
        <v>88</v>
      </c>
      <c r="B104" s="147">
        <v>45961</v>
      </c>
      <c r="C104" s="117" t="s">
        <v>406</v>
      </c>
      <c r="D104" s="115"/>
      <c r="E104" s="128">
        <v>1</v>
      </c>
      <c r="F104" s="117" t="s">
        <v>409</v>
      </c>
      <c r="G104" s="117" t="s">
        <v>193</v>
      </c>
      <c r="H104" s="117" t="s">
        <v>176</v>
      </c>
      <c r="I104" s="148" t="s">
        <v>226</v>
      </c>
      <c r="J104" s="128" t="s">
        <v>39</v>
      </c>
      <c r="K104" s="117" t="s">
        <v>174</v>
      </c>
      <c r="L104" s="120" t="s">
        <v>412</v>
      </c>
      <c r="M104" s="123">
        <v>1500000</v>
      </c>
      <c r="N104" s="127"/>
      <c r="O104" s="124">
        <v>4500000</v>
      </c>
      <c r="P104" s="124"/>
      <c r="Q104" s="124"/>
      <c r="R104" s="124"/>
      <c r="S104" s="124"/>
      <c r="T104" s="124">
        <f t="shared" si="4"/>
        <v>360000</v>
      </c>
      <c r="U104" s="150">
        <f t="shared" si="7"/>
        <v>6360000</v>
      </c>
      <c r="V104" s="117"/>
      <c r="W104" s="151" t="str">
        <f t="shared" si="5"/>
        <v xml:space="preserve">Cước vận chuyển Cát Lái - CHƠN THÀNH, BÌNH PHƯỚC cont: EMCU8250261 </v>
      </c>
    </row>
    <row r="105" spans="1:23" s="152" customFormat="1" ht="60" hidden="1" customHeight="1" x14ac:dyDescent="0.2">
      <c r="A105" s="122">
        <f t="shared" si="6"/>
        <v>89</v>
      </c>
      <c r="B105" s="147">
        <v>45964</v>
      </c>
      <c r="C105" s="117">
        <v>7263702820</v>
      </c>
      <c r="D105" s="115"/>
      <c r="E105" s="128">
        <v>1</v>
      </c>
      <c r="F105" s="117" t="s">
        <v>434</v>
      </c>
      <c r="G105" s="117" t="s">
        <v>189</v>
      </c>
      <c r="H105" s="117" t="s">
        <v>353</v>
      </c>
      <c r="I105" s="148" t="s">
        <v>354</v>
      </c>
      <c r="J105" s="117" t="s">
        <v>174</v>
      </c>
      <c r="K105" s="117" t="s">
        <v>39</v>
      </c>
      <c r="L105" s="120" t="s">
        <v>436</v>
      </c>
      <c r="M105" s="123">
        <v>1500000</v>
      </c>
      <c r="N105" s="127"/>
      <c r="O105" s="124">
        <v>2700000</v>
      </c>
      <c r="P105" s="124"/>
      <c r="Q105" s="124"/>
      <c r="R105" s="124"/>
      <c r="S105" s="124"/>
      <c r="T105" s="124">
        <f t="shared" si="4"/>
        <v>216000</v>
      </c>
      <c r="U105" s="150">
        <f t="shared" si="7"/>
        <v>4416000</v>
      </c>
      <c r="V105" s="117" t="s">
        <v>413</v>
      </c>
      <c r="W105" s="151" t="str">
        <f t="shared" si="5"/>
        <v xml:space="preserve">Cước vận chuyển Cát Lái - THỦ DẦU MỘT, BÌNH DƯƠNG cont: SEGU6414049 </v>
      </c>
    </row>
    <row r="106" spans="1:23" s="152" customFormat="1" ht="60" hidden="1" customHeight="1" x14ac:dyDescent="0.2">
      <c r="A106" s="122">
        <f t="shared" si="6"/>
        <v>90</v>
      </c>
      <c r="B106" s="147">
        <v>45964</v>
      </c>
      <c r="C106" s="117">
        <v>7263702820</v>
      </c>
      <c r="D106" s="115"/>
      <c r="E106" s="128">
        <v>1</v>
      </c>
      <c r="F106" s="117" t="s">
        <v>435</v>
      </c>
      <c r="G106" s="117" t="s">
        <v>460</v>
      </c>
      <c r="H106" s="117" t="s">
        <v>353</v>
      </c>
      <c r="I106" s="148" t="s">
        <v>354</v>
      </c>
      <c r="J106" s="117" t="s">
        <v>174</v>
      </c>
      <c r="K106" s="117" t="s">
        <v>39</v>
      </c>
      <c r="L106" s="120" t="s">
        <v>437</v>
      </c>
      <c r="M106" s="123">
        <v>1500000</v>
      </c>
      <c r="N106" s="127"/>
      <c r="O106" s="124">
        <v>2700000</v>
      </c>
      <c r="P106" s="124"/>
      <c r="Q106" s="124"/>
      <c r="R106" s="124"/>
      <c r="S106" s="124"/>
      <c r="T106" s="124">
        <f t="shared" si="4"/>
        <v>216000</v>
      </c>
      <c r="U106" s="150">
        <f t="shared" si="7"/>
        <v>4416000</v>
      </c>
      <c r="V106" s="117"/>
      <c r="W106" s="151" t="str">
        <f t="shared" si="5"/>
        <v xml:space="preserve">Cước vận chuyển Cát Lái - THỦ DẦU MỘT, BÌNH DƯƠNG cont: OOCU8019024 </v>
      </c>
    </row>
    <row r="107" spans="1:23" s="152" customFormat="1" ht="60" hidden="1" customHeight="1" x14ac:dyDescent="0.2">
      <c r="A107" s="122">
        <f t="shared" si="6"/>
        <v>91</v>
      </c>
      <c r="B107" s="147">
        <v>45964</v>
      </c>
      <c r="C107" s="117">
        <v>7263632461</v>
      </c>
      <c r="D107" s="115"/>
      <c r="E107" s="128">
        <v>1</v>
      </c>
      <c r="F107" s="117" t="s">
        <v>438</v>
      </c>
      <c r="G107" s="117" t="s">
        <v>455</v>
      </c>
      <c r="H107" s="117" t="s">
        <v>158</v>
      </c>
      <c r="I107" s="148" t="s">
        <v>632</v>
      </c>
      <c r="J107" s="117" t="s">
        <v>174</v>
      </c>
      <c r="K107" s="117" t="s">
        <v>39</v>
      </c>
      <c r="L107" s="120" t="s">
        <v>440</v>
      </c>
      <c r="M107" s="123">
        <v>1500000</v>
      </c>
      <c r="N107" s="127"/>
      <c r="O107" s="124">
        <v>5300000</v>
      </c>
      <c r="P107" s="124"/>
      <c r="Q107" s="124"/>
      <c r="R107" s="124"/>
      <c r="S107" s="124"/>
      <c r="T107" s="124">
        <f t="shared" si="4"/>
        <v>424000</v>
      </c>
      <c r="U107" s="150">
        <f t="shared" si="7"/>
        <v>7224000</v>
      </c>
      <c r="V107" s="117" t="s">
        <v>413</v>
      </c>
      <c r="W107" s="151" t="str">
        <f t="shared" si="5"/>
        <v xml:space="preserve">Cước vận chuyển Cát Lái - ĐỒNG PHÚ, BÌNH PHƯỚC cont: CSLU6335982 </v>
      </c>
    </row>
    <row r="108" spans="1:23" s="152" customFormat="1" ht="60" hidden="1" customHeight="1" x14ac:dyDescent="0.2">
      <c r="A108" s="122">
        <f t="shared" si="6"/>
        <v>92</v>
      </c>
      <c r="B108" s="147">
        <v>45964</v>
      </c>
      <c r="C108" s="117">
        <v>7263678330</v>
      </c>
      <c r="D108" s="115"/>
      <c r="E108" s="128">
        <v>1</v>
      </c>
      <c r="F108" s="117" t="s">
        <v>439</v>
      </c>
      <c r="G108" s="117" t="s">
        <v>197</v>
      </c>
      <c r="H108" s="117" t="s">
        <v>176</v>
      </c>
      <c r="I108" s="148" t="s">
        <v>226</v>
      </c>
      <c r="J108" s="117" t="s">
        <v>204</v>
      </c>
      <c r="K108" s="117" t="s">
        <v>39</v>
      </c>
      <c r="L108" s="120" t="s">
        <v>441</v>
      </c>
      <c r="M108" s="123">
        <v>1500000</v>
      </c>
      <c r="N108" s="127"/>
      <c r="O108" s="124">
        <v>4500000</v>
      </c>
      <c r="P108" s="124"/>
      <c r="Q108" s="124"/>
      <c r="R108" s="124"/>
      <c r="S108" s="124"/>
      <c r="T108" s="124">
        <f t="shared" si="4"/>
        <v>360000</v>
      </c>
      <c r="U108" s="150">
        <f t="shared" si="7"/>
        <v>6360000</v>
      </c>
      <c r="V108" s="117" t="s">
        <v>413</v>
      </c>
      <c r="W108" s="151" t="str">
        <f t="shared" si="5"/>
        <v xml:space="preserve">Cước vận chuyển Cát Lái - CHƠN THÀNH, BÌNH PHƯỚC cont: FFAU6032435 </v>
      </c>
    </row>
    <row r="109" spans="1:23" s="152" customFormat="1" ht="60" hidden="1" customHeight="1" x14ac:dyDescent="0.2">
      <c r="A109" s="122">
        <f t="shared" si="6"/>
        <v>93</v>
      </c>
      <c r="B109" s="153">
        <v>45964</v>
      </c>
      <c r="C109" s="205">
        <v>7263625870</v>
      </c>
      <c r="D109" s="155"/>
      <c r="E109" s="154">
        <v>1</v>
      </c>
      <c r="F109" s="205" t="s">
        <v>442</v>
      </c>
      <c r="G109" s="117" t="s">
        <v>459</v>
      </c>
      <c r="H109" s="205" t="s">
        <v>353</v>
      </c>
      <c r="I109" s="216" t="s">
        <v>354</v>
      </c>
      <c r="J109" s="205" t="s">
        <v>174</v>
      </c>
      <c r="K109" s="117" t="s">
        <v>39</v>
      </c>
      <c r="L109" s="120" t="s">
        <v>445</v>
      </c>
      <c r="M109" s="123">
        <v>1500000</v>
      </c>
      <c r="N109" s="127"/>
      <c r="O109" s="124">
        <v>2700000</v>
      </c>
      <c r="P109" s="124"/>
      <c r="Q109" s="124"/>
      <c r="R109" s="124"/>
      <c r="S109" s="124"/>
      <c r="T109" s="124">
        <f t="shared" si="4"/>
        <v>216000</v>
      </c>
      <c r="U109" s="150">
        <f t="shared" si="7"/>
        <v>4416000</v>
      </c>
      <c r="V109" s="117" t="s">
        <v>413</v>
      </c>
      <c r="W109" s="151" t="str">
        <f t="shared" si="5"/>
        <v xml:space="preserve">Cước vận chuyển Cát Lái - THỦ DẦU MỘT, BÌNH DƯƠNG cont: OOCU8613859 </v>
      </c>
    </row>
    <row r="110" spans="1:23" s="152" customFormat="1" ht="60" hidden="1" customHeight="1" x14ac:dyDescent="0.2">
      <c r="A110" s="122">
        <f t="shared" si="6"/>
        <v>94</v>
      </c>
      <c r="B110" s="147">
        <v>45964</v>
      </c>
      <c r="C110" s="117">
        <v>261260495</v>
      </c>
      <c r="D110" s="115"/>
      <c r="E110" s="128">
        <v>1</v>
      </c>
      <c r="F110" s="117" t="s">
        <v>443</v>
      </c>
      <c r="G110" s="117" t="s">
        <v>186</v>
      </c>
      <c r="H110" s="117" t="s">
        <v>158</v>
      </c>
      <c r="I110" s="148" t="s">
        <v>632</v>
      </c>
      <c r="J110" s="128" t="s">
        <v>444</v>
      </c>
      <c r="K110" s="212" t="s">
        <v>39</v>
      </c>
      <c r="L110" s="120" t="s">
        <v>446</v>
      </c>
      <c r="M110" s="123">
        <v>1450000</v>
      </c>
      <c r="N110" s="127"/>
      <c r="O110" s="124">
        <v>5300000</v>
      </c>
      <c r="P110" s="124"/>
      <c r="Q110" s="124"/>
      <c r="R110" s="124"/>
      <c r="S110" s="124"/>
      <c r="T110" s="124">
        <f t="shared" si="4"/>
        <v>424000</v>
      </c>
      <c r="U110" s="150">
        <f t="shared" si="7"/>
        <v>7174000</v>
      </c>
      <c r="V110" s="117" t="s">
        <v>413</v>
      </c>
      <c r="W110" s="151" t="str">
        <f t="shared" si="5"/>
        <v xml:space="preserve">Cước vận chuyển Cát Lái - ĐỒNG PHÚ, BÌNH PHƯỚC cont: CAAU8201850 </v>
      </c>
    </row>
    <row r="111" spans="1:23" s="152" customFormat="1" ht="60" hidden="1" customHeight="1" x14ac:dyDescent="0.2">
      <c r="A111" s="122">
        <f t="shared" si="6"/>
        <v>95</v>
      </c>
      <c r="B111" s="215">
        <v>45965</v>
      </c>
      <c r="C111" s="117" t="s">
        <v>447</v>
      </c>
      <c r="D111" s="115"/>
      <c r="E111" s="128">
        <v>1</v>
      </c>
      <c r="F111" s="117" t="s">
        <v>448</v>
      </c>
      <c r="G111" s="117" t="s">
        <v>191</v>
      </c>
      <c r="H111" s="117" t="s">
        <v>353</v>
      </c>
      <c r="I111" s="148" t="s">
        <v>354</v>
      </c>
      <c r="J111" s="117" t="s">
        <v>259</v>
      </c>
      <c r="K111" s="117" t="s">
        <v>39</v>
      </c>
      <c r="L111" s="120">
        <v>398267</v>
      </c>
      <c r="M111" s="123">
        <v>1500000</v>
      </c>
      <c r="N111" s="127"/>
      <c r="O111" s="124">
        <v>2700000</v>
      </c>
      <c r="P111" s="124"/>
      <c r="Q111" s="124"/>
      <c r="R111" s="124"/>
      <c r="S111" s="124"/>
      <c r="T111" s="124">
        <f t="shared" si="4"/>
        <v>216000</v>
      </c>
      <c r="U111" s="150">
        <f t="shared" si="7"/>
        <v>4416000</v>
      </c>
      <c r="V111" s="117"/>
      <c r="W111" s="151" t="str">
        <f t="shared" si="5"/>
        <v xml:space="preserve">Cước vận chuyển Cát Lái - THỦ DẦU MỘT, BÌNH DƯƠNG cont: TCNU3356074 </v>
      </c>
    </row>
    <row r="112" spans="1:23" s="152" customFormat="1" ht="60" hidden="1" customHeight="1" x14ac:dyDescent="0.2">
      <c r="A112" s="122">
        <f t="shared" si="6"/>
        <v>96</v>
      </c>
      <c r="B112" s="215">
        <v>45965</v>
      </c>
      <c r="C112" s="117" t="s">
        <v>447</v>
      </c>
      <c r="D112" s="115"/>
      <c r="E112" s="128">
        <v>1</v>
      </c>
      <c r="F112" s="128" t="s">
        <v>449</v>
      </c>
      <c r="G112" s="117" t="s">
        <v>185</v>
      </c>
      <c r="H112" s="117" t="s">
        <v>353</v>
      </c>
      <c r="I112" s="148" t="s">
        <v>354</v>
      </c>
      <c r="J112" s="117" t="s">
        <v>259</v>
      </c>
      <c r="K112" s="117" t="s">
        <v>39</v>
      </c>
      <c r="L112" s="120">
        <v>398342</v>
      </c>
      <c r="M112" s="123">
        <v>1500000</v>
      </c>
      <c r="N112" s="127"/>
      <c r="O112" s="124">
        <v>2700000</v>
      </c>
      <c r="P112" s="124"/>
      <c r="Q112" s="124"/>
      <c r="R112" s="124"/>
      <c r="S112" s="124"/>
      <c r="T112" s="124">
        <f t="shared" si="4"/>
        <v>216000</v>
      </c>
      <c r="U112" s="150">
        <f t="shared" si="7"/>
        <v>4416000</v>
      </c>
      <c r="V112" s="117" t="s">
        <v>413</v>
      </c>
      <c r="W112" s="151" t="str">
        <f t="shared" si="5"/>
        <v xml:space="preserve">Cước vận chuyển Cát Lái - THỦ DẦU MỘT, BÌNH DƯƠNG cont: SNBU8472527 </v>
      </c>
    </row>
    <row r="113" spans="1:23" s="152" customFormat="1" ht="60" hidden="1" customHeight="1" x14ac:dyDescent="0.2">
      <c r="A113" s="122">
        <f t="shared" si="6"/>
        <v>97</v>
      </c>
      <c r="B113" s="215">
        <v>45965</v>
      </c>
      <c r="C113" s="117" t="s">
        <v>447</v>
      </c>
      <c r="D113" s="200"/>
      <c r="E113" s="156">
        <v>1</v>
      </c>
      <c r="F113" s="117" t="s">
        <v>450</v>
      </c>
      <c r="G113" s="117" t="s">
        <v>193</v>
      </c>
      <c r="H113" s="117" t="s">
        <v>353</v>
      </c>
      <c r="I113" s="148" t="s">
        <v>354</v>
      </c>
      <c r="J113" s="117" t="s">
        <v>259</v>
      </c>
      <c r="K113" s="117" t="s">
        <v>39</v>
      </c>
      <c r="L113" s="120">
        <v>398434</v>
      </c>
      <c r="M113" s="123">
        <v>1500000</v>
      </c>
      <c r="N113" s="127"/>
      <c r="O113" s="124">
        <v>2700000</v>
      </c>
      <c r="P113" s="124"/>
      <c r="Q113" s="124"/>
      <c r="R113" s="124"/>
      <c r="S113" s="124"/>
      <c r="T113" s="124">
        <f t="shared" si="4"/>
        <v>216000</v>
      </c>
      <c r="U113" s="150">
        <f t="shared" si="7"/>
        <v>4416000</v>
      </c>
      <c r="V113" s="117" t="s">
        <v>413</v>
      </c>
      <c r="W113" s="151" t="str">
        <f t="shared" si="5"/>
        <v xml:space="preserve">Cước vận chuyển Cát Lái - THỦ DẦU MỘT, BÌNH DƯƠNG cont: SNBU8465549 </v>
      </c>
    </row>
    <row r="114" spans="1:23" s="152" customFormat="1" ht="60" hidden="1" customHeight="1" x14ac:dyDescent="0.2">
      <c r="A114" s="122">
        <f t="shared" si="6"/>
        <v>98</v>
      </c>
      <c r="B114" s="147">
        <v>45966</v>
      </c>
      <c r="C114" s="117">
        <v>258303573</v>
      </c>
      <c r="D114" s="115"/>
      <c r="E114" s="128">
        <v>1</v>
      </c>
      <c r="F114" s="117" t="s">
        <v>461</v>
      </c>
      <c r="G114" s="117" t="s">
        <v>200</v>
      </c>
      <c r="H114" s="117" t="s">
        <v>176</v>
      </c>
      <c r="I114" s="148" t="s">
        <v>226</v>
      </c>
      <c r="J114" s="128" t="s">
        <v>463</v>
      </c>
      <c r="K114" s="117" t="s">
        <v>462</v>
      </c>
      <c r="L114" s="120" t="s">
        <v>464</v>
      </c>
      <c r="M114" s="123">
        <v>1500000</v>
      </c>
      <c r="N114" s="127"/>
      <c r="O114" s="124">
        <v>4500000</v>
      </c>
      <c r="P114" s="124"/>
      <c r="Q114" s="124"/>
      <c r="R114" s="124"/>
      <c r="S114" s="124">
        <v>260000</v>
      </c>
      <c r="T114" s="124">
        <f t="shared" si="4"/>
        <v>360000</v>
      </c>
      <c r="U114" s="150">
        <f t="shared" si="7"/>
        <v>6620000</v>
      </c>
      <c r="V114" s="117" t="s">
        <v>413</v>
      </c>
      <c r="W114" s="151" t="str">
        <f t="shared" si="5"/>
        <v xml:space="preserve">Cước vận chuyển Cát Lái - CHƠN THÀNH, BÌNH PHƯỚC cont: MRSU7048846 </v>
      </c>
    </row>
    <row r="115" spans="1:23" s="152" customFormat="1" ht="60" hidden="1" customHeight="1" x14ac:dyDescent="0.2">
      <c r="A115" s="122">
        <f t="shared" si="6"/>
        <v>99</v>
      </c>
      <c r="B115" s="147">
        <v>45966</v>
      </c>
      <c r="C115" s="117">
        <v>7263119590</v>
      </c>
      <c r="D115" s="115"/>
      <c r="E115" s="128">
        <v>1</v>
      </c>
      <c r="F115" s="117" t="s">
        <v>465</v>
      </c>
      <c r="G115" s="117" t="s">
        <v>215</v>
      </c>
      <c r="H115" s="117" t="s">
        <v>353</v>
      </c>
      <c r="I115" s="148" t="s">
        <v>354</v>
      </c>
      <c r="J115" s="117" t="s">
        <v>174</v>
      </c>
      <c r="K115" s="117" t="s">
        <v>39</v>
      </c>
      <c r="L115" s="120" t="s">
        <v>470</v>
      </c>
      <c r="M115" s="123">
        <v>1500000</v>
      </c>
      <c r="N115" s="127"/>
      <c r="O115" s="124">
        <v>2700000</v>
      </c>
      <c r="P115" s="124"/>
      <c r="Q115" s="124"/>
      <c r="R115" s="124"/>
      <c r="S115" s="124"/>
      <c r="T115" s="124">
        <f t="shared" si="4"/>
        <v>216000</v>
      </c>
      <c r="U115" s="150">
        <f t="shared" si="7"/>
        <v>4416000</v>
      </c>
      <c r="V115" s="117" t="s">
        <v>413</v>
      </c>
      <c r="W115" s="151" t="str">
        <f t="shared" si="5"/>
        <v xml:space="preserve">Cước vận chuyển Cát Lái - THỦ DẦU MỘT, BÌNH DƯƠNG cont: OOCU7471256 </v>
      </c>
    </row>
    <row r="116" spans="1:23" s="152" customFormat="1" ht="60" hidden="1" customHeight="1" x14ac:dyDescent="0.2">
      <c r="A116" s="122">
        <f t="shared" si="6"/>
        <v>100</v>
      </c>
      <c r="B116" s="147">
        <v>45966</v>
      </c>
      <c r="C116" s="117">
        <v>7263119590</v>
      </c>
      <c r="D116" s="115"/>
      <c r="E116" s="128">
        <v>1</v>
      </c>
      <c r="F116" s="117" t="s">
        <v>466</v>
      </c>
      <c r="G116" s="128" t="s">
        <v>321</v>
      </c>
      <c r="H116" s="117" t="s">
        <v>353</v>
      </c>
      <c r="I116" s="148" t="s">
        <v>354</v>
      </c>
      <c r="J116" s="117" t="s">
        <v>174</v>
      </c>
      <c r="K116" s="117" t="s">
        <v>39</v>
      </c>
      <c r="L116" s="120" t="s">
        <v>471</v>
      </c>
      <c r="M116" s="123">
        <v>1500000</v>
      </c>
      <c r="N116" s="127"/>
      <c r="O116" s="124">
        <v>2700000</v>
      </c>
      <c r="P116" s="124"/>
      <c r="Q116" s="124"/>
      <c r="R116" s="124"/>
      <c r="S116" s="124"/>
      <c r="T116" s="124">
        <f t="shared" si="4"/>
        <v>216000</v>
      </c>
      <c r="U116" s="150">
        <f t="shared" si="7"/>
        <v>4416000</v>
      </c>
      <c r="V116" s="117" t="s">
        <v>413</v>
      </c>
      <c r="W116" s="151" t="str">
        <f t="shared" si="5"/>
        <v xml:space="preserve">Cước vận chuyển Cát Lái - THỦ DẦU MỘT, BÌNH DƯƠNG cont: TRHU4377286 </v>
      </c>
    </row>
    <row r="117" spans="1:23" s="152" customFormat="1" ht="60" hidden="1" customHeight="1" x14ac:dyDescent="0.2">
      <c r="A117" s="122">
        <f t="shared" si="6"/>
        <v>101</v>
      </c>
      <c r="B117" s="147">
        <v>45966</v>
      </c>
      <c r="C117" s="117">
        <v>7263119590</v>
      </c>
      <c r="D117" s="115"/>
      <c r="E117" s="128">
        <v>1</v>
      </c>
      <c r="F117" s="117" t="s">
        <v>467</v>
      </c>
      <c r="G117" s="117" t="s">
        <v>468</v>
      </c>
      <c r="H117" s="117" t="s">
        <v>353</v>
      </c>
      <c r="I117" s="148" t="s">
        <v>354</v>
      </c>
      <c r="J117" s="117" t="s">
        <v>174</v>
      </c>
      <c r="K117" s="117" t="s">
        <v>39</v>
      </c>
      <c r="L117" s="120" t="s">
        <v>472</v>
      </c>
      <c r="M117" s="123">
        <v>1500000</v>
      </c>
      <c r="N117" s="127"/>
      <c r="O117" s="124">
        <v>2700000</v>
      </c>
      <c r="P117" s="124"/>
      <c r="Q117" s="124"/>
      <c r="R117" s="124"/>
      <c r="S117" s="124"/>
      <c r="T117" s="124">
        <f t="shared" si="4"/>
        <v>216000</v>
      </c>
      <c r="U117" s="150">
        <f t="shared" si="7"/>
        <v>4416000</v>
      </c>
      <c r="V117" s="117"/>
      <c r="W117" s="151" t="str">
        <f t="shared" si="5"/>
        <v xml:space="preserve">Cước vận chuyển Cát Lái - THỦ DẦU MỘT, BÌNH DƯƠNG cont: TIIU6429419 </v>
      </c>
    </row>
    <row r="118" spans="1:23" s="152" customFormat="1" ht="60" hidden="1" customHeight="1" x14ac:dyDescent="0.2">
      <c r="A118" s="122">
        <f t="shared" si="6"/>
        <v>102</v>
      </c>
      <c r="B118" s="153">
        <v>45966</v>
      </c>
      <c r="C118" s="205">
        <v>7263119590</v>
      </c>
      <c r="D118" s="155"/>
      <c r="E118" s="154">
        <v>1</v>
      </c>
      <c r="F118" s="205" t="s">
        <v>469</v>
      </c>
      <c r="G118" s="205" t="s">
        <v>202</v>
      </c>
      <c r="H118" s="117" t="s">
        <v>353</v>
      </c>
      <c r="I118" s="148" t="s">
        <v>354</v>
      </c>
      <c r="J118" s="117" t="s">
        <v>174</v>
      </c>
      <c r="K118" s="117" t="s">
        <v>39</v>
      </c>
      <c r="L118" s="120" t="s">
        <v>473</v>
      </c>
      <c r="M118" s="123">
        <v>1500000</v>
      </c>
      <c r="N118" s="127"/>
      <c r="O118" s="124">
        <v>2700000</v>
      </c>
      <c r="P118" s="124"/>
      <c r="Q118" s="124"/>
      <c r="R118" s="124"/>
      <c r="S118" s="124"/>
      <c r="T118" s="124">
        <f t="shared" si="4"/>
        <v>216000</v>
      </c>
      <c r="U118" s="150">
        <f t="shared" si="7"/>
        <v>4416000</v>
      </c>
      <c r="V118" s="117"/>
      <c r="W118" s="151" t="str">
        <f t="shared" si="5"/>
        <v xml:space="preserve">Cước vận chuyển Cát Lái - THỦ DẦU MỘT, BÌNH DƯƠNG cont: TRHU4724699 </v>
      </c>
    </row>
    <row r="119" spans="1:23" s="152" customFormat="1" ht="60" hidden="1" customHeight="1" x14ac:dyDescent="0.2">
      <c r="A119" s="122">
        <f t="shared" si="6"/>
        <v>103</v>
      </c>
      <c r="B119" s="153">
        <v>45966</v>
      </c>
      <c r="C119" s="117" t="s">
        <v>784</v>
      </c>
      <c r="D119" s="155"/>
      <c r="E119" s="154">
        <v>1</v>
      </c>
      <c r="F119" s="205" t="s">
        <v>785</v>
      </c>
      <c r="G119" s="205" t="s">
        <v>419</v>
      </c>
      <c r="H119" s="219" t="s">
        <v>176</v>
      </c>
      <c r="I119" s="148" t="s">
        <v>226</v>
      </c>
      <c r="J119" s="196" t="s">
        <v>786</v>
      </c>
      <c r="K119" s="117" t="s">
        <v>39</v>
      </c>
      <c r="L119" s="120" t="s">
        <v>787</v>
      </c>
      <c r="M119" s="123">
        <v>1500000</v>
      </c>
      <c r="N119" s="127"/>
      <c r="O119" s="124">
        <v>4500000</v>
      </c>
      <c r="P119" s="124"/>
      <c r="Q119" s="124"/>
      <c r="R119" s="124"/>
      <c r="S119" s="124"/>
      <c r="T119" s="124">
        <f t="shared" si="4"/>
        <v>360000</v>
      </c>
      <c r="U119" s="150">
        <f t="shared" si="7"/>
        <v>6360000</v>
      </c>
      <c r="V119" s="117" t="s">
        <v>413</v>
      </c>
      <c r="W119" s="151" t="str">
        <f t="shared" si="5"/>
        <v xml:space="preserve">Cước vận chuyển Cát Lái - CHƠN THÀNH, BÌNH PHƯỚC cont: CSNU8492632 </v>
      </c>
    </row>
    <row r="120" spans="1:23" s="152" customFormat="1" ht="60" hidden="1" customHeight="1" x14ac:dyDescent="0.2">
      <c r="A120" s="122">
        <f t="shared" si="6"/>
        <v>104</v>
      </c>
      <c r="B120" s="147">
        <v>45967</v>
      </c>
      <c r="C120" s="128" t="s">
        <v>474</v>
      </c>
      <c r="D120" s="128"/>
      <c r="E120" s="128">
        <v>1</v>
      </c>
      <c r="F120" s="117" t="s">
        <v>475</v>
      </c>
      <c r="G120" s="117" t="s">
        <v>191</v>
      </c>
      <c r="H120" s="219" t="s">
        <v>282</v>
      </c>
      <c r="I120" s="122" t="s">
        <v>172</v>
      </c>
      <c r="J120" s="218" t="s">
        <v>39</v>
      </c>
      <c r="K120" s="117" t="s">
        <v>486</v>
      </c>
      <c r="L120" s="120" t="s">
        <v>487</v>
      </c>
      <c r="M120" s="123">
        <v>1500000</v>
      </c>
      <c r="N120" s="127"/>
      <c r="O120" s="124">
        <v>4500000</v>
      </c>
      <c r="P120" s="124"/>
      <c r="Q120" s="124"/>
      <c r="R120" s="124"/>
      <c r="S120" s="124"/>
      <c r="T120" s="124">
        <f t="shared" si="4"/>
        <v>360000</v>
      </c>
      <c r="U120" s="150">
        <f t="shared" si="7"/>
        <v>6360000</v>
      </c>
      <c r="V120" s="117" t="s">
        <v>413</v>
      </c>
      <c r="W120" s="151" t="str">
        <f t="shared" si="5"/>
        <v xml:space="preserve">Cước vận chuyển Cát Lái - XÃ CHƠN THÀNH, TỈNH ĐỒNG NAI cont: CMAU9579840 </v>
      </c>
    </row>
    <row r="121" spans="1:23" s="152" customFormat="1" ht="60" hidden="1" customHeight="1" x14ac:dyDescent="0.2">
      <c r="A121" s="122">
        <f t="shared" si="6"/>
        <v>105</v>
      </c>
      <c r="B121" s="147">
        <v>45967</v>
      </c>
      <c r="C121" s="128" t="s">
        <v>474</v>
      </c>
      <c r="D121" s="115"/>
      <c r="E121" s="128">
        <v>1</v>
      </c>
      <c r="F121" s="117" t="s">
        <v>476</v>
      </c>
      <c r="G121" s="128" t="s">
        <v>294</v>
      </c>
      <c r="H121" s="219" t="s">
        <v>282</v>
      </c>
      <c r="I121" s="122" t="s">
        <v>172</v>
      </c>
      <c r="J121" s="218" t="s">
        <v>39</v>
      </c>
      <c r="K121" s="117" t="s">
        <v>486</v>
      </c>
      <c r="L121" s="117">
        <v>401361</v>
      </c>
      <c r="M121" s="123">
        <v>1500000</v>
      </c>
      <c r="N121" s="127"/>
      <c r="O121" s="124">
        <v>4500000</v>
      </c>
      <c r="P121" s="124"/>
      <c r="Q121" s="124"/>
      <c r="R121" s="124"/>
      <c r="S121" s="124"/>
      <c r="T121" s="124">
        <f t="shared" si="4"/>
        <v>360000</v>
      </c>
      <c r="U121" s="150">
        <f t="shared" si="7"/>
        <v>6360000</v>
      </c>
      <c r="V121" s="117" t="s">
        <v>413</v>
      </c>
      <c r="W121" s="151" t="str">
        <f t="shared" si="5"/>
        <v xml:space="preserve">Cước vận chuyển Cát Lái - XÃ CHƠN THÀNH, TỈNH ĐỒNG NAI cont: TCNU4013038 </v>
      </c>
    </row>
    <row r="122" spans="1:23" s="152" customFormat="1" ht="60" hidden="1" customHeight="1" x14ac:dyDescent="0.2">
      <c r="A122" s="122">
        <f t="shared" si="6"/>
        <v>106</v>
      </c>
      <c r="B122" s="147">
        <v>45967</v>
      </c>
      <c r="C122" s="128" t="s">
        <v>474</v>
      </c>
      <c r="D122" s="115"/>
      <c r="E122" s="128">
        <v>1</v>
      </c>
      <c r="F122" s="117" t="s">
        <v>477</v>
      </c>
      <c r="G122" s="117" t="s">
        <v>460</v>
      </c>
      <c r="H122" s="219" t="s">
        <v>282</v>
      </c>
      <c r="I122" s="122" t="s">
        <v>172</v>
      </c>
      <c r="J122" s="218" t="s">
        <v>39</v>
      </c>
      <c r="K122" s="117" t="s">
        <v>486</v>
      </c>
      <c r="L122" s="120" t="s">
        <v>488</v>
      </c>
      <c r="M122" s="123">
        <v>1500000</v>
      </c>
      <c r="N122" s="127"/>
      <c r="O122" s="124">
        <v>4500000</v>
      </c>
      <c r="P122" s="124"/>
      <c r="Q122" s="124"/>
      <c r="R122" s="124"/>
      <c r="S122" s="124"/>
      <c r="T122" s="124">
        <f t="shared" si="4"/>
        <v>360000</v>
      </c>
      <c r="U122" s="150">
        <f t="shared" si="7"/>
        <v>6360000</v>
      </c>
      <c r="V122" s="117" t="s">
        <v>413</v>
      </c>
      <c r="W122" s="151" t="str">
        <f t="shared" si="5"/>
        <v xml:space="preserve">Cước vận chuyển Cát Lái - XÃ CHƠN THÀNH, TỈNH ĐỒNG NAI cont: HPCU4276327 </v>
      </c>
    </row>
    <row r="123" spans="1:23" s="152" customFormat="1" ht="60" hidden="1" customHeight="1" x14ac:dyDescent="0.2">
      <c r="A123" s="122">
        <f t="shared" si="6"/>
        <v>107</v>
      </c>
      <c r="B123" s="147">
        <v>45967</v>
      </c>
      <c r="C123" s="128" t="s">
        <v>474</v>
      </c>
      <c r="D123" s="115"/>
      <c r="E123" s="128">
        <v>1</v>
      </c>
      <c r="F123" s="117" t="s">
        <v>478</v>
      </c>
      <c r="G123" s="117" t="s">
        <v>294</v>
      </c>
      <c r="H123" s="219" t="s">
        <v>282</v>
      </c>
      <c r="I123" s="122" t="s">
        <v>172</v>
      </c>
      <c r="J123" s="218" t="s">
        <v>39</v>
      </c>
      <c r="K123" s="117" t="s">
        <v>486</v>
      </c>
      <c r="L123" s="117">
        <v>401876</v>
      </c>
      <c r="M123" s="123">
        <v>1500000</v>
      </c>
      <c r="N123" s="127"/>
      <c r="O123" s="124">
        <v>4500000</v>
      </c>
      <c r="P123" s="124"/>
      <c r="Q123" s="124"/>
      <c r="R123" s="124"/>
      <c r="S123" s="124"/>
      <c r="T123" s="124">
        <f t="shared" si="4"/>
        <v>360000</v>
      </c>
      <c r="U123" s="150">
        <f t="shared" si="7"/>
        <v>6360000</v>
      </c>
      <c r="V123" s="117" t="s">
        <v>413</v>
      </c>
      <c r="W123" s="151" t="str">
        <f t="shared" si="5"/>
        <v xml:space="preserve">Cước vận chuyển Cát Lái - XÃ CHƠN THÀNH, TỈNH ĐỒNG NAI cont: TCLU6561711 </v>
      </c>
    </row>
    <row r="124" spans="1:23" s="152" customFormat="1" ht="60" hidden="1" customHeight="1" x14ac:dyDescent="0.2">
      <c r="A124" s="122">
        <f t="shared" si="6"/>
        <v>108</v>
      </c>
      <c r="B124" s="147">
        <v>45967</v>
      </c>
      <c r="C124" s="128" t="s">
        <v>474</v>
      </c>
      <c r="D124" s="115"/>
      <c r="E124" s="128">
        <v>1</v>
      </c>
      <c r="F124" s="117" t="s">
        <v>479</v>
      </c>
      <c r="G124" s="117" t="s">
        <v>273</v>
      </c>
      <c r="H124" s="219" t="s">
        <v>282</v>
      </c>
      <c r="I124" s="122" t="s">
        <v>172</v>
      </c>
      <c r="J124" s="218" t="s">
        <v>39</v>
      </c>
      <c r="K124" s="117" t="s">
        <v>486</v>
      </c>
      <c r="L124" s="117">
        <v>402792</v>
      </c>
      <c r="M124" s="123">
        <v>1500000</v>
      </c>
      <c r="N124" s="127"/>
      <c r="O124" s="124">
        <v>4500000</v>
      </c>
      <c r="P124" s="124"/>
      <c r="Q124" s="124"/>
      <c r="R124" s="124"/>
      <c r="S124" s="124"/>
      <c r="T124" s="124">
        <f t="shared" si="4"/>
        <v>360000</v>
      </c>
      <c r="U124" s="150">
        <f t="shared" si="7"/>
        <v>6360000</v>
      </c>
      <c r="V124" s="117" t="s">
        <v>413</v>
      </c>
      <c r="W124" s="151" t="str">
        <f t="shared" si="5"/>
        <v xml:space="preserve">Cước vận chuyển Cát Lái - XÃ CHƠN THÀNH, TỈNH ĐỒNG NAI cont: TCLU5084018 </v>
      </c>
    </row>
    <row r="125" spans="1:23" s="152" customFormat="1" ht="60" hidden="1" customHeight="1" x14ac:dyDescent="0.2">
      <c r="A125" s="122">
        <f t="shared" si="6"/>
        <v>109</v>
      </c>
      <c r="B125" s="147">
        <v>45967</v>
      </c>
      <c r="C125" s="128" t="s">
        <v>474</v>
      </c>
      <c r="D125" s="115"/>
      <c r="E125" s="128">
        <v>1</v>
      </c>
      <c r="F125" s="117" t="s">
        <v>480</v>
      </c>
      <c r="G125" s="117" t="s">
        <v>194</v>
      </c>
      <c r="H125" s="219" t="s">
        <v>282</v>
      </c>
      <c r="I125" s="122" t="s">
        <v>172</v>
      </c>
      <c r="J125" s="218" t="s">
        <v>39</v>
      </c>
      <c r="K125" s="117" t="s">
        <v>486</v>
      </c>
      <c r="L125" s="120">
        <v>401872</v>
      </c>
      <c r="M125" s="123">
        <v>1500000</v>
      </c>
      <c r="N125" s="127"/>
      <c r="O125" s="124">
        <v>4500000</v>
      </c>
      <c r="P125" s="124"/>
      <c r="Q125" s="124"/>
      <c r="R125" s="124"/>
      <c r="S125" s="124"/>
      <c r="T125" s="124">
        <f t="shared" si="4"/>
        <v>360000</v>
      </c>
      <c r="U125" s="150">
        <f t="shared" si="7"/>
        <v>6360000</v>
      </c>
      <c r="V125" s="117" t="s">
        <v>413</v>
      </c>
      <c r="W125" s="151" t="str">
        <f t="shared" si="5"/>
        <v xml:space="preserve">Cước vận chuyển Cát Lái - XÃ CHƠN THÀNH, TỈNH ĐỒNG NAI cont: CMAU9383456 </v>
      </c>
    </row>
    <row r="126" spans="1:23" s="152" customFormat="1" ht="60" hidden="1" customHeight="1" x14ac:dyDescent="0.2">
      <c r="A126" s="122">
        <f t="shared" si="6"/>
        <v>110</v>
      </c>
      <c r="B126" s="147">
        <v>45967</v>
      </c>
      <c r="C126" s="128" t="s">
        <v>474</v>
      </c>
      <c r="D126" s="115"/>
      <c r="E126" s="128">
        <v>1</v>
      </c>
      <c r="F126" s="117" t="s">
        <v>481</v>
      </c>
      <c r="G126" s="117" t="s">
        <v>881</v>
      </c>
      <c r="H126" s="219" t="s">
        <v>282</v>
      </c>
      <c r="I126" s="122" t="s">
        <v>172</v>
      </c>
      <c r="J126" s="218" t="s">
        <v>39</v>
      </c>
      <c r="K126" s="117" t="s">
        <v>486</v>
      </c>
      <c r="L126" s="120">
        <v>7449</v>
      </c>
      <c r="M126" s="123">
        <v>1500000</v>
      </c>
      <c r="N126" s="127"/>
      <c r="O126" s="124">
        <v>4500000</v>
      </c>
      <c r="P126" s="124"/>
      <c r="Q126" s="124"/>
      <c r="R126" s="124"/>
      <c r="S126" s="124"/>
      <c r="T126" s="124">
        <f t="shared" si="4"/>
        <v>360000</v>
      </c>
      <c r="U126" s="150">
        <f t="shared" si="7"/>
        <v>6360000</v>
      </c>
      <c r="V126" s="117" t="s">
        <v>413</v>
      </c>
      <c r="W126" s="151" t="str">
        <f t="shared" si="5"/>
        <v xml:space="preserve">Cước vận chuyển Cát Lái - XÃ CHƠN THÀNH, TỈNH ĐỒNG NAI cont: SEKU5633129 </v>
      </c>
    </row>
    <row r="127" spans="1:23" s="152" customFormat="1" ht="60" hidden="1" customHeight="1" x14ac:dyDescent="0.2">
      <c r="A127" s="122">
        <f t="shared" si="6"/>
        <v>111</v>
      </c>
      <c r="B127" s="147">
        <v>45967</v>
      </c>
      <c r="C127" s="128" t="s">
        <v>474</v>
      </c>
      <c r="D127" s="115"/>
      <c r="E127" s="128">
        <v>1</v>
      </c>
      <c r="F127" s="117" t="s">
        <v>482</v>
      </c>
      <c r="G127" s="117" t="s">
        <v>190</v>
      </c>
      <c r="H127" s="219" t="s">
        <v>282</v>
      </c>
      <c r="I127" s="122" t="s">
        <v>172</v>
      </c>
      <c r="J127" s="218" t="s">
        <v>39</v>
      </c>
      <c r="K127" s="117" t="s">
        <v>486</v>
      </c>
      <c r="L127" s="117">
        <v>401609</v>
      </c>
      <c r="M127" s="123">
        <v>1500000</v>
      </c>
      <c r="N127" s="127"/>
      <c r="O127" s="124">
        <v>4500000</v>
      </c>
      <c r="P127" s="124"/>
      <c r="Q127" s="124"/>
      <c r="R127" s="124"/>
      <c r="S127" s="124"/>
      <c r="T127" s="124">
        <f t="shared" si="4"/>
        <v>360000</v>
      </c>
      <c r="U127" s="150">
        <f t="shared" si="7"/>
        <v>6360000</v>
      </c>
      <c r="V127" s="117" t="s">
        <v>413</v>
      </c>
      <c r="W127" s="151" t="str">
        <f t="shared" si="5"/>
        <v xml:space="preserve">Cước vận chuyển Cát Lái - XÃ CHƠN THÀNH, TỈNH ĐỒNG NAI cont: CMAU9287869 </v>
      </c>
    </row>
    <row r="128" spans="1:23" s="152" customFormat="1" ht="60" hidden="1" customHeight="1" x14ac:dyDescent="0.2">
      <c r="A128" s="122">
        <f t="shared" si="6"/>
        <v>112</v>
      </c>
      <c r="B128" s="147">
        <v>45967</v>
      </c>
      <c r="C128" s="128" t="s">
        <v>474</v>
      </c>
      <c r="D128" s="115"/>
      <c r="E128" s="128">
        <v>1</v>
      </c>
      <c r="F128" s="117" t="s">
        <v>483</v>
      </c>
      <c r="G128" s="117" t="s">
        <v>882</v>
      </c>
      <c r="H128" s="219" t="s">
        <v>282</v>
      </c>
      <c r="I128" s="122" t="s">
        <v>172</v>
      </c>
      <c r="J128" s="218" t="s">
        <v>39</v>
      </c>
      <c r="K128" s="117" t="s">
        <v>486</v>
      </c>
      <c r="L128" s="117">
        <v>401839</v>
      </c>
      <c r="M128" s="123">
        <v>1500000</v>
      </c>
      <c r="N128" s="127"/>
      <c r="O128" s="124">
        <v>4500000</v>
      </c>
      <c r="P128" s="124"/>
      <c r="Q128" s="124"/>
      <c r="R128" s="124"/>
      <c r="S128" s="124"/>
      <c r="T128" s="124">
        <f t="shared" si="4"/>
        <v>360000</v>
      </c>
      <c r="U128" s="150">
        <f t="shared" si="7"/>
        <v>6360000</v>
      </c>
      <c r="V128" s="117" t="s">
        <v>413</v>
      </c>
      <c r="W128" s="151" t="str">
        <f t="shared" si="5"/>
        <v xml:space="preserve">Cước vận chuyển Cát Lái - XÃ CHƠN THÀNH, TỈNH ĐỒNG NAI cont: SEKU6592997 </v>
      </c>
    </row>
    <row r="129" spans="1:23" s="152" customFormat="1" ht="60" hidden="1" customHeight="1" x14ac:dyDescent="0.2">
      <c r="A129" s="122">
        <f t="shared" si="6"/>
        <v>113</v>
      </c>
      <c r="B129" s="147">
        <v>45967</v>
      </c>
      <c r="C129" s="196" t="s">
        <v>489</v>
      </c>
      <c r="D129" s="200"/>
      <c r="E129" s="208">
        <v>1</v>
      </c>
      <c r="F129" s="117" t="s">
        <v>490</v>
      </c>
      <c r="G129" s="117" t="s">
        <v>459</v>
      </c>
      <c r="H129" s="212" t="s">
        <v>353</v>
      </c>
      <c r="I129" s="148" t="s">
        <v>354</v>
      </c>
      <c r="J129" s="128" t="s">
        <v>444</v>
      </c>
      <c r="K129" s="117" t="s">
        <v>39</v>
      </c>
      <c r="L129" s="120" t="s">
        <v>496</v>
      </c>
      <c r="M129" s="123">
        <v>1450000</v>
      </c>
      <c r="N129" s="127"/>
      <c r="O129" s="124">
        <v>2700000</v>
      </c>
      <c r="P129" s="124"/>
      <c r="Q129" s="124"/>
      <c r="R129" s="124"/>
      <c r="S129" s="124"/>
      <c r="T129" s="124">
        <f t="shared" si="4"/>
        <v>216000</v>
      </c>
      <c r="U129" s="150">
        <f t="shared" si="7"/>
        <v>4366000</v>
      </c>
      <c r="V129" s="117" t="s">
        <v>413</v>
      </c>
      <c r="W129" s="151" t="str">
        <f t="shared" si="5"/>
        <v xml:space="preserve">Cước vận chuyển Cát Lái - THỦ DẦU MỘT, BÌNH DƯƠNG cont: TCNU3824489 </v>
      </c>
    </row>
    <row r="130" spans="1:23" s="152" customFormat="1" ht="60" hidden="1" customHeight="1" x14ac:dyDescent="0.2">
      <c r="A130" s="122">
        <f t="shared" si="6"/>
        <v>114</v>
      </c>
      <c r="B130" s="147">
        <v>45967</v>
      </c>
      <c r="C130" s="196" t="s">
        <v>489</v>
      </c>
      <c r="D130" s="200"/>
      <c r="E130" s="208">
        <v>1</v>
      </c>
      <c r="F130" s="117" t="s">
        <v>491</v>
      </c>
      <c r="G130" s="117" t="s">
        <v>187</v>
      </c>
      <c r="H130" s="212" t="s">
        <v>353</v>
      </c>
      <c r="I130" s="148" t="s">
        <v>354</v>
      </c>
      <c r="J130" s="117" t="s">
        <v>494</v>
      </c>
      <c r="K130" s="117" t="s">
        <v>39</v>
      </c>
      <c r="L130" s="120" t="s">
        <v>497</v>
      </c>
      <c r="M130" s="123">
        <v>1500000</v>
      </c>
      <c r="N130" s="127"/>
      <c r="O130" s="124">
        <v>2700000</v>
      </c>
      <c r="P130" s="124"/>
      <c r="Q130" s="124"/>
      <c r="R130" s="124"/>
      <c r="S130" s="124"/>
      <c r="T130" s="124">
        <f t="shared" si="4"/>
        <v>216000</v>
      </c>
      <c r="U130" s="150">
        <f t="shared" si="7"/>
        <v>4416000</v>
      </c>
      <c r="V130" s="117" t="s">
        <v>413</v>
      </c>
      <c r="W130" s="151" t="str">
        <f t="shared" si="5"/>
        <v xml:space="preserve">Cước vận chuyển Cát Lái - THỦ DẦU MỘT, BÌNH DƯƠNG cont: HASU4385150 </v>
      </c>
    </row>
    <row r="131" spans="1:23" s="152" customFormat="1" ht="60" hidden="1" customHeight="1" x14ac:dyDescent="0.2">
      <c r="A131" s="122">
        <f t="shared" si="6"/>
        <v>115</v>
      </c>
      <c r="B131" s="147">
        <v>45967</v>
      </c>
      <c r="C131" s="196" t="s">
        <v>489</v>
      </c>
      <c r="D131" s="200"/>
      <c r="E131" s="208">
        <v>1</v>
      </c>
      <c r="F131" s="117" t="s">
        <v>492</v>
      </c>
      <c r="G131" s="117" t="s">
        <v>454</v>
      </c>
      <c r="H131" s="212" t="s">
        <v>353</v>
      </c>
      <c r="I131" s="148" t="s">
        <v>354</v>
      </c>
      <c r="J131" s="128" t="s">
        <v>444</v>
      </c>
      <c r="K131" s="117" t="s">
        <v>39</v>
      </c>
      <c r="L131" s="120" t="s">
        <v>495</v>
      </c>
      <c r="M131" s="123">
        <v>1350000</v>
      </c>
      <c r="N131" s="127"/>
      <c r="O131" s="124">
        <v>2700000</v>
      </c>
      <c r="P131" s="124"/>
      <c r="Q131" s="124"/>
      <c r="R131" s="124"/>
      <c r="S131" s="124"/>
      <c r="T131" s="124">
        <f t="shared" si="4"/>
        <v>216000</v>
      </c>
      <c r="U131" s="150">
        <f t="shared" si="7"/>
        <v>4266000</v>
      </c>
      <c r="V131" s="117" t="s">
        <v>413</v>
      </c>
      <c r="W131" s="151" t="str">
        <f t="shared" si="5"/>
        <v xml:space="preserve">Cước vận chuyển Cát Lái - THỦ DẦU MỘT, BÌNH DƯƠNG cont: MTSU9634963 </v>
      </c>
    </row>
    <row r="132" spans="1:23" s="152" customFormat="1" ht="60" hidden="1" customHeight="1" x14ac:dyDescent="0.2">
      <c r="A132" s="122">
        <f t="shared" si="6"/>
        <v>116</v>
      </c>
      <c r="B132" s="153">
        <v>45967</v>
      </c>
      <c r="C132" s="196" t="s">
        <v>489</v>
      </c>
      <c r="D132" s="202"/>
      <c r="E132" s="222">
        <v>1</v>
      </c>
      <c r="F132" s="154" t="s">
        <v>493</v>
      </c>
      <c r="G132" s="117" t="s">
        <v>460</v>
      </c>
      <c r="H132" s="223" t="s">
        <v>353</v>
      </c>
      <c r="I132" s="216" t="s">
        <v>354</v>
      </c>
      <c r="J132" s="154" t="s">
        <v>444</v>
      </c>
      <c r="K132" s="205" t="s">
        <v>39</v>
      </c>
      <c r="L132" s="120" t="s">
        <v>498</v>
      </c>
      <c r="M132" s="123">
        <v>1450000</v>
      </c>
      <c r="N132" s="127"/>
      <c r="O132" s="124">
        <v>2700000</v>
      </c>
      <c r="P132" s="124"/>
      <c r="Q132" s="124"/>
      <c r="R132" s="124"/>
      <c r="S132" s="124"/>
      <c r="T132" s="124">
        <f t="shared" si="4"/>
        <v>216000</v>
      </c>
      <c r="U132" s="150">
        <f t="shared" si="7"/>
        <v>4366000</v>
      </c>
      <c r="V132" s="117" t="s">
        <v>413</v>
      </c>
      <c r="W132" s="151" t="str">
        <f t="shared" si="5"/>
        <v xml:space="preserve">Cước vận chuyển Cát Lái - THỦ DẦU MỘT, BÌNH DƯƠNG cont: MRKU3948425 </v>
      </c>
    </row>
    <row r="133" spans="1:23" s="152" customFormat="1" ht="60" hidden="1" customHeight="1" x14ac:dyDescent="0.2">
      <c r="A133" s="122">
        <f t="shared" si="6"/>
        <v>117</v>
      </c>
      <c r="B133" s="147">
        <v>45967</v>
      </c>
      <c r="C133" s="128" t="s">
        <v>474</v>
      </c>
      <c r="D133" s="202"/>
      <c r="E133" s="128">
        <v>1</v>
      </c>
      <c r="F133" s="154" t="s">
        <v>485</v>
      </c>
      <c r="G133" s="117" t="s">
        <v>458</v>
      </c>
      <c r="H133" s="223" t="s">
        <v>874</v>
      </c>
      <c r="I133" s="122" t="s">
        <v>172</v>
      </c>
      <c r="J133" s="218" t="s">
        <v>39</v>
      </c>
      <c r="K133" s="117" t="s">
        <v>486</v>
      </c>
      <c r="L133" s="120" t="s">
        <v>788</v>
      </c>
      <c r="M133" s="123">
        <v>1500000</v>
      </c>
      <c r="N133" s="127"/>
      <c r="O133" s="124">
        <v>4500000</v>
      </c>
      <c r="P133" s="124"/>
      <c r="Q133" s="124"/>
      <c r="R133" s="124"/>
      <c r="S133" s="124"/>
      <c r="T133" s="124">
        <f t="shared" si="4"/>
        <v>360000</v>
      </c>
      <c r="U133" s="150">
        <f t="shared" si="7"/>
        <v>6360000</v>
      </c>
      <c r="V133" s="117"/>
      <c r="W133" s="151" t="str">
        <f t="shared" si="5"/>
        <v xml:space="preserve">Cước vận chuyển Cát Lái - XÃ CHƠN THÀNH, TỈNH ĐỒNG NAI cont: MAGU5349366 </v>
      </c>
    </row>
    <row r="134" spans="1:23" s="152" customFormat="1" ht="60" hidden="1" customHeight="1" x14ac:dyDescent="0.2">
      <c r="A134" s="122">
        <f t="shared" si="6"/>
        <v>118</v>
      </c>
      <c r="B134" s="147">
        <v>45968</v>
      </c>
      <c r="C134" s="117" t="s">
        <v>474</v>
      </c>
      <c r="D134" s="115"/>
      <c r="E134" s="128">
        <v>1</v>
      </c>
      <c r="F134" s="117" t="s">
        <v>499</v>
      </c>
      <c r="G134" s="117" t="s">
        <v>182</v>
      </c>
      <c r="H134" s="212" t="s">
        <v>282</v>
      </c>
      <c r="I134" s="122" t="s">
        <v>172</v>
      </c>
      <c r="J134" s="128" t="s">
        <v>39</v>
      </c>
      <c r="K134" s="117" t="s">
        <v>486</v>
      </c>
      <c r="L134" s="120" t="s">
        <v>506</v>
      </c>
      <c r="M134" s="123">
        <v>1500000</v>
      </c>
      <c r="N134" s="127"/>
      <c r="O134" s="124">
        <v>4500000</v>
      </c>
      <c r="P134" s="124"/>
      <c r="Q134" s="124"/>
      <c r="R134" s="124"/>
      <c r="S134" s="124"/>
      <c r="T134" s="124">
        <f t="shared" si="4"/>
        <v>360000</v>
      </c>
      <c r="U134" s="150">
        <f t="shared" si="7"/>
        <v>6360000</v>
      </c>
      <c r="V134" s="117" t="s">
        <v>413</v>
      </c>
      <c r="W134" s="151" t="str">
        <f t="shared" si="5"/>
        <v xml:space="preserve">Cước vận chuyển Cát Lái - XÃ CHƠN THÀNH, TỈNH ĐỒNG NAI cont: UETU7809658 </v>
      </c>
    </row>
    <row r="135" spans="1:23" s="152" customFormat="1" ht="60" hidden="1" customHeight="1" x14ac:dyDescent="0.2">
      <c r="A135" s="122">
        <f t="shared" si="6"/>
        <v>119</v>
      </c>
      <c r="B135" s="147">
        <v>45968</v>
      </c>
      <c r="C135" s="117" t="s">
        <v>474</v>
      </c>
      <c r="D135" s="115"/>
      <c r="E135" s="128">
        <v>1</v>
      </c>
      <c r="F135" s="117" t="s">
        <v>500</v>
      </c>
      <c r="G135" s="117" t="s">
        <v>455</v>
      </c>
      <c r="H135" s="212" t="s">
        <v>282</v>
      </c>
      <c r="I135" s="122" t="s">
        <v>172</v>
      </c>
      <c r="J135" s="128" t="s">
        <v>39</v>
      </c>
      <c r="K135" s="117" t="s">
        <v>486</v>
      </c>
      <c r="L135" s="117">
        <v>403510</v>
      </c>
      <c r="M135" s="123">
        <v>1500000</v>
      </c>
      <c r="N135" s="127"/>
      <c r="O135" s="124">
        <v>4500000</v>
      </c>
      <c r="P135" s="124"/>
      <c r="Q135" s="124"/>
      <c r="R135" s="124"/>
      <c r="S135" s="124"/>
      <c r="T135" s="124">
        <f t="shared" si="4"/>
        <v>360000</v>
      </c>
      <c r="U135" s="150">
        <f t="shared" si="7"/>
        <v>6360000</v>
      </c>
      <c r="V135" s="117"/>
      <c r="W135" s="151" t="str">
        <f t="shared" si="5"/>
        <v xml:space="preserve">Cước vận chuyển Cát Lái - XÃ CHƠN THÀNH, TỈNH ĐỒNG NAI cont: TCNU4133141 </v>
      </c>
    </row>
    <row r="136" spans="1:23" s="152" customFormat="1" ht="60" hidden="1" customHeight="1" x14ac:dyDescent="0.2">
      <c r="A136" s="122">
        <f t="shared" si="6"/>
        <v>120</v>
      </c>
      <c r="B136" s="147">
        <v>45968</v>
      </c>
      <c r="C136" s="117" t="s">
        <v>474</v>
      </c>
      <c r="D136" s="115"/>
      <c r="E136" s="128">
        <v>1</v>
      </c>
      <c r="F136" s="117" t="s">
        <v>501</v>
      </c>
      <c r="G136" s="117" t="s">
        <v>193</v>
      </c>
      <c r="H136" s="212" t="s">
        <v>282</v>
      </c>
      <c r="I136" s="122" t="s">
        <v>172</v>
      </c>
      <c r="J136" s="128" t="s">
        <v>39</v>
      </c>
      <c r="K136" s="117" t="s">
        <v>486</v>
      </c>
      <c r="L136" s="120">
        <v>12012</v>
      </c>
      <c r="M136" s="123">
        <v>1500000</v>
      </c>
      <c r="N136" s="127"/>
      <c r="O136" s="124">
        <v>4500000</v>
      </c>
      <c r="P136" s="124"/>
      <c r="Q136" s="124"/>
      <c r="R136" s="124"/>
      <c r="S136" s="124"/>
      <c r="T136" s="124">
        <f t="shared" si="4"/>
        <v>360000</v>
      </c>
      <c r="U136" s="150">
        <f t="shared" si="7"/>
        <v>6360000</v>
      </c>
      <c r="V136" s="117" t="s">
        <v>413</v>
      </c>
      <c r="W136" s="151" t="str">
        <f t="shared" si="5"/>
        <v xml:space="preserve">Cước vận chuyển Cát Lái - XÃ CHƠN THÀNH, TỈNH ĐỒNG NAI cont: TIIU6225879 </v>
      </c>
    </row>
    <row r="137" spans="1:23" s="152" customFormat="1" ht="60" hidden="1" customHeight="1" x14ac:dyDescent="0.2">
      <c r="A137" s="122">
        <f t="shared" si="6"/>
        <v>121</v>
      </c>
      <c r="B137" s="147">
        <v>45968</v>
      </c>
      <c r="C137" s="117" t="s">
        <v>474</v>
      </c>
      <c r="D137" s="115"/>
      <c r="E137" s="128">
        <v>1</v>
      </c>
      <c r="F137" s="117" t="s">
        <v>502</v>
      </c>
      <c r="G137" s="117" t="s">
        <v>188</v>
      </c>
      <c r="H137" s="212" t="s">
        <v>282</v>
      </c>
      <c r="I137" s="122" t="s">
        <v>172</v>
      </c>
      <c r="J137" s="128" t="s">
        <v>39</v>
      </c>
      <c r="K137" s="117" t="s">
        <v>486</v>
      </c>
      <c r="L137" s="120">
        <v>12029</v>
      </c>
      <c r="M137" s="123">
        <v>1500000</v>
      </c>
      <c r="N137" s="127"/>
      <c r="O137" s="124">
        <v>4500000</v>
      </c>
      <c r="P137" s="124"/>
      <c r="Q137" s="124"/>
      <c r="R137" s="124"/>
      <c r="S137" s="124"/>
      <c r="T137" s="124">
        <f t="shared" si="4"/>
        <v>360000</v>
      </c>
      <c r="U137" s="150">
        <f t="shared" si="7"/>
        <v>6360000</v>
      </c>
      <c r="V137" s="117"/>
      <c r="W137" s="151" t="str">
        <f t="shared" si="5"/>
        <v xml:space="preserve">Cước vận chuyển Cát Lái - XÃ CHƠN THÀNH, TỈNH ĐỒNG NAI cont: TCNU4292992 </v>
      </c>
    </row>
    <row r="138" spans="1:23" s="152" customFormat="1" ht="60" hidden="1" customHeight="1" x14ac:dyDescent="0.2">
      <c r="A138" s="122">
        <f t="shared" si="6"/>
        <v>122</v>
      </c>
      <c r="B138" s="147">
        <v>45968</v>
      </c>
      <c r="C138" s="117" t="s">
        <v>474</v>
      </c>
      <c r="D138" s="115"/>
      <c r="E138" s="128">
        <v>1</v>
      </c>
      <c r="F138" s="128" t="s">
        <v>503</v>
      </c>
      <c r="G138" s="117" t="s">
        <v>196</v>
      </c>
      <c r="H138" s="212" t="s">
        <v>282</v>
      </c>
      <c r="I138" s="122" t="s">
        <v>172</v>
      </c>
      <c r="J138" s="128" t="s">
        <v>39</v>
      </c>
      <c r="K138" s="117" t="s">
        <v>486</v>
      </c>
      <c r="L138" s="120" t="s">
        <v>505</v>
      </c>
      <c r="M138" s="123">
        <v>1500000</v>
      </c>
      <c r="N138" s="127"/>
      <c r="O138" s="124">
        <v>4500000</v>
      </c>
      <c r="P138" s="124"/>
      <c r="Q138" s="124"/>
      <c r="R138" s="124"/>
      <c r="S138" s="124"/>
      <c r="T138" s="124">
        <f t="shared" si="4"/>
        <v>360000</v>
      </c>
      <c r="U138" s="150">
        <f t="shared" si="7"/>
        <v>6360000</v>
      </c>
      <c r="V138" s="117" t="s">
        <v>413</v>
      </c>
      <c r="W138" s="151" t="str">
        <f t="shared" si="5"/>
        <v xml:space="preserve">Cước vận chuyển Cát Lái - XÃ CHƠN THÀNH, TỈNH ĐỒNG NAI cont: TLLU4399235 </v>
      </c>
    </row>
    <row r="139" spans="1:23" s="152" customFormat="1" ht="60" hidden="1" customHeight="1" x14ac:dyDescent="0.2">
      <c r="A139" s="122">
        <f t="shared" si="6"/>
        <v>123</v>
      </c>
      <c r="B139" s="147">
        <v>45968</v>
      </c>
      <c r="C139" s="117" t="s">
        <v>474</v>
      </c>
      <c r="D139" s="115"/>
      <c r="E139" s="128">
        <v>1</v>
      </c>
      <c r="F139" s="117" t="s">
        <v>504</v>
      </c>
      <c r="G139" s="117" t="s">
        <v>197</v>
      </c>
      <c r="H139" s="212" t="s">
        <v>282</v>
      </c>
      <c r="I139" s="122" t="s">
        <v>172</v>
      </c>
      <c r="J139" s="128" t="s">
        <v>39</v>
      </c>
      <c r="K139" s="117" t="s">
        <v>486</v>
      </c>
      <c r="L139" s="117">
        <v>403454</v>
      </c>
      <c r="M139" s="123">
        <v>1500000</v>
      </c>
      <c r="N139" s="127"/>
      <c r="O139" s="124">
        <v>4500000</v>
      </c>
      <c r="P139" s="124"/>
      <c r="Q139" s="124"/>
      <c r="R139" s="124"/>
      <c r="S139" s="124"/>
      <c r="T139" s="124">
        <f t="shared" si="4"/>
        <v>360000</v>
      </c>
      <c r="U139" s="150">
        <f t="shared" si="7"/>
        <v>6360000</v>
      </c>
      <c r="V139" s="117" t="s">
        <v>413</v>
      </c>
      <c r="W139" s="151" t="str">
        <f t="shared" si="5"/>
        <v xml:space="preserve">Cước vận chuyển Cát Lái - XÃ CHƠN THÀNH, TỈNH ĐỒNG NAI cont: TGBU6815109 </v>
      </c>
    </row>
    <row r="140" spans="1:23" s="152" customFormat="1" ht="60" hidden="1" customHeight="1" x14ac:dyDescent="0.2">
      <c r="A140" s="122">
        <f t="shared" si="6"/>
        <v>124</v>
      </c>
      <c r="B140" s="215">
        <v>45969</v>
      </c>
      <c r="C140" s="117">
        <v>261611944</v>
      </c>
      <c r="D140" s="115"/>
      <c r="E140" s="128">
        <v>1</v>
      </c>
      <c r="F140" s="117" t="s">
        <v>507</v>
      </c>
      <c r="G140" s="117" t="s">
        <v>196</v>
      </c>
      <c r="H140" s="212" t="s">
        <v>353</v>
      </c>
      <c r="I140" s="148" t="s">
        <v>354</v>
      </c>
      <c r="J140" s="117" t="s">
        <v>300</v>
      </c>
      <c r="K140" s="128" t="s">
        <v>39</v>
      </c>
      <c r="L140" s="120" t="s">
        <v>550</v>
      </c>
      <c r="M140" s="123">
        <v>1450000</v>
      </c>
      <c r="N140" s="127"/>
      <c r="O140" s="124">
        <v>2700000</v>
      </c>
      <c r="P140" s="124"/>
      <c r="Q140" s="124"/>
      <c r="R140" s="124"/>
      <c r="S140" s="124"/>
      <c r="T140" s="124">
        <f t="shared" si="4"/>
        <v>216000</v>
      </c>
      <c r="U140" s="150">
        <f t="shared" si="7"/>
        <v>4366000</v>
      </c>
      <c r="V140" s="117" t="s">
        <v>413</v>
      </c>
      <c r="W140" s="151" t="str">
        <f t="shared" si="5"/>
        <v xml:space="preserve">Cước vận chuyển Cát Lái - THỦ DẦU MỘT, BÌNH DƯƠNG cont: HASU4359274 </v>
      </c>
    </row>
    <row r="141" spans="1:23" s="152" customFormat="1" ht="60" hidden="1" customHeight="1" x14ac:dyDescent="0.2">
      <c r="A141" s="122">
        <f t="shared" si="6"/>
        <v>125</v>
      </c>
      <c r="B141" s="215">
        <v>45969</v>
      </c>
      <c r="C141" s="117">
        <v>261611944</v>
      </c>
      <c r="D141" s="115"/>
      <c r="E141" s="128">
        <v>1</v>
      </c>
      <c r="F141" s="128" t="s">
        <v>508</v>
      </c>
      <c r="G141" s="117" t="s">
        <v>455</v>
      </c>
      <c r="H141" s="212" t="s">
        <v>353</v>
      </c>
      <c r="I141" s="148" t="s">
        <v>354</v>
      </c>
      <c r="J141" s="117" t="s">
        <v>300</v>
      </c>
      <c r="K141" s="128" t="s">
        <v>39</v>
      </c>
      <c r="L141" s="120" t="s">
        <v>683</v>
      </c>
      <c r="M141" s="123">
        <v>1450000</v>
      </c>
      <c r="N141" s="127"/>
      <c r="O141" s="124">
        <v>2700000</v>
      </c>
      <c r="P141" s="124"/>
      <c r="Q141" s="124"/>
      <c r="R141" s="124"/>
      <c r="S141" s="124"/>
      <c r="T141" s="124">
        <f t="shared" si="4"/>
        <v>216000</v>
      </c>
      <c r="U141" s="150">
        <f t="shared" si="7"/>
        <v>4366000</v>
      </c>
      <c r="V141" s="117"/>
      <c r="W141" s="151" t="str">
        <f t="shared" si="5"/>
        <v xml:space="preserve">Cước vận chuyển Cát Lái - THỦ DẦU MỘT, BÌNH DƯƠNG cont: MRKU6191850 </v>
      </c>
    </row>
    <row r="142" spans="1:23" s="152" customFormat="1" ht="60" hidden="1" customHeight="1" x14ac:dyDescent="0.2">
      <c r="A142" s="122">
        <f t="shared" si="6"/>
        <v>126</v>
      </c>
      <c r="B142" s="215">
        <v>45969</v>
      </c>
      <c r="C142" s="117">
        <v>261611944</v>
      </c>
      <c r="D142" s="115"/>
      <c r="E142" s="128">
        <v>1</v>
      </c>
      <c r="F142" s="117" t="s">
        <v>509</v>
      </c>
      <c r="G142" s="117" t="s">
        <v>194</v>
      </c>
      <c r="H142" s="212" t="s">
        <v>353</v>
      </c>
      <c r="I142" s="148" t="s">
        <v>354</v>
      </c>
      <c r="J142" s="117" t="s">
        <v>300</v>
      </c>
      <c r="K142" s="128" t="s">
        <v>39</v>
      </c>
      <c r="L142" s="120" t="s">
        <v>519</v>
      </c>
      <c r="M142" s="123">
        <v>1500000</v>
      </c>
      <c r="N142" s="127"/>
      <c r="O142" s="124">
        <v>2700000</v>
      </c>
      <c r="P142" s="124"/>
      <c r="Q142" s="124"/>
      <c r="R142" s="124"/>
      <c r="S142" s="124"/>
      <c r="T142" s="124">
        <f t="shared" si="4"/>
        <v>216000</v>
      </c>
      <c r="U142" s="150">
        <f t="shared" si="7"/>
        <v>4416000</v>
      </c>
      <c r="V142" s="117" t="s">
        <v>413</v>
      </c>
      <c r="W142" s="151" t="str">
        <f t="shared" si="5"/>
        <v xml:space="preserve">Cước vận chuyển Cát Lái - THỦ DẦU MỘT, BÌNH DƯƠNG cont: MRSU3378557 </v>
      </c>
    </row>
    <row r="143" spans="1:23" s="152" customFormat="1" ht="60" hidden="1" customHeight="1" x14ac:dyDescent="0.2">
      <c r="A143" s="122">
        <f t="shared" si="6"/>
        <v>127</v>
      </c>
      <c r="B143" s="215">
        <v>45969</v>
      </c>
      <c r="C143" s="117">
        <v>261611944</v>
      </c>
      <c r="D143" s="115"/>
      <c r="E143" s="128">
        <v>1</v>
      </c>
      <c r="F143" s="117" t="s">
        <v>510</v>
      </c>
      <c r="G143" s="117" t="s">
        <v>187</v>
      </c>
      <c r="H143" s="212" t="s">
        <v>353</v>
      </c>
      <c r="I143" s="148" t="s">
        <v>354</v>
      </c>
      <c r="J143" s="117" t="s">
        <v>300</v>
      </c>
      <c r="K143" s="128" t="s">
        <v>39</v>
      </c>
      <c r="L143" s="117">
        <v>125033</v>
      </c>
      <c r="M143" s="123">
        <v>1450000</v>
      </c>
      <c r="N143" s="127"/>
      <c r="O143" s="124">
        <v>2700000</v>
      </c>
      <c r="P143" s="124"/>
      <c r="Q143" s="124"/>
      <c r="R143" s="124"/>
      <c r="S143" s="124"/>
      <c r="T143" s="124">
        <f t="shared" si="4"/>
        <v>216000</v>
      </c>
      <c r="U143" s="150">
        <f t="shared" si="7"/>
        <v>4366000</v>
      </c>
      <c r="V143" s="117"/>
      <c r="W143" s="151" t="str">
        <f t="shared" si="5"/>
        <v xml:space="preserve">Cước vận chuyển Cát Lái - THỦ DẦU MỘT, BÌNH DƯƠNG cont: MRKU2449838 </v>
      </c>
    </row>
    <row r="144" spans="1:23" s="152" customFormat="1" ht="60" hidden="1" customHeight="1" x14ac:dyDescent="0.2">
      <c r="A144" s="122">
        <f t="shared" si="6"/>
        <v>128</v>
      </c>
      <c r="B144" s="215">
        <v>45969</v>
      </c>
      <c r="C144" s="117">
        <v>261611944</v>
      </c>
      <c r="D144" s="115"/>
      <c r="E144" s="128">
        <v>1</v>
      </c>
      <c r="F144" s="117" t="s">
        <v>511</v>
      </c>
      <c r="G144" s="117" t="s">
        <v>188</v>
      </c>
      <c r="H144" s="212" t="s">
        <v>353</v>
      </c>
      <c r="I144" s="148" t="s">
        <v>354</v>
      </c>
      <c r="J144" s="117" t="s">
        <v>300</v>
      </c>
      <c r="K144" s="128" t="s">
        <v>39</v>
      </c>
      <c r="L144" s="120" t="s">
        <v>516</v>
      </c>
      <c r="M144" s="123">
        <v>1450000</v>
      </c>
      <c r="N144" s="127"/>
      <c r="O144" s="124">
        <v>2700000</v>
      </c>
      <c r="P144" s="124"/>
      <c r="Q144" s="124"/>
      <c r="R144" s="124"/>
      <c r="S144" s="124"/>
      <c r="T144" s="124">
        <f t="shared" si="4"/>
        <v>216000</v>
      </c>
      <c r="U144" s="150">
        <f t="shared" si="7"/>
        <v>4366000</v>
      </c>
      <c r="V144" s="117" t="s">
        <v>413</v>
      </c>
      <c r="W144" s="151" t="str">
        <f t="shared" si="5"/>
        <v xml:space="preserve">Cước vận chuyển Cát Lái - THỦ DẦU MỘT, BÌNH DƯƠNG cont: MSKU9089000 </v>
      </c>
    </row>
    <row r="145" spans="1:23" s="152" customFormat="1" ht="60" hidden="1" customHeight="1" x14ac:dyDescent="0.2">
      <c r="A145" s="122">
        <f t="shared" si="6"/>
        <v>129</v>
      </c>
      <c r="B145" s="215">
        <v>45969</v>
      </c>
      <c r="C145" s="117">
        <v>261611944</v>
      </c>
      <c r="D145" s="115"/>
      <c r="E145" s="128">
        <v>1</v>
      </c>
      <c r="F145" s="128" t="s">
        <v>512</v>
      </c>
      <c r="G145" s="117" t="s">
        <v>193</v>
      </c>
      <c r="H145" s="212" t="s">
        <v>353</v>
      </c>
      <c r="I145" s="148" t="s">
        <v>354</v>
      </c>
      <c r="J145" s="117" t="s">
        <v>300</v>
      </c>
      <c r="K145" s="128" t="s">
        <v>39</v>
      </c>
      <c r="L145" s="120" t="s">
        <v>521</v>
      </c>
      <c r="M145" s="123">
        <v>1450000</v>
      </c>
      <c r="N145" s="127"/>
      <c r="O145" s="124">
        <v>2700000</v>
      </c>
      <c r="P145" s="124"/>
      <c r="Q145" s="124"/>
      <c r="R145" s="124"/>
      <c r="S145" s="124"/>
      <c r="T145" s="124">
        <f t="shared" ref="T145:T207" si="8">O145*0.08</f>
        <v>216000</v>
      </c>
      <c r="U145" s="150">
        <f t="shared" si="7"/>
        <v>4366000</v>
      </c>
      <c r="V145" s="117" t="s">
        <v>413</v>
      </c>
      <c r="W145" s="151" t="str">
        <f t="shared" ref="W145:W208" si="9">"Cước vận chuyển Cát Lái - "&amp;I145&amp;" cont: "&amp;F145&amp;" "</f>
        <v xml:space="preserve">Cước vận chuyển Cát Lái - THỦ DẦU MỘT, BÌNH DƯƠNG cont: MRKU4417906 </v>
      </c>
    </row>
    <row r="146" spans="1:23" s="152" customFormat="1" ht="60" hidden="1" customHeight="1" x14ac:dyDescent="0.2">
      <c r="A146" s="122">
        <f t="shared" ref="A146:A208" si="10">ROW()-16</f>
        <v>130</v>
      </c>
      <c r="B146" s="215">
        <v>45969</v>
      </c>
      <c r="C146" s="117">
        <v>261611944</v>
      </c>
      <c r="D146" s="115"/>
      <c r="E146" s="128">
        <v>1</v>
      </c>
      <c r="F146" s="117" t="s">
        <v>513</v>
      </c>
      <c r="G146" s="117" t="s">
        <v>454</v>
      </c>
      <c r="H146" s="212" t="s">
        <v>353</v>
      </c>
      <c r="I146" s="148" t="s">
        <v>354</v>
      </c>
      <c r="J146" s="117" t="s">
        <v>300</v>
      </c>
      <c r="K146" s="128" t="s">
        <v>39</v>
      </c>
      <c r="L146" s="120" t="s">
        <v>517</v>
      </c>
      <c r="M146" s="123">
        <v>1450000</v>
      </c>
      <c r="N146" s="127"/>
      <c r="O146" s="124">
        <v>2700000</v>
      </c>
      <c r="P146" s="124"/>
      <c r="Q146" s="124"/>
      <c r="R146" s="124"/>
      <c r="S146" s="124"/>
      <c r="T146" s="124">
        <f t="shared" si="8"/>
        <v>216000</v>
      </c>
      <c r="U146" s="150">
        <f t="shared" ref="U146:U208" si="11">T146+S146+Q146+O146+M146+N146</f>
        <v>4366000</v>
      </c>
      <c r="V146" s="117" t="s">
        <v>413</v>
      </c>
      <c r="W146" s="151" t="str">
        <f t="shared" si="9"/>
        <v xml:space="preserve">Cước vận chuyển Cát Lái - THỦ DẦU MỘT, BÌNH DƯƠNG cont: TCLU8786656 </v>
      </c>
    </row>
    <row r="147" spans="1:23" s="152" customFormat="1" ht="60" hidden="1" customHeight="1" x14ac:dyDescent="0.2">
      <c r="A147" s="122">
        <f t="shared" si="10"/>
        <v>131</v>
      </c>
      <c r="B147" s="215">
        <v>45969</v>
      </c>
      <c r="C147" s="117">
        <v>261611944</v>
      </c>
      <c r="D147" s="115"/>
      <c r="E147" s="128">
        <v>1</v>
      </c>
      <c r="F147" s="117" t="s">
        <v>514</v>
      </c>
      <c r="G147" s="117" t="s">
        <v>191</v>
      </c>
      <c r="H147" s="212" t="s">
        <v>353</v>
      </c>
      <c r="I147" s="148" t="s">
        <v>354</v>
      </c>
      <c r="J147" s="117" t="s">
        <v>300</v>
      </c>
      <c r="K147" s="128" t="s">
        <v>39</v>
      </c>
      <c r="L147" s="120" t="s">
        <v>518</v>
      </c>
      <c r="M147" s="123">
        <v>1500000</v>
      </c>
      <c r="N147" s="127"/>
      <c r="O147" s="124">
        <v>2700000</v>
      </c>
      <c r="P147" s="124"/>
      <c r="Q147" s="124"/>
      <c r="R147" s="124"/>
      <c r="S147" s="124"/>
      <c r="T147" s="124">
        <f t="shared" si="8"/>
        <v>216000</v>
      </c>
      <c r="U147" s="150">
        <f t="shared" si="11"/>
        <v>4416000</v>
      </c>
      <c r="V147" s="117" t="s">
        <v>413</v>
      </c>
      <c r="W147" s="151" t="str">
        <f t="shared" si="9"/>
        <v xml:space="preserve">Cước vận chuyển Cát Lái - THỦ DẦU MỘT, BÌNH DƯƠNG cont: MRSU4649524 </v>
      </c>
    </row>
    <row r="148" spans="1:23" s="152" customFormat="1" ht="60" hidden="1" customHeight="1" x14ac:dyDescent="0.2">
      <c r="A148" s="122">
        <f t="shared" si="10"/>
        <v>132</v>
      </c>
      <c r="B148" s="215">
        <v>45969</v>
      </c>
      <c r="C148" s="117">
        <v>261611944</v>
      </c>
      <c r="D148" s="115"/>
      <c r="E148" s="128">
        <v>1</v>
      </c>
      <c r="F148" s="117" t="s">
        <v>520</v>
      </c>
      <c r="G148" s="117" t="s">
        <v>196</v>
      </c>
      <c r="H148" s="212" t="s">
        <v>353</v>
      </c>
      <c r="I148" s="148" t="s">
        <v>354</v>
      </c>
      <c r="J148" s="117" t="s">
        <v>300</v>
      </c>
      <c r="K148" s="128" t="s">
        <v>39</v>
      </c>
      <c r="L148" s="195" t="s">
        <v>684</v>
      </c>
      <c r="M148" s="123">
        <f>1450000+453600</f>
        <v>1903600</v>
      </c>
      <c r="N148" s="127"/>
      <c r="O148" s="124">
        <v>2700000</v>
      </c>
      <c r="P148" s="124"/>
      <c r="Q148" s="124"/>
      <c r="R148" s="124"/>
      <c r="S148" s="124"/>
      <c r="T148" s="124">
        <f t="shared" si="8"/>
        <v>216000</v>
      </c>
      <c r="U148" s="150">
        <f t="shared" si="11"/>
        <v>4819600</v>
      </c>
      <c r="V148" s="117" t="s">
        <v>413</v>
      </c>
      <c r="W148" s="151" t="str">
        <f t="shared" si="9"/>
        <v xml:space="preserve">Cước vận chuyển Cát Lái - THỦ DẦU MỘT, BÌNH DƯƠNG cont: MSKU0512595 </v>
      </c>
    </row>
    <row r="149" spans="1:23" s="152" customFormat="1" ht="60" hidden="1" customHeight="1" x14ac:dyDescent="0.2">
      <c r="A149" s="122">
        <f t="shared" si="10"/>
        <v>133</v>
      </c>
      <c r="B149" s="215">
        <v>45969</v>
      </c>
      <c r="C149" s="117">
        <v>261611944</v>
      </c>
      <c r="D149" s="115"/>
      <c r="E149" s="128">
        <v>1</v>
      </c>
      <c r="F149" s="117" t="s">
        <v>515</v>
      </c>
      <c r="G149" s="117" t="s">
        <v>193</v>
      </c>
      <c r="H149" s="212" t="s">
        <v>353</v>
      </c>
      <c r="I149" s="148" t="s">
        <v>354</v>
      </c>
      <c r="J149" s="117" t="s">
        <v>300</v>
      </c>
      <c r="K149" s="128" t="s">
        <v>39</v>
      </c>
      <c r="L149" s="195" t="s">
        <v>549</v>
      </c>
      <c r="M149" s="123">
        <f>1500000+453600</f>
        <v>1953600</v>
      </c>
      <c r="N149" s="127"/>
      <c r="O149" s="124">
        <v>2700000</v>
      </c>
      <c r="P149" s="124"/>
      <c r="Q149" s="124"/>
      <c r="R149" s="124"/>
      <c r="S149" s="124"/>
      <c r="T149" s="124">
        <f t="shared" si="8"/>
        <v>216000</v>
      </c>
      <c r="U149" s="150">
        <f t="shared" si="11"/>
        <v>4869600</v>
      </c>
      <c r="V149" s="117" t="s">
        <v>413</v>
      </c>
      <c r="W149" s="151" t="str">
        <f t="shared" si="9"/>
        <v xml:space="preserve">Cước vận chuyển Cát Lái - THỦ DẦU MỘT, BÌNH DƯƠNG cont: HASU4568166 </v>
      </c>
    </row>
    <row r="150" spans="1:23" s="152" customFormat="1" ht="60" hidden="1" customHeight="1" x14ac:dyDescent="0.2">
      <c r="A150" s="122">
        <f t="shared" si="10"/>
        <v>134</v>
      </c>
      <c r="B150" s="215">
        <v>45969</v>
      </c>
      <c r="C150" s="117" t="s">
        <v>555</v>
      </c>
      <c r="D150" s="115"/>
      <c r="E150" s="128">
        <v>1</v>
      </c>
      <c r="F150" s="117" t="s">
        <v>556</v>
      </c>
      <c r="G150" s="117" t="s">
        <v>455</v>
      </c>
      <c r="H150" s="212" t="s">
        <v>282</v>
      </c>
      <c r="I150" s="122" t="s">
        <v>172</v>
      </c>
      <c r="J150" s="117" t="s">
        <v>39</v>
      </c>
      <c r="K150" s="117" t="s">
        <v>486</v>
      </c>
      <c r="L150" s="195">
        <v>12094</v>
      </c>
      <c r="M150" s="123">
        <v>1500000</v>
      </c>
      <c r="N150" s="127"/>
      <c r="O150" s="124">
        <v>4500000</v>
      </c>
      <c r="P150" s="124"/>
      <c r="Q150" s="124"/>
      <c r="R150" s="124"/>
      <c r="S150" s="124"/>
      <c r="T150" s="124">
        <f t="shared" si="8"/>
        <v>360000</v>
      </c>
      <c r="U150" s="150">
        <f t="shared" si="11"/>
        <v>6360000</v>
      </c>
      <c r="V150" s="117"/>
      <c r="W150" s="151" t="str">
        <f t="shared" si="9"/>
        <v xml:space="preserve">Cước vận chuyển Cát Lái - XÃ CHƠN THÀNH, TỈNH ĐỒNG NAI cont: TGHU6347231 </v>
      </c>
    </row>
    <row r="151" spans="1:23" s="152" customFormat="1" ht="60" hidden="1" customHeight="1" x14ac:dyDescent="0.2">
      <c r="A151" s="122">
        <f t="shared" si="10"/>
        <v>135</v>
      </c>
      <c r="B151" s="215">
        <v>45969</v>
      </c>
      <c r="C151" s="117" t="s">
        <v>555</v>
      </c>
      <c r="D151" s="115"/>
      <c r="E151" s="128">
        <v>1</v>
      </c>
      <c r="F151" s="117" t="s">
        <v>557</v>
      </c>
      <c r="G151" s="117" t="s">
        <v>187</v>
      </c>
      <c r="H151" s="212" t="s">
        <v>282</v>
      </c>
      <c r="I151" s="122" t="s">
        <v>172</v>
      </c>
      <c r="J151" s="117" t="s">
        <v>39</v>
      </c>
      <c r="K151" s="117" t="s">
        <v>486</v>
      </c>
      <c r="L151" s="195" t="s">
        <v>561</v>
      </c>
      <c r="M151" s="123">
        <v>1500000</v>
      </c>
      <c r="N151" s="127"/>
      <c r="O151" s="124">
        <v>4500000</v>
      </c>
      <c r="P151" s="124"/>
      <c r="Q151" s="124"/>
      <c r="R151" s="124"/>
      <c r="S151" s="124"/>
      <c r="T151" s="124">
        <f t="shared" si="8"/>
        <v>360000</v>
      </c>
      <c r="U151" s="150">
        <f t="shared" si="11"/>
        <v>6360000</v>
      </c>
      <c r="V151" s="117" t="s">
        <v>413</v>
      </c>
      <c r="W151" s="151" t="str">
        <f t="shared" si="9"/>
        <v xml:space="preserve">Cước vận chuyển Cát Lái - XÃ CHƠN THÀNH, TỈNH ĐỒNG NAI cont: CMAU9581111 </v>
      </c>
    </row>
    <row r="152" spans="1:23" s="152" customFormat="1" ht="60" hidden="1" customHeight="1" x14ac:dyDescent="0.2">
      <c r="A152" s="122">
        <f t="shared" si="10"/>
        <v>136</v>
      </c>
      <c r="B152" s="215">
        <v>45969</v>
      </c>
      <c r="C152" s="117" t="s">
        <v>555</v>
      </c>
      <c r="D152" s="115"/>
      <c r="E152" s="128">
        <v>1</v>
      </c>
      <c r="F152" s="117" t="s">
        <v>558</v>
      </c>
      <c r="G152" s="117" t="s">
        <v>189</v>
      </c>
      <c r="H152" s="212" t="s">
        <v>282</v>
      </c>
      <c r="I152" s="122" t="s">
        <v>172</v>
      </c>
      <c r="J152" s="117" t="s">
        <v>39</v>
      </c>
      <c r="K152" s="117" t="s">
        <v>486</v>
      </c>
      <c r="L152" s="195">
        <v>7548</v>
      </c>
      <c r="M152" s="123">
        <v>1500000</v>
      </c>
      <c r="N152" s="127"/>
      <c r="O152" s="124">
        <v>4500000</v>
      </c>
      <c r="P152" s="124"/>
      <c r="Q152" s="124"/>
      <c r="R152" s="124"/>
      <c r="S152" s="124"/>
      <c r="T152" s="124">
        <f t="shared" si="8"/>
        <v>360000</v>
      </c>
      <c r="U152" s="150">
        <f t="shared" si="11"/>
        <v>6360000</v>
      </c>
      <c r="V152" s="117"/>
      <c r="W152" s="151" t="str">
        <f t="shared" si="9"/>
        <v xml:space="preserve">Cước vận chuyển Cát Lái - XÃ CHƠN THÀNH, TỈNH ĐỒNG NAI cont: CAAU6344701 </v>
      </c>
    </row>
    <row r="153" spans="1:23" s="152" customFormat="1" ht="60" hidden="1" customHeight="1" x14ac:dyDescent="0.2">
      <c r="A153" s="122">
        <f t="shared" si="10"/>
        <v>137</v>
      </c>
      <c r="B153" s="215">
        <v>45969</v>
      </c>
      <c r="C153" s="117" t="s">
        <v>555</v>
      </c>
      <c r="D153" s="115"/>
      <c r="E153" s="128">
        <v>1</v>
      </c>
      <c r="F153" s="117" t="s">
        <v>559</v>
      </c>
      <c r="G153" s="117" t="s">
        <v>190</v>
      </c>
      <c r="H153" s="212" t="s">
        <v>282</v>
      </c>
      <c r="I153" s="122" t="s">
        <v>172</v>
      </c>
      <c r="J153" s="117" t="s">
        <v>39</v>
      </c>
      <c r="K153" s="117" t="s">
        <v>486</v>
      </c>
      <c r="L153" s="195">
        <v>405060</v>
      </c>
      <c r="M153" s="123">
        <v>1500000</v>
      </c>
      <c r="N153" s="127"/>
      <c r="O153" s="124">
        <v>4500000</v>
      </c>
      <c r="P153" s="124"/>
      <c r="Q153" s="124"/>
      <c r="R153" s="124"/>
      <c r="S153" s="124"/>
      <c r="T153" s="124">
        <f t="shared" si="8"/>
        <v>360000</v>
      </c>
      <c r="U153" s="150">
        <f t="shared" si="11"/>
        <v>6360000</v>
      </c>
      <c r="V153" s="117" t="s">
        <v>413</v>
      </c>
      <c r="W153" s="151" t="str">
        <f t="shared" si="9"/>
        <v xml:space="preserve">Cước vận chuyển Cát Lái - XÃ CHƠN THÀNH, TỈNH ĐỒNG NAI cont: TCLU6531888 </v>
      </c>
    </row>
    <row r="154" spans="1:23" s="152" customFormat="1" ht="60" hidden="1" customHeight="1" x14ac:dyDescent="0.2">
      <c r="A154" s="122">
        <f t="shared" si="10"/>
        <v>138</v>
      </c>
      <c r="B154" s="215">
        <v>45969</v>
      </c>
      <c r="C154" s="117" t="s">
        <v>555</v>
      </c>
      <c r="D154" s="115"/>
      <c r="E154" s="128">
        <v>1</v>
      </c>
      <c r="F154" s="117" t="s">
        <v>560</v>
      </c>
      <c r="G154" s="117" t="s">
        <v>454</v>
      </c>
      <c r="H154" s="212" t="s">
        <v>282</v>
      </c>
      <c r="I154" s="122" t="s">
        <v>172</v>
      </c>
      <c r="J154" s="117" t="s">
        <v>39</v>
      </c>
      <c r="K154" s="117" t="s">
        <v>486</v>
      </c>
      <c r="L154" s="195">
        <v>405181</v>
      </c>
      <c r="M154" s="123">
        <v>1500000</v>
      </c>
      <c r="N154" s="127"/>
      <c r="O154" s="124">
        <v>4500000</v>
      </c>
      <c r="P154" s="124"/>
      <c r="Q154" s="124"/>
      <c r="R154" s="124"/>
      <c r="S154" s="124"/>
      <c r="T154" s="124">
        <f t="shared" si="8"/>
        <v>360000</v>
      </c>
      <c r="U154" s="150">
        <f t="shared" si="11"/>
        <v>6360000</v>
      </c>
      <c r="V154" s="117" t="s">
        <v>413</v>
      </c>
      <c r="W154" s="151" t="str">
        <f t="shared" si="9"/>
        <v xml:space="preserve">Cước vận chuyển Cát Lái - XÃ CHƠN THÀNH, TỈNH ĐỒNG NAI cont: MAGU5465617 </v>
      </c>
    </row>
    <row r="155" spans="1:23" s="152" customFormat="1" ht="60" hidden="1" customHeight="1" x14ac:dyDescent="0.2">
      <c r="A155" s="122">
        <f t="shared" si="10"/>
        <v>139</v>
      </c>
      <c r="B155" s="215">
        <v>45970</v>
      </c>
      <c r="C155" s="117">
        <v>261614090</v>
      </c>
      <c r="D155" s="115"/>
      <c r="E155" s="128">
        <v>1</v>
      </c>
      <c r="F155" s="117" t="s">
        <v>522</v>
      </c>
      <c r="G155" s="117" t="s">
        <v>189</v>
      </c>
      <c r="H155" s="212" t="s">
        <v>353</v>
      </c>
      <c r="I155" s="148" t="s">
        <v>354</v>
      </c>
      <c r="J155" s="117" t="s">
        <v>300</v>
      </c>
      <c r="K155" s="128" t="s">
        <v>39</v>
      </c>
      <c r="L155" s="120" t="s">
        <v>526</v>
      </c>
      <c r="M155" s="123">
        <v>1500000</v>
      </c>
      <c r="N155" s="127"/>
      <c r="O155" s="124">
        <v>2700000</v>
      </c>
      <c r="P155" s="124"/>
      <c r="Q155" s="124"/>
      <c r="R155" s="124"/>
      <c r="S155" s="124"/>
      <c r="T155" s="124">
        <f t="shared" si="8"/>
        <v>216000</v>
      </c>
      <c r="U155" s="150">
        <f t="shared" si="11"/>
        <v>4416000</v>
      </c>
      <c r="V155" s="117" t="s">
        <v>413</v>
      </c>
      <c r="W155" s="151" t="str">
        <f t="shared" si="9"/>
        <v xml:space="preserve">Cước vận chuyển Cát Lái - THỦ DẦU MỘT, BÌNH DƯƠNG cont: TRHU5208784 </v>
      </c>
    </row>
    <row r="156" spans="1:23" s="152" customFormat="1" ht="60" hidden="1" customHeight="1" x14ac:dyDescent="0.2">
      <c r="A156" s="122">
        <f t="shared" si="10"/>
        <v>140</v>
      </c>
      <c r="B156" s="215">
        <v>45970</v>
      </c>
      <c r="C156" s="117">
        <v>261614090</v>
      </c>
      <c r="D156" s="115"/>
      <c r="E156" s="128">
        <v>1</v>
      </c>
      <c r="F156" s="117" t="s">
        <v>523</v>
      </c>
      <c r="G156" s="117" t="s">
        <v>193</v>
      </c>
      <c r="H156" s="212" t="s">
        <v>353</v>
      </c>
      <c r="I156" s="148" t="s">
        <v>354</v>
      </c>
      <c r="J156" s="117" t="s">
        <v>300</v>
      </c>
      <c r="K156" s="128" t="s">
        <v>39</v>
      </c>
      <c r="L156" s="120" t="s">
        <v>525</v>
      </c>
      <c r="M156" s="123">
        <v>1450000</v>
      </c>
      <c r="N156" s="127"/>
      <c r="O156" s="124">
        <v>2700000</v>
      </c>
      <c r="P156" s="124"/>
      <c r="Q156" s="124"/>
      <c r="R156" s="124"/>
      <c r="S156" s="124"/>
      <c r="T156" s="124">
        <f t="shared" si="8"/>
        <v>216000</v>
      </c>
      <c r="U156" s="150">
        <f t="shared" si="11"/>
        <v>4366000</v>
      </c>
      <c r="V156" s="117" t="s">
        <v>413</v>
      </c>
      <c r="W156" s="151" t="str">
        <f t="shared" si="9"/>
        <v xml:space="preserve">Cước vận chuyển Cát Lái - THỦ DẦU MỘT, BÌNH DƯƠNG cont: HASU4977652 </v>
      </c>
    </row>
    <row r="157" spans="1:23" s="152" customFormat="1" ht="60" hidden="1" customHeight="1" x14ac:dyDescent="0.2">
      <c r="A157" s="122">
        <f t="shared" si="10"/>
        <v>141</v>
      </c>
      <c r="B157" s="215">
        <v>45970</v>
      </c>
      <c r="C157" s="205">
        <v>261614090</v>
      </c>
      <c r="D157" s="155"/>
      <c r="E157" s="154">
        <v>1</v>
      </c>
      <c r="F157" s="205" t="s">
        <v>524</v>
      </c>
      <c r="G157" s="117" t="s">
        <v>186</v>
      </c>
      <c r="H157" s="223" t="s">
        <v>353</v>
      </c>
      <c r="I157" s="216" t="s">
        <v>354</v>
      </c>
      <c r="J157" s="205" t="s">
        <v>300</v>
      </c>
      <c r="K157" s="154" t="s">
        <v>39</v>
      </c>
      <c r="L157" s="120" t="s">
        <v>527</v>
      </c>
      <c r="M157" s="123">
        <v>1500000</v>
      </c>
      <c r="N157" s="127"/>
      <c r="O157" s="124">
        <f>2700000</f>
        <v>2700000</v>
      </c>
      <c r="P157" s="124"/>
      <c r="Q157" s="124"/>
      <c r="R157" s="124"/>
      <c r="S157" s="124"/>
      <c r="T157" s="124">
        <f t="shared" si="8"/>
        <v>216000</v>
      </c>
      <c r="U157" s="150">
        <f t="shared" si="11"/>
        <v>4416000</v>
      </c>
      <c r="V157" s="117" t="s">
        <v>413</v>
      </c>
      <c r="W157" s="151" t="str">
        <f t="shared" si="9"/>
        <v xml:space="preserve">Cước vận chuyển Cát Lái - THỦ DẦU MỘT, BÌNH DƯƠNG cont: TIIU5171274 </v>
      </c>
    </row>
    <row r="158" spans="1:23" s="152" customFormat="1" ht="60" hidden="1" customHeight="1" x14ac:dyDescent="0.2">
      <c r="A158" s="122">
        <f t="shared" si="10"/>
        <v>142</v>
      </c>
      <c r="B158" s="215">
        <v>45970</v>
      </c>
      <c r="C158" s="117" t="s">
        <v>528</v>
      </c>
      <c r="D158" s="115"/>
      <c r="E158" s="128">
        <v>1</v>
      </c>
      <c r="F158" s="128" t="s">
        <v>529</v>
      </c>
      <c r="G158" s="117" t="s">
        <v>185</v>
      </c>
      <c r="H158" s="212" t="s">
        <v>176</v>
      </c>
      <c r="I158" s="148" t="s">
        <v>226</v>
      </c>
      <c r="J158" s="117" t="s">
        <v>39</v>
      </c>
      <c r="K158" s="117" t="s">
        <v>259</v>
      </c>
      <c r="L158" s="120" t="s">
        <v>535</v>
      </c>
      <c r="M158" s="123">
        <v>1500000</v>
      </c>
      <c r="N158" s="127"/>
      <c r="O158" s="124">
        <v>4500000</v>
      </c>
      <c r="P158" s="124"/>
      <c r="Q158" s="124"/>
      <c r="R158" s="124"/>
      <c r="S158" s="124"/>
      <c r="T158" s="124">
        <f t="shared" si="8"/>
        <v>360000</v>
      </c>
      <c r="U158" s="150">
        <f t="shared" si="11"/>
        <v>6360000</v>
      </c>
      <c r="V158" s="117"/>
      <c r="W158" s="151" t="str">
        <f t="shared" si="9"/>
        <v xml:space="preserve">Cước vận chuyển Cát Lái - CHƠN THÀNH, BÌNH PHƯỚC cont: JXLU6322597 </v>
      </c>
    </row>
    <row r="159" spans="1:23" s="152" customFormat="1" ht="60" hidden="1" customHeight="1" x14ac:dyDescent="0.2">
      <c r="A159" s="122">
        <f t="shared" si="10"/>
        <v>143</v>
      </c>
      <c r="B159" s="215">
        <v>45970</v>
      </c>
      <c r="C159" s="117" t="s">
        <v>528</v>
      </c>
      <c r="D159" s="115"/>
      <c r="E159" s="128">
        <v>1</v>
      </c>
      <c r="F159" s="117" t="s">
        <v>530</v>
      </c>
      <c r="G159" s="117" t="s">
        <v>455</v>
      </c>
      <c r="H159" s="212" t="s">
        <v>176</v>
      </c>
      <c r="I159" s="148" t="s">
        <v>226</v>
      </c>
      <c r="J159" s="117" t="s">
        <v>39</v>
      </c>
      <c r="K159" s="117" t="s">
        <v>259</v>
      </c>
      <c r="L159" s="196">
        <v>405709</v>
      </c>
      <c r="M159" s="123">
        <v>1500000</v>
      </c>
      <c r="N159" s="127"/>
      <c r="O159" s="124">
        <v>4500000</v>
      </c>
      <c r="P159" s="124"/>
      <c r="Q159" s="124"/>
      <c r="R159" s="124"/>
      <c r="S159" s="124"/>
      <c r="T159" s="124">
        <f t="shared" si="8"/>
        <v>360000</v>
      </c>
      <c r="U159" s="150">
        <f t="shared" si="11"/>
        <v>6360000</v>
      </c>
      <c r="V159" s="117"/>
      <c r="W159" s="151" t="str">
        <f t="shared" si="9"/>
        <v xml:space="preserve">Cước vận chuyển Cát Lái - CHƠN THÀNH, BÌNH PHƯỚC cont: ZCSU7789797 </v>
      </c>
    </row>
    <row r="160" spans="1:23" s="152" customFormat="1" ht="60" hidden="1" customHeight="1" x14ac:dyDescent="0.2">
      <c r="A160" s="122">
        <f t="shared" si="10"/>
        <v>144</v>
      </c>
      <c r="B160" s="215">
        <v>45970</v>
      </c>
      <c r="C160" s="117" t="s">
        <v>528</v>
      </c>
      <c r="D160" s="115"/>
      <c r="E160" s="128">
        <v>1</v>
      </c>
      <c r="F160" s="117" t="s">
        <v>531</v>
      </c>
      <c r="G160" s="117" t="s">
        <v>196</v>
      </c>
      <c r="H160" s="212" t="s">
        <v>176</v>
      </c>
      <c r="I160" s="148" t="s">
        <v>226</v>
      </c>
      <c r="J160" s="117" t="s">
        <v>39</v>
      </c>
      <c r="K160" s="117" t="s">
        <v>259</v>
      </c>
      <c r="L160" s="120" t="s">
        <v>533</v>
      </c>
      <c r="M160" s="123">
        <v>1500000</v>
      </c>
      <c r="N160" s="127"/>
      <c r="O160" s="124">
        <v>4500000</v>
      </c>
      <c r="P160" s="124"/>
      <c r="Q160" s="124"/>
      <c r="R160" s="124"/>
      <c r="S160" s="124"/>
      <c r="T160" s="124">
        <f t="shared" si="8"/>
        <v>360000</v>
      </c>
      <c r="U160" s="150">
        <f t="shared" si="11"/>
        <v>6360000</v>
      </c>
      <c r="V160" s="117"/>
      <c r="W160" s="151" t="str">
        <f t="shared" si="9"/>
        <v xml:space="preserve">Cước vận chuyển Cát Lái - CHƠN THÀNH, BÌNH PHƯỚC cont: ZCSU7627775 </v>
      </c>
    </row>
    <row r="161" spans="1:23" s="152" customFormat="1" ht="60" hidden="1" customHeight="1" x14ac:dyDescent="0.2">
      <c r="A161" s="122">
        <f t="shared" si="10"/>
        <v>145</v>
      </c>
      <c r="B161" s="215">
        <v>45970</v>
      </c>
      <c r="C161" s="117" t="s">
        <v>528</v>
      </c>
      <c r="D161" s="115"/>
      <c r="E161" s="128">
        <v>1</v>
      </c>
      <c r="F161" s="117" t="s">
        <v>532</v>
      </c>
      <c r="G161" s="117" t="s">
        <v>182</v>
      </c>
      <c r="H161" s="212" t="s">
        <v>176</v>
      </c>
      <c r="I161" s="148" t="s">
        <v>226</v>
      </c>
      <c r="J161" s="117" t="s">
        <v>39</v>
      </c>
      <c r="K161" s="117" t="s">
        <v>259</v>
      </c>
      <c r="L161" s="120" t="s">
        <v>534</v>
      </c>
      <c r="M161" s="123">
        <v>1500000</v>
      </c>
      <c r="N161" s="127"/>
      <c r="O161" s="124">
        <v>4500000</v>
      </c>
      <c r="P161" s="124"/>
      <c r="Q161" s="124"/>
      <c r="R161" s="124"/>
      <c r="S161" s="124"/>
      <c r="T161" s="124">
        <f t="shared" si="8"/>
        <v>360000</v>
      </c>
      <c r="U161" s="150">
        <f t="shared" si="11"/>
        <v>6360000</v>
      </c>
      <c r="V161" s="117"/>
      <c r="W161" s="151" t="str">
        <f t="shared" si="9"/>
        <v xml:space="preserve">Cước vận chuyển Cát Lái - CHƠN THÀNH, BÌNH PHƯỚC cont: CAAU5291021 </v>
      </c>
    </row>
    <row r="162" spans="1:23" s="152" customFormat="1" ht="60" hidden="1" customHeight="1" x14ac:dyDescent="0.2">
      <c r="A162" s="122">
        <f t="shared" si="10"/>
        <v>146</v>
      </c>
      <c r="B162" s="215">
        <v>45970</v>
      </c>
      <c r="C162" s="117" t="s">
        <v>536</v>
      </c>
      <c r="D162" s="115"/>
      <c r="E162" s="128">
        <v>1</v>
      </c>
      <c r="F162" s="117" t="s">
        <v>537</v>
      </c>
      <c r="G162" s="117" t="s">
        <v>190</v>
      </c>
      <c r="H162" s="212" t="s">
        <v>353</v>
      </c>
      <c r="I162" s="148" t="s">
        <v>354</v>
      </c>
      <c r="J162" s="117" t="s">
        <v>539</v>
      </c>
      <c r="K162" s="218" t="s">
        <v>39</v>
      </c>
      <c r="L162" s="120"/>
      <c r="M162" s="123">
        <v>0</v>
      </c>
      <c r="N162" s="127"/>
      <c r="O162" s="124">
        <v>2700000</v>
      </c>
      <c r="P162" s="124"/>
      <c r="Q162" s="124"/>
      <c r="R162" s="124"/>
      <c r="S162" s="124"/>
      <c r="T162" s="124">
        <f t="shared" si="8"/>
        <v>216000</v>
      </c>
      <c r="U162" s="150">
        <f t="shared" si="11"/>
        <v>2916000</v>
      </c>
      <c r="V162" s="117" t="s">
        <v>413</v>
      </c>
      <c r="W162" s="151" t="str">
        <f t="shared" si="9"/>
        <v xml:space="preserve">Cước vận chuyển Cát Lái - THỦ DẦU MỘT, BÌNH DƯƠNG cont: FCIU8052510 </v>
      </c>
    </row>
    <row r="163" spans="1:23" s="152" customFormat="1" ht="60" hidden="1" customHeight="1" x14ac:dyDescent="0.2">
      <c r="A163" s="122">
        <f t="shared" si="10"/>
        <v>147</v>
      </c>
      <c r="B163" s="215">
        <v>45970</v>
      </c>
      <c r="C163" s="205" t="s">
        <v>536</v>
      </c>
      <c r="D163" s="155"/>
      <c r="E163" s="154">
        <v>1</v>
      </c>
      <c r="F163" s="205" t="s">
        <v>538</v>
      </c>
      <c r="G163" s="117" t="s">
        <v>458</v>
      </c>
      <c r="H163" s="223" t="s">
        <v>353</v>
      </c>
      <c r="I163" s="216" t="s">
        <v>354</v>
      </c>
      <c r="J163" s="205" t="s">
        <v>539</v>
      </c>
      <c r="K163" s="224" t="s">
        <v>39</v>
      </c>
      <c r="L163" s="120"/>
      <c r="M163" s="123">
        <v>0</v>
      </c>
      <c r="N163" s="127"/>
      <c r="O163" s="124">
        <v>2700000</v>
      </c>
      <c r="P163" s="124"/>
      <c r="Q163" s="124"/>
      <c r="R163" s="124"/>
      <c r="S163" s="124"/>
      <c r="T163" s="124">
        <f t="shared" si="8"/>
        <v>216000</v>
      </c>
      <c r="U163" s="150">
        <f t="shared" si="11"/>
        <v>2916000</v>
      </c>
      <c r="V163" s="117" t="s">
        <v>413</v>
      </c>
      <c r="W163" s="151" t="str">
        <f t="shared" si="9"/>
        <v xml:space="preserve">Cước vận chuyển Cát Lái - THỦ DẦU MỘT, BÌNH DƯƠNG cont: FCIU9298642 </v>
      </c>
    </row>
    <row r="164" spans="1:23" s="152" customFormat="1" ht="60" hidden="1" customHeight="1" x14ac:dyDescent="0.2">
      <c r="A164" s="122">
        <f t="shared" si="10"/>
        <v>148</v>
      </c>
      <c r="B164" s="217">
        <v>45970</v>
      </c>
      <c r="C164" s="128" t="s">
        <v>540</v>
      </c>
      <c r="D164" s="128"/>
      <c r="E164" s="128">
        <v>1</v>
      </c>
      <c r="F164" s="117" t="s">
        <v>541</v>
      </c>
      <c r="G164" s="117" t="s">
        <v>459</v>
      </c>
      <c r="H164" s="212" t="s">
        <v>176</v>
      </c>
      <c r="I164" s="148" t="s">
        <v>226</v>
      </c>
      <c r="J164" s="117" t="s">
        <v>39</v>
      </c>
      <c r="K164" s="117" t="s">
        <v>174</v>
      </c>
      <c r="L164" s="120" t="s">
        <v>544</v>
      </c>
      <c r="M164" s="123">
        <v>1500000</v>
      </c>
      <c r="N164" s="127">
        <v>2400000</v>
      </c>
      <c r="O164" s="124">
        <v>4500000</v>
      </c>
      <c r="P164" s="124"/>
      <c r="Q164" s="124"/>
      <c r="R164" s="124"/>
      <c r="S164" s="124"/>
      <c r="T164" s="124">
        <f t="shared" si="8"/>
        <v>360000</v>
      </c>
      <c r="U164" s="150">
        <f t="shared" si="11"/>
        <v>8760000</v>
      </c>
      <c r="V164" s="117"/>
      <c r="W164" s="151" t="str">
        <f t="shared" si="9"/>
        <v xml:space="preserve">Cước vận chuyển Cát Lái - CHƠN THÀNH, BÌNH PHƯỚC cont: EITU1045765 </v>
      </c>
    </row>
    <row r="165" spans="1:23" s="152" customFormat="1" ht="60" hidden="1" customHeight="1" x14ac:dyDescent="0.2">
      <c r="A165" s="122">
        <f t="shared" si="10"/>
        <v>149</v>
      </c>
      <c r="B165" s="217">
        <v>45970</v>
      </c>
      <c r="C165" s="128" t="s">
        <v>540</v>
      </c>
      <c r="D165" s="115"/>
      <c r="E165" s="128">
        <v>1</v>
      </c>
      <c r="F165" s="117" t="s">
        <v>542</v>
      </c>
      <c r="G165" s="117" t="s">
        <v>194</v>
      </c>
      <c r="H165" s="212" t="s">
        <v>176</v>
      </c>
      <c r="I165" s="148" t="s">
        <v>226</v>
      </c>
      <c r="J165" s="117" t="s">
        <v>39</v>
      </c>
      <c r="K165" s="117" t="s">
        <v>174</v>
      </c>
      <c r="L165" s="120" t="s">
        <v>545</v>
      </c>
      <c r="M165" s="123">
        <v>1500000</v>
      </c>
      <c r="N165" s="127">
        <v>3500000</v>
      </c>
      <c r="O165" s="124">
        <v>4500000</v>
      </c>
      <c r="P165" s="124"/>
      <c r="Q165" s="124"/>
      <c r="R165" s="124"/>
      <c r="S165" s="124"/>
      <c r="T165" s="124">
        <f t="shared" si="8"/>
        <v>360000</v>
      </c>
      <c r="U165" s="150">
        <f t="shared" si="11"/>
        <v>9860000</v>
      </c>
      <c r="V165" s="117"/>
      <c r="W165" s="151" t="str">
        <f t="shared" si="9"/>
        <v xml:space="preserve">Cước vận chuyển Cát Lái - CHƠN THÀNH, BÌNH PHƯỚC cont: GAOU6977065 </v>
      </c>
    </row>
    <row r="166" spans="1:23" s="152" customFormat="1" ht="60" hidden="1" customHeight="1" x14ac:dyDescent="0.2">
      <c r="A166" s="122">
        <f t="shared" si="10"/>
        <v>150</v>
      </c>
      <c r="B166" s="217">
        <v>45970</v>
      </c>
      <c r="C166" s="154" t="s">
        <v>540</v>
      </c>
      <c r="D166" s="155"/>
      <c r="E166" s="154">
        <v>1</v>
      </c>
      <c r="F166" s="205" t="s">
        <v>543</v>
      </c>
      <c r="G166" s="117" t="s">
        <v>191</v>
      </c>
      <c r="H166" s="223" t="s">
        <v>176</v>
      </c>
      <c r="I166" s="216" t="s">
        <v>226</v>
      </c>
      <c r="J166" s="205" t="s">
        <v>39</v>
      </c>
      <c r="K166" s="205" t="s">
        <v>174</v>
      </c>
      <c r="L166" s="120" t="s">
        <v>546</v>
      </c>
      <c r="M166" s="123">
        <v>1500000</v>
      </c>
      <c r="N166" s="127"/>
      <c r="O166" s="124">
        <v>4500000</v>
      </c>
      <c r="P166" s="124"/>
      <c r="Q166" s="124"/>
      <c r="R166" s="124"/>
      <c r="S166" s="124"/>
      <c r="T166" s="124">
        <f t="shared" si="8"/>
        <v>360000</v>
      </c>
      <c r="U166" s="150">
        <f t="shared" si="11"/>
        <v>6360000</v>
      </c>
      <c r="V166" s="117"/>
      <c r="W166" s="151" t="str">
        <f t="shared" si="9"/>
        <v xml:space="preserve">Cước vận chuyển Cát Lái - CHƠN THÀNH, BÌNH PHƯỚC cont: TGBU8654554 </v>
      </c>
    </row>
    <row r="167" spans="1:23" s="152" customFormat="1" ht="60" hidden="1" customHeight="1" x14ac:dyDescent="0.2">
      <c r="A167" s="122">
        <f t="shared" si="10"/>
        <v>151</v>
      </c>
      <c r="B167" s="217">
        <v>45970</v>
      </c>
      <c r="C167" s="154" t="s">
        <v>547</v>
      </c>
      <c r="D167" s="154"/>
      <c r="E167" s="154">
        <v>1</v>
      </c>
      <c r="F167" s="205" t="s">
        <v>548</v>
      </c>
      <c r="G167" s="117" t="s">
        <v>451</v>
      </c>
      <c r="H167" s="223" t="s">
        <v>282</v>
      </c>
      <c r="I167" s="206" t="s">
        <v>172</v>
      </c>
      <c r="J167" s="205" t="s">
        <v>39</v>
      </c>
      <c r="K167" s="154" t="s">
        <v>173</v>
      </c>
      <c r="L167" s="120">
        <v>30274</v>
      </c>
      <c r="M167" s="123">
        <v>1566000</v>
      </c>
      <c r="N167" s="127"/>
      <c r="O167" s="124">
        <v>4500000</v>
      </c>
      <c r="P167" s="124"/>
      <c r="Q167" s="124"/>
      <c r="R167" s="124"/>
      <c r="S167" s="124"/>
      <c r="T167" s="124">
        <f t="shared" si="8"/>
        <v>360000</v>
      </c>
      <c r="U167" s="150">
        <f t="shared" si="11"/>
        <v>6426000</v>
      </c>
      <c r="V167" s="117" t="s">
        <v>413</v>
      </c>
      <c r="W167" s="151" t="str">
        <f t="shared" si="9"/>
        <v xml:space="preserve">Cước vận chuyển Cát Lái - XÃ CHƠN THÀNH, TỈNH ĐỒNG NAI cont: TCNU5410180 </v>
      </c>
    </row>
    <row r="168" spans="1:23" s="152" customFormat="1" ht="60" hidden="1" customHeight="1" x14ac:dyDescent="0.2">
      <c r="A168" s="122">
        <f t="shared" si="10"/>
        <v>152</v>
      </c>
      <c r="B168" s="217">
        <v>45970</v>
      </c>
      <c r="C168" s="117" t="s">
        <v>800</v>
      </c>
      <c r="D168" s="128"/>
      <c r="E168" s="128">
        <v>1</v>
      </c>
      <c r="F168" s="117" t="s">
        <v>801</v>
      </c>
      <c r="G168" s="117" t="s">
        <v>178</v>
      </c>
      <c r="H168" s="117" t="s">
        <v>176</v>
      </c>
      <c r="I168" s="148" t="s">
        <v>226</v>
      </c>
      <c r="J168" s="117" t="s">
        <v>39</v>
      </c>
      <c r="K168" s="128" t="s">
        <v>805</v>
      </c>
      <c r="L168" s="120">
        <v>7577</v>
      </c>
      <c r="M168" s="123">
        <v>1500000</v>
      </c>
      <c r="N168" s="127"/>
      <c r="O168" s="124">
        <v>4500000</v>
      </c>
      <c r="P168" s="124"/>
      <c r="Q168" s="124"/>
      <c r="R168" s="124"/>
      <c r="S168" s="124"/>
      <c r="T168" s="124">
        <f t="shared" si="8"/>
        <v>360000</v>
      </c>
      <c r="U168" s="150">
        <f t="shared" si="11"/>
        <v>6360000</v>
      </c>
      <c r="V168" s="117"/>
      <c r="W168" s="151" t="str">
        <f t="shared" si="9"/>
        <v xml:space="preserve">Cước vận chuyển Cát Lái - CHƠN THÀNH, BÌNH PHƯỚC cont: CMAU6905599 </v>
      </c>
    </row>
    <row r="169" spans="1:23" s="152" customFormat="1" ht="60" hidden="1" customHeight="1" x14ac:dyDescent="0.2">
      <c r="A169" s="122">
        <f t="shared" si="10"/>
        <v>153</v>
      </c>
      <c r="B169" s="217">
        <v>45970</v>
      </c>
      <c r="C169" s="117" t="s">
        <v>800</v>
      </c>
      <c r="D169" s="128"/>
      <c r="E169" s="128">
        <v>1</v>
      </c>
      <c r="F169" s="117" t="s">
        <v>802</v>
      </c>
      <c r="G169" s="117" t="s">
        <v>803</v>
      </c>
      <c r="H169" s="117" t="s">
        <v>176</v>
      </c>
      <c r="I169" s="148" t="s">
        <v>226</v>
      </c>
      <c r="J169" s="117" t="s">
        <v>39</v>
      </c>
      <c r="K169" s="128" t="s">
        <v>805</v>
      </c>
      <c r="L169" s="120">
        <v>7579</v>
      </c>
      <c r="M169" s="123">
        <v>1500000</v>
      </c>
      <c r="N169" s="127"/>
      <c r="O169" s="124">
        <v>4500000</v>
      </c>
      <c r="P169" s="124"/>
      <c r="Q169" s="124"/>
      <c r="R169" s="124"/>
      <c r="S169" s="124"/>
      <c r="T169" s="124">
        <f t="shared" si="8"/>
        <v>360000</v>
      </c>
      <c r="U169" s="150">
        <f t="shared" si="11"/>
        <v>6360000</v>
      </c>
      <c r="V169" s="117"/>
      <c r="W169" s="151" t="str">
        <f t="shared" si="9"/>
        <v xml:space="preserve">Cước vận chuyển Cát Lái - CHƠN THÀNH, BÌNH PHƯỚC cont: TCNU3375480 </v>
      </c>
    </row>
    <row r="170" spans="1:23" s="152" customFormat="1" ht="60" hidden="1" customHeight="1" x14ac:dyDescent="0.2">
      <c r="A170" s="122">
        <f t="shared" si="10"/>
        <v>154</v>
      </c>
      <c r="B170" s="217">
        <v>45970</v>
      </c>
      <c r="C170" s="117" t="s">
        <v>800</v>
      </c>
      <c r="D170" s="128"/>
      <c r="E170" s="128">
        <v>1</v>
      </c>
      <c r="F170" s="117" t="s">
        <v>804</v>
      </c>
      <c r="G170" s="117" t="s">
        <v>325</v>
      </c>
      <c r="H170" s="117" t="s">
        <v>176</v>
      </c>
      <c r="I170" s="148" t="s">
        <v>226</v>
      </c>
      <c r="J170" s="117" t="s">
        <v>39</v>
      </c>
      <c r="K170" s="128" t="s">
        <v>805</v>
      </c>
      <c r="L170" s="120">
        <v>7585</v>
      </c>
      <c r="M170" s="123">
        <v>1500000</v>
      </c>
      <c r="N170" s="127"/>
      <c r="O170" s="124">
        <v>4500000</v>
      </c>
      <c r="P170" s="124"/>
      <c r="Q170" s="124"/>
      <c r="R170" s="124"/>
      <c r="S170" s="124"/>
      <c r="T170" s="124">
        <f t="shared" si="8"/>
        <v>360000</v>
      </c>
      <c r="U170" s="150">
        <f t="shared" si="11"/>
        <v>6360000</v>
      </c>
      <c r="V170" s="117"/>
      <c r="W170" s="151" t="str">
        <f t="shared" si="9"/>
        <v xml:space="preserve">Cước vận chuyển Cát Lái - CHƠN THÀNH, BÌNH PHƯỚC cont: FFAU4554066 </v>
      </c>
    </row>
    <row r="171" spans="1:23" s="152" customFormat="1" ht="60" hidden="1" customHeight="1" x14ac:dyDescent="0.2">
      <c r="A171" s="122">
        <f t="shared" si="10"/>
        <v>155</v>
      </c>
      <c r="B171" s="217">
        <v>45970</v>
      </c>
      <c r="C171" s="156" t="s">
        <v>554</v>
      </c>
      <c r="D171" s="204"/>
      <c r="E171" s="204">
        <v>1</v>
      </c>
      <c r="F171" s="218" t="s">
        <v>789</v>
      </c>
      <c r="G171" s="218" t="s">
        <v>793</v>
      </c>
      <c r="H171" s="218" t="s">
        <v>176</v>
      </c>
      <c r="I171" s="220" t="s">
        <v>226</v>
      </c>
      <c r="J171" s="218" t="s">
        <v>39</v>
      </c>
      <c r="K171" s="218" t="s">
        <v>553</v>
      </c>
      <c r="L171" s="120" t="s">
        <v>797</v>
      </c>
      <c r="M171" s="123">
        <v>1500000</v>
      </c>
      <c r="N171" s="127"/>
      <c r="O171" s="124">
        <v>4500000</v>
      </c>
      <c r="P171" s="124"/>
      <c r="Q171" s="124"/>
      <c r="R171" s="124"/>
      <c r="S171" s="124"/>
      <c r="T171" s="124">
        <f t="shared" si="8"/>
        <v>360000</v>
      </c>
      <c r="U171" s="150">
        <f t="shared" si="11"/>
        <v>6360000</v>
      </c>
      <c r="V171" s="117"/>
      <c r="W171" s="151" t="str">
        <f t="shared" si="9"/>
        <v xml:space="preserve">Cước vận chuyển Cát Lái - CHƠN THÀNH, BÌNH PHƯỚC cont: FFAU3037860 </v>
      </c>
    </row>
    <row r="172" spans="1:23" s="152" customFormat="1" ht="60" hidden="1" customHeight="1" x14ac:dyDescent="0.2">
      <c r="A172" s="122">
        <f t="shared" si="10"/>
        <v>156</v>
      </c>
      <c r="B172" s="217">
        <v>45970</v>
      </c>
      <c r="C172" s="128" t="s">
        <v>554</v>
      </c>
      <c r="D172" s="154"/>
      <c r="E172" s="154">
        <v>1</v>
      </c>
      <c r="F172" s="117" t="s">
        <v>790</v>
      </c>
      <c r="G172" s="117" t="s">
        <v>741</v>
      </c>
      <c r="H172" s="218" t="s">
        <v>176</v>
      </c>
      <c r="I172" s="148" t="s">
        <v>226</v>
      </c>
      <c r="J172" s="117" t="s">
        <v>39</v>
      </c>
      <c r="K172" s="218" t="s">
        <v>553</v>
      </c>
      <c r="L172" s="120" t="s">
        <v>799</v>
      </c>
      <c r="M172" s="123">
        <v>1500000</v>
      </c>
      <c r="N172" s="127"/>
      <c r="O172" s="124">
        <v>4500000</v>
      </c>
      <c r="P172" s="124"/>
      <c r="Q172" s="124"/>
      <c r="R172" s="124"/>
      <c r="S172" s="124"/>
      <c r="T172" s="124">
        <f t="shared" si="8"/>
        <v>360000</v>
      </c>
      <c r="U172" s="150">
        <f t="shared" si="11"/>
        <v>6360000</v>
      </c>
      <c r="V172" s="117"/>
      <c r="W172" s="151" t="str">
        <f t="shared" si="9"/>
        <v xml:space="preserve">Cước vận chuyển Cát Lái - CHƠN THÀNH, BÌNH PHƯỚC cont: CSNU7555865 </v>
      </c>
    </row>
    <row r="173" spans="1:23" s="152" customFormat="1" ht="60" hidden="1" customHeight="1" x14ac:dyDescent="0.2">
      <c r="A173" s="122">
        <f t="shared" si="10"/>
        <v>157</v>
      </c>
      <c r="B173" s="217">
        <v>45970</v>
      </c>
      <c r="C173" s="128" t="s">
        <v>554</v>
      </c>
      <c r="D173" s="154"/>
      <c r="E173" s="154">
        <v>1</v>
      </c>
      <c r="F173" s="117" t="s">
        <v>791</v>
      </c>
      <c r="G173" s="117" t="s">
        <v>794</v>
      </c>
      <c r="H173" s="218" t="s">
        <v>176</v>
      </c>
      <c r="I173" s="148" t="s">
        <v>226</v>
      </c>
      <c r="J173" s="117" t="s">
        <v>39</v>
      </c>
      <c r="K173" s="218" t="s">
        <v>553</v>
      </c>
      <c r="L173" s="120" t="s">
        <v>796</v>
      </c>
      <c r="M173" s="123">
        <v>1500000</v>
      </c>
      <c r="N173" s="127"/>
      <c r="O173" s="124">
        <v>4500000</v>
      </c>
      <c r="P173" s="124"/>
      <c r="Q173" s="124"/>
      <c r="R173" s="124"/>
      <c r="S173" s="124"/>
      <c r="T173" s="124">
        <f t="shared" si="8"/>
        <v>360000</v>
      </c>
      <c r="U173" s="150">
        <f t="shared" si="11"/>
        <v>6360000</v>
      </c>
      <c r="V173" s="117"/>
      <c r="W173" s="151" t="str">
        <f t="shared" si="9"/>
        <v xml:space="preserve">Cước vận chuyển Cát Lái - CHƠN THÀNH, BÌNH PHƯỚC cont: CSNU6159880 </v>
      </c>
    </row>
    <row r="174" spans="1:23" s="152" customFormat="1" ht="60" hidden="1" customHeight="1" x14ac:dyDescent="0.2">
      <c r="A174" s="122">
        <f t="shared" si="10"/>
        <v>158</v>
      </c>
      <c r="B174" s="217">
        <v>45970</v>
      </c>
      <c r="C174" s="128" t="s">
        <v>554</v>
      </c>
      <c r="D174" s="154"/>
      <c r="E174" s="154">
        <v>1</v>
      </c>
      <c r="F174" s="117" t="s">
        <v>792</v>
      </c>
      <c r="G174" s="117" t="s">
        <v>795</v>
      </c>
      <c r="H174" s="218" t="s">
        <v>176</v>
      </c>
      <c r="I174" s="148" t="s">
        <v>226</v>
      </c>
      <c r="J174" s="117" t="s">
        <v>39</v>
      </c>
      <c r="K174" s="218" t="s">
        <v>553</v>
      </c>
      <c r="L174" s="120" t="s">
        <v>798</v>
      </c>
      <c r="M174" s="123">
        <v>1500000</v>
      </c>
      <c r="N174" s="127"/>
      <c r="O174" s="124">
        <v>4500000</v>
      </c>
      <c r="P174" s="124"/>
      <c r="Q174" s="124"/>
      <c r="R174" s="124"/>
      <c r="S174" s="124"/>
      <c r="T174" s="124">
        <f t="shared" si="8"/>
        <v>360000</v>
      </c>
      <c r="U174" s="150">
        <f t="shared" si="11"/>
        <v>6360000</v>
      </c>
      <c r="V174" s="117"/>
      <c r="W174" s="151" t="str">
        <f t="shared" si="9"/>
        <v xml:space="preserve">Cước vận chuyển Cát Lái - CHƠN THÀNH, BÌNH PHƯỚC cont: FFAU3160284 </v>
      </c>
    </row>
    <row r="175" spans="1:23" s="152" customFormat="1" ht="60" hidden="1" customHeight="1" x14ac:dyDescent="0.2">
      <c r="A175" s="122">
        <f t="shared" si="10"/>
        <v>159</v>
      </c>
      <c r="B175" s="217">
        <v>45970</v>
      </c>
      <c r="C175" s="128" t="s">
        <v>554</v>
      </c>
      <c r="D175" s="128"/>
      <c r="E175" s="154">
        <v>1</v>
      </c>
      <c r="F175" s="117" t="s">
        <v>551</v>
      </c>
      <c r="G175" s="199" t="s">
        <v>552</v>
      </c>
      <c r="H175" s="218" t="s">
        <v>176</v>
      </c>
      <c r="I175" s="148" t="s">
        <v>226</v>
      </c>
      <c r="J175" s="117" t="s">
        <v>39</v>
      </c>
      <c r="K175" s="218" t="s">
        <v>553</v>
      </c>
      <c r="L175" s="120" t="s">
        <v>1013</v>
      </c>
      <c r="M175" s="123">
        <v>1500000</v>
      </c>
      <c r="N175" s="127"/>
      <c r="O175" s="124">
        <v>4500000</v>
      </c>
      <c r="P175" s="124"/>
      <c r="Q175" s="124"/>
      <c r="R175" s="124"/>
      <c r="S175" s="124"/>
      <c r="T175" s="124">
        <f t="shared" si="8"/>
        <v>360000</v>
      </c>
      <c r="U175" s="150">
        <f t="shared" si="11"/>
        <v>6360000</v>
      </c>
      <c r="V175" s="117" t="s">
        <v>413</v>
      </c>
      <c r="W175" s="151" t="str">
        <f t="shared" si="9"/>
        <v xml:space="preserve">Cước vận chuyển Cát Lái - CHƠN THÀNH, BÌNH PHƯỚC cont: FFAU6695802 </v>
      </c>
    </row>
    <row r="176" spans="1:23" s="152" customFormat="1" ht="60" hidden="1" customHeight="1" x14ac:dyDescent="0.2">
      <c r="A176" s="122">
        <f t="shared" si="10"/>
        <v>160</v>
      </c>
      <c r="B176" s="147">
        <v>45970</v>
      </c>
      <c r="C176" s="117" t="s">
        <v>563</v>
      </c>
      <c r="D176" s="115"/>
      <c r="E176" s="128">
        <v>1</v>
      </c>
      <c r="F176" s="117" t="s">
        <v>564</v>
      </c>
      <c r="G176" s="117" t="s">
        <v>177</v>
      </c>
      <c r="H176" s="117" t="s">
        <v>282</v>
      </c>
      <c r="I176" s="122" t="s">
        <v>172</v>
      </c>
      <c r="J176" s="117" t="s">
        <v>39</v>
      </c>
      <c r="K176" s="128" t="s">
        <v>173</v>
      </c>
      <c r="L176" s="120" t="s">
        <v>569</v>
      </c>
      <c r="M176" s="123">
        <v>1566000</v>
      </c>
      <c r="N176" s="127"/>
      <c r="O176" s="124">
        <v>4500000</v>
      </c>
      <c r="P176" s="124"/>
      <c r="Q176" s="124"/>
      <c r="R176" s="124"/>
      <c r="S176" s="124"/>
      <c r="T176" s="124">
        <f t="shared" si="8"/>
        <v>360000</v>
      </c>
      <c r="U176" s="150">
        <f t="shared" si="11"/>
        <v>6426000</v>
      </c>
      <c r="V176" s="117" t="s">
        <v>413</v>
      </c>
      <c r="W176" s="151" t="str">
        <f t="shared" si="9"/>
        <v xml:space="preserve">Cước vận chuyển Cát Lái - XÃ CHƠN THÀNH, TỈNH ĐỒNG NAI cont: ZCSU6630054 </v>
      </c>
    </row>
    <row r="177" spans="1:23" s="152" customFormat="1" ht="60" hidden="1" customHeight="1" x14ac:dyDescent="0.2">
      <c r="A177" s="122">
        <f t="shared" si="10"/>
        <v>161</v>
      </c>
      <c r="B177" s="147">
        <v>45970</v>
      </c>
      <c r="C177" s="117" t="s">
        <v>563</v>
      </c>
      <c r="D177" s="115"/>
      <c r="E177" s="128">
        <v>1</v>
      </c>
      <c r="F177" s="265" t="s">
        <v>565</v>
      </c>
      <c r="G177" s="117" t="s">
        <v>273</v>
      </c>
      <c r="H177" s="117" t="s">
        <v>282</v>
      </c>
      <c r="I177" s="122" t="s">
        <v>172</v>
      </c>
      <c r="J177" s="117" t="s">
        <v>39</v>
      </c>
      <c r="K177" s="128" t="s">
        <v>173</v>
      </c>
      <c r="L177" s="120" t="s">
        <v>570</v>
      </c>
      <c r="M177" s="123">
        <v>1566000</v>
      </c>
      <c r="N177" s="266">
        <v>1000000</v>
      </c>
      <c r="O177" s="124">
        <v>4500000</v>
      </c>
      <c r="P177" s="124"/>
      <c r="Q177" s="124"/>
      <c r="R177" s="124"/>
      <c r="S177" s="124"/>
      <c r="T177" s="124">
        <f t="shared" si="8"/>
        <v>360000</v>
      </c>
      <c r="U177" s="150">
        <f t="shared" si="11"/>
        <v>7426000</v>
      </c>
      <c r="V177" s="117"/>
      <c r="W177" s="151" t="str">
        <f t="shared" si="9"/>
        <v xml:space="preserve">Cước vận chuyển Cát Lái - XÃ CHƠN THÀNH, TỈNH ĐỒNG NAI cont: TGBU7088051 </v>
      </c>
    </row>
    <row r="178" spans="1:23" s="152" customFormat="1" ht="60" hidden="1" customHeight="1" x14ac:dyDescent="0.2">
      <c r="A178" s="122">
        <f t="shared" si="10"/>
        <v>162</v>
      </c>
      <c r="B178" s="147">
        <v>45970</v>
      </c>
      <c r="C178" s="117" t="s">
        <v>563</v>
      </c>
      <c r="D178" s="115"/>
      <c r="E178" s="128">
        <v>1</v>
      </c>
      <c r="F178" s="117" t="s">
        <v>566</v>
      </c>
      <c r="G178" s="117" t="s">
        <v>567</v>
      </c>
      <c r="H178" s="117" t="s">
        <v>282</v>
      </c>
      <c r="I178" s="122" t="s">
        <v>172</v>
      </c>
      <c r="J178" s="117" t="s">
        <v>39</v>
      </c>
      <c r="K178" s="128" t="s">
        <v>173</v>
      </c>
      <c r="L178" s="120" t="s">
        <v>568</v>
      </c>
      <c r="M178" s="123">
        <v>1566000</v>
      </c>
      <c r="N178" s="127"/>
      <c r="O178" s="124">
        <v>4500000</v>
      </c>
      <c r="P178" s="124"/>
      <c r="Q178" s="124"/>
      <c r="R178" s="124"/>
      <c r="S178" s="124"/>
      <c r="T178" s="124">
        <f t="shared" si="8"/>
        <v>360000</v>
      </c>
      <c r="U178" s="150">
        <f t="shared" si="11"/>
        <v>6426000</v>
      </c>
      <c r="V178" s="117"/>
      <c r="W178" s="151" t="str">
        <f t="shared" si="9"/>
        <v xml:space="preserve">Cước vận chuyển Cát Lái - XÃ CHƠN THÀNH, TỈNH ĐỒNG NAI cont: ZCSU7644659 </v>
      </c>
    </row>
    <row r="179" spans="1:23" s="152" customFormat="1" ht="60" hidden="1" customHeight="1" x14ac:dyDescent="0.2">
      <c r="A179" s="122">
        <f t="shared" si="10"/>
        <v>163</v>
      </c>
      <c r="B179" s="147">
        <v>45971</v>
      </c>
      <c r="C179" s="117">
        <v>261614124</v>
      </c>
      <c r="D179" s="115"/>
      <c r="E179" s="128">
        <v>1</v>
      </c>
      <c r="F179" s="117" t="s">
        <v>572</v>
      </c>
      <c r="G179" s="117" t="s">
        <v>451</v>
      </c>
      <c r="H179" s="117" t="s">
        <v>353</v>
      </c>
      <c r="I179" s="148" t="s">
        <v>354</v>
      </c>
      <c r="J179" s="117" t="s">
        <v>300</v>
      </c>
      <c r="K179" s="128" t="s">
        <v>39</v>
      </c>
      <c r="L179" s="120" t="s">
        <v>579</v>
      </c>
      <c r="M179" s="123">
        <v>1500000</v>
      </c>
      <c r="N179" s="127"/>
      <c r="O179" s="124">
        <v>2700000</v>
      </c>
      <c r="P179" s="124"/>
      <c r="Q179" s="124"/>
      <c r="R179" s="124"/>
      <c r="S179" s="124"/>
      <c r="T179" s="124">
        <f t="shared" si="8"/>
        <v>216000</v>
      </c>
      <c r="U179" s="150">
        <f t="shared" si="11"/>
        <v>4416000</v>
      </c>
      <c r="V179" s="117"/>
      <c r="W179" s="151" t="str">
        <f t="shared" si="9"/>
        <v xml:space="preserve">Cước vận chuyển Cát Lái - THỦ DẦU MỘT, BÌNH DƯƠNG cont: MRSU7345865 </v>
      </c>
    </row>
    <row r="180" spans="1:23" s="152" customFormat="1" ht="60" hidden="1" customHeight="1" x14ac:dyDescent="0.2">
      <c r="A180" s="122">
        <f t="shared" si="10"/>
        <v>164</v>
      </c>
      <c r="B180" s="147">
        <v>45971</v>
      </c>
      <c r="C180" s="117">
        <v>261614124</v>
      </c>
      <c r="D180" s="115"/>
      <c r="E180" s="128">
        <v>1</v>
      </c>
      <c r="F180" s="117" t="s">
        <v>573</v>
      </c>
      <c r="G180" s="117" t="s">
        <v>451</v>
      </c>
      <c r="H180" s="117" t="s">
        <v>353</v>
      </c>
      <c r="I180" s="148" t="s">
        <v>354</v>
      </c>
      <c r="J180" s="117" t="s">
        <v>300</v>
      </c>
      <c r="K180" s="128" t="s">
        <v>39</v>
      </c>
      <c r="L180" s="120" t="s">
        <v>580</v>
      </c>
      <c r="M180" s="123">
        <v>1500000</v>
      </c>
      <c r="N180" s="127"/>
      <c r="O180" s="124">
        <v>2700000</v>
      </c>
      <c r="P180" s="124"/>
      <c r="Q180" s="124"/>
      <c r="R180" s="124"/>
      <c r="S180" s="124"/>
      <c r="T180" s="124">
        <f t="shared" si="8"/>
        <v>216000</v>
      </c>
      <c r="U180" s="150">
        <f t="shared" si="11"/>
        <v>4416000</v>
      </c>
      <c r="V180" s="117"/>
      <c r="W180" s="151" t="str">
        <f t="shared" si="9"/>
        <v xml:space="preserve">Cước vận chuyển Cát Lái - THỦ DẦU MỘT, BÌNH DƯƠNG cont: MRSU8317235 </v>
      </c>
    </row>
    <row r="181" spans="1:23" s="152" customFormat="1" ht="60" hidden="1" customHeight="1" x14ac:dyDescent="0.2">
      <c r="A181" s="122">
        <f t="shared" si="10"/>
        <v>165</v>
      </c>
      <c r="B181" s="147">
        <v>45971</v>
      </c>
      <c r="C181" s="117">
        <v>261614124</v>
      </c>
      <c r="D181" s="115"/>
      <c r="E181" s="128">
        <v>1</v>
      </c>
      <c r="F181" s="117" t="s">
        <v>574</v>
      </c>
      <c r="G181" s="117" t="s">
        <v>185</v>
      </c>
      <c r="H181" s="117" t="s">
        <v>353</v>
      </c>
      <c r="I181" s="148" t="s">
        <v>354</v>
      </c>
      <c r="J181" s="117" t="s">
        <v>300</v>
      </c>
      <c r="K181" s="128" t="s">
        <v>39</v>
      </c>
      <c r="L181" s="120" t="s">
        <v>581</v>
      </c>
      <c r="M181" s="123">
        <v>1500000</v>
      </c>
      <c r="N181" s="127"/>
      <c r="O181" s="124">
        <v>2700000</v>
      </c>
      <c r="P181" s="124"/>
      <c r="Q181" s="124"/>
      <c r="R181" s="124"/>
      <c r="S181" s="124"/>
      <c r="T181" s="124">
        <f t="shared" si="8"/>
        <v>216000</v>
      </c>
      <c r="U181" s="150">
        <f t="shared" si="11"/>
        <v>4416000</v>
      </c>
      <c r="V181" s="117"/>
      <c r="W181" s="151" t="str">
        <f t="shared" si="9"/>
        <v xml:space="preserve">Cước vận chuyển Cát Lái - THỦ DẦU MỘT, BÌNH DƯƠNG cont: MRSU7294599 </v>
      </c>
    </row>
    <row r="182" spans="1:23" s="152" customFormat="1" ht="60" hidden="1" customHeight="1" x14ac:dyDescent="0.2">
      <c r="A182" s="122">
        <f t="shared" si="10"/>
        <v>166</v>
      </c>
      <c r="B182" s="147">
        <v>45971</v>
      </c>
      <c r="C182" s="117">
        <v>261614124</v>
      </c>
      <c r="D182" s="115"/>
      <c r="E182" s="128">
        <v>1</v>
      </c>
      <c r="F182" s="117" t="s">
        <v>575</v>
      </c>
      <c r="G182" s="117" t="s">
        <v>187</v>
      </c>
      <c r="H182" s="117" t="s">
        <v>353</v>
      </c>
      <c r="I182" s="148" t="s">
        <v>354</v>
      </c>
      <c r="J182" s="117" t="s">
        <v>300</v>
      </c>
      <c r="K182" s="128" t="s">
        <v>39</v>
      </c>
      <c r="L182" s="120" t="s">
        <v>578</v>
      </c>
      <c r="M182" s="123">
        <v>1500000</v>
      </c>
      <c r="N182" s="127"/>
      <c r="O182" s="124">
        <v>2700000</v>
      </c>
      <c r="P182" s="124"/>
      <c r="Q182" s="124"/>
      <c r="R182" s="124"/>
      <c r="S182" s="124"/>
      <c r="T182" s="124">
        <f t="shared" si="8"/>
        <v>216000</v>
      </c>
      <c r="U182" s="150">
        <f t="shared" si="11"/>
        <v>4416000</v>
      </c>
      <c r="V182" s="117"/>
      <c r="W182" s="151" t="str">
        <f t="shared" si="9"/>
        <v xml:space="preserve">Cước vận chuyển Cát Lái - THỦ DẦU MỘT, BÌNH DƯƠNG cont: GCXU5685585 </v>
      </c>
    </row>
    <row r="183" spans="1:23" s="152" customFormat="1" ht="60" hidden="1" customHeight="1" x14ac:dyDescent="0.2">
      <c r="A183" s="122">
        <f t="shared" si="10"/>
        <v>167</v>
      </c>
      <c r="B183" s="147">
        <v>45971</v>
      </c>
      <c r="C183" s="117">
        <v>261614124</v>
      </c>
      <c r="D183" s="115"/>
      <c r="E183" s="128">
        <v>1</v>
      </c>
      <c r="F183" s="128" t="s">
        <v>576</v>
      </c>
      <c r="G183" s="117" t="s">
        <v>459</v>
      </c>
      <c r="H183" s="117" t="s">
        <v>353</v>
      </c>
      <c r="I183" s="148" t="s">
        <v>354</v>
      </c>
      <c r="J183" s="117" t="s">
        <v>300</v>
      </c>
      <c r="K183" s="128" t="s">
        <v>39</v>
      </c>
      <c r="L183" s="120" t="s">
        <v>577</v>
      </c>
      <c r="M183" s="123">
        <v>1500000</v>
      </c>
      <c r="N183" s="127"/>
      <c r="O183" s="124">
        <v>2700000</v>
      </c>
      <c r="P183" s="124"/>
      <c r="Q183" s="124"/>
      <c r="R183" s="124"/>
      <c r="S183" s="124"/>
      <c r="T183" s="124">
        <f t="shared" si="8"/>
        <v>216000</v>
      </c>
      <c r="U183" s="150">
        <f t="shared" si="11"/>
        <v>4416000</v>
      </c>
      <c r="V183" s="117"/>
      <c r="W183" s="151" t="str">
        <f t="shared" si="9"/>
        <v xml:space="preserve">Cước vận chuyển Cát Lái - THỦ DẦU MỘT, BÌNH DƯƠNG cont: GAOU7552466 </v>
      </c>
    </row>
    <row r="184" spans="1:23" s="152" customFormat="1" ht="60" hidden="1" customHeight="1" x14ac:dyDescent="0.2">
      <c r="A184" s="122">
        <f t="shared" si="10"/>
        <v>168</v>
      </c>
      <c r="B184" s="147">
        <v>45971</v>
      </c>
      <c r="C184" s="117">
        <v>2313829131</v>
      </c>
      <c r="D184" s="115"/>
      <c r="E184" s="128">
        <v>1</v>
      </c>
      <c r="F184" s="117" t="s">
        <v>652</v>
      </c>
      <c r="G184" s="117" t="s">
        <v>454</v>
      </c>
      <c r="H184" s="117" t="s">
        <v>179</v>
      </c>
      <c r="I184" s="148" t="s">
        <v>180</v>
      </c>
      <c r="J184" s="196" t="s">
        <v>259</v>
      </c>
      <c r="K184" s="128" t="s">
        <v>39</v>
      </c>
      <c r="L184" s="120">
        <v>412273</v>
      </c>
      <c r="M184" s="123">
        <v>1500000</v>
      </c>
      <c r="N184" s="127"/>
      <c r="O184" s="124">
        <v>4700000</v>
      </c>
      <c r="P184" s="124"/>
      <c r="Q184" s="124"/>
      <c r="R184" s="124"/>
      <c r="S184" s="124"/>
      <c r="T184" s="124">
        <f t="shared" si="8"/>
        <v>376000</v>
      </c>
      <c r="U184" s="150">
        <f t="shared" si="11"/>
        <v>6576000</v>
      </c>
      <c r="V184" s="117"/>
      <c r="W184" s="151" t="str">
        <f t="shared" si="9"/>
        <v xml:space="preserve">Cước vận chuyển Cát Lái - HỚN QUẢN, BÌNH PHƯỚC cont: CBHU8910837 </v>
      </c>
    </row>
    <row r="185" spans="1:23" s="152" customFormat="1" ht="60" hidden="1" customHeight="1" x14ac:dyDescent="0.2">
      <c r="A185" s="122">
        <f t="shared" si="10"/>
        <v>169</v>
      </c>
      <c r="B185" s="147">
        <v>45971</v>
      </c>
      <c r="C185" s="117">
        <v>2313829131</v>
      </c>
      <c r="D185" s="115"/>
      <c r="E185" s="128">
        <v>1</v>
      </c>
      <c r="F185" s="117" t="s">
        <v>647</v>
      </c>
      <c r="G185" s="117" t="s">
        <v>419</v>
      </c>
      <c r="H185" s="117" t="s">
        <v>179</v>
      </c>
      <c r="I185" s="148" t="s">
        <v>180</v>
      </c>
      <c r="J185" s="196" t="s">
        <v>259</v>
      </c>
      <c r="K185" s="156" t="s">
        <v>39</v>
      </c>
      <c r="L185" s="120">
        <v>406096</v>
      </c>
      <c r="M185" s="123">
        <v>1500000</v>
      </c>
      <c r="N185" s="127"/>
      <c r="O185" s="124">
        <v>4700000</v>
      </c>
      <c r="P185" s="124"/>
      <c r="Q185" s="124"/>
      <c r="R185" s="124"/>
      <c r="S185" s="124"/>
      <c r="T185" s="124">
        <f t="shared" si="8"/>
        <v>376000</v>
      </c>
      <c r="U185" s="150">
        <f t="shared" si="11"/>
        <v>6576000</v>
      </c>
      <c r="V185" s="117"/>
      <c r="W185" s="151" t="str">
        <f t="shared" si="9"/>
        <v xml:space="preserve">Cước vận chuyển Cát Lái - HỚN QUẢN, BÌNH PHƯỚC cont: OOCU8207227 </v>
      </c>
    </row>
    <row r="186" spans="1:23" s="152" customFormat="1" ht="60" hidden="1" customHeight="1" x14ac:dyDescent="0.2">
      <c r="A186" s="122">
        <f t="shared" si="10"/>
        <v>170</v>
      </c>
      <c r="B186" s="147">
        <v>45971</v>
      </c>
      <c r="C186" s="117">
        <v>261509029</v>
      </c>
      <c r="D186" s="115"/>
      <c r="E186" s="128">
        <v>1</v>
      </c>
      <c r="F186" s="117" t="s">
        <v>582</v>
      </c>
      <c r="G186" s="117" t="s">
        <v>199</v>
      </c>
      <c r="H186" s="117" t="s">
        <v>158</v>
      </c>
      <c r="I186" s="148" t="s">
        <v>632</v>
      </c>
      <c r="J186" s="156" t="s">
        <v>444</v>
      </c>
      <c r="K186" s="156" t="s">
        <v>39</v>
      </c>
      <c r="L186" s="120" t="s">
        <v>587</v>
      </c>
      <c r="M186" s="123">
        <v>1450000</v>
      </c>
      <c r="N186" s="127"/>
      <c r="O186" s="124">
        <v>5300000</v>
      </c>
      <c r="P186" s="124"/>
      <c r="Q186" s="124"/>
      <c r="R186" s="124"/>
      <c r="S186" s="124"/>
      <c r="T186" s="124">
        <f t="shared" si="8"/>
        <v>424000</v>
      </c>
      <c r="U186" s="150">
        <f t="shared" si="11"/>
        <v>7174000</v>
      </c>
      <c r="V186" s="117"/>
      <c r="W186" s="151" t="str">
        <f t="shared" si="9"/>
        <v xml:space="preserve">Cước vận chuyển Cát Lái - ĐỒNG PHÚ, BÌNH PHƯỚC cont: SEKU4482183 </v>
      </c>
    </row>
    <row r="187" spans="1:23" s="152" customFormat="1" ht="60" hidden="1" customHeight="1" x14ac:dyDescent="0.2">
      <c r="A187" s="122">
        <f t="shared" si="10"/>
        <v>171</v>
      </c>
      <c r="B187" s="147">
        <v>45971</v>
      </c>
      <c r="C187" s="117">
        <v>261509029</v>
      </c>
      <c r="D187" s="115"/>
      <c r="E187" s="128">
        <v>1</v>
      </c>
      <c r="F187" s="117" t="s">
        <v>583</v>
      </c>
      <c r="G187" s="117" t="s">
        <v>455</v>
      </c>
      <c r="H187" s="117" t="s">
        <v>158</v>
      </c>
      <c r="I187" s="148" t="s">
        <v>632</v>
      </c>
      <c r="J187" s="156" t="s">
        <v>444</v>
      </c>
      <c r="K187" s="156" t="s">
        <v>39</v>
      </c>
      <c r="L187" s="120" t="s">
        <v>588</v>
      </c>
      <c r="M187" s="123">
        <v>1450000</v>
      </c>
      <c r="N187" s="127"/>
      <c r="O187" s="124">
        <v>5300000</v>
      </c>
      <c r="P187" s="124"/>
      <c r="Q187" s="124"/>
      <c r="R187" s="124"/>
      <c r="S187" s="124"/>
      <c r="T187" s="124">
        <f t="shared" si="8"/>
        <v>424000</v>
      </c>
      <c r="U187" s="150">
        <f t="shared" si="11"/>
        <v>7174000</v>
      </c>
      <c r="V187" s="117"/>
      <c r="W187" s="151" t="str">
        <f t="shared" si="9"/>
        <v xml:space="preserve">Cước vận chuyển Cát Lái - ĐỒNG PHÚ, BÌNH PHƯỚC cont: TCKU7845802 </v>
      </c>
    </row>
    <row r="188" spans="1:23" s="152" customFormat="1" ht="60" hidden="1" customHeight="1" x14ac:dyDescent="0.2">
      <c r="A188" s="122">
        <f t="shared" si="10"/>
        <v>172</v>
      </c>
      <c r="B188" s="147">
        <v>45971</v>
      </c>
      <c r="C188" s="117">
        <v>261509029</v>
      </c>
      <c r="D188" s="115"/>
      <c r="E188" s="128">
        <v>1</v>
      </c>
      <c r="F188" s="117" t="s">
        <v>584</v>
      </c>
      <c r="G188" s="117" t="s">
        <v>451</v>
      </c>
      <c r="H188" s="117" t="s">
        <v>158</v>
      </c>
      <c r="I188" s="148" t="s">
        <v>632</v>
      </c>
      <c r="J188" s="156" t="s">
        <v>444</v>
      </c>
      <c r="K188" s="156" t="s">
        <v>39</v>
      </c>
      <c r="L188" s="120" t="s">
        <v>590</v>
      </c>
      <c r="M188" s="123">
        <v>1450000</v>
      </c>
      <c r="N188" s="127"/>
      <c r="O188" s="124">
        <v>5300000</v>
      </c>
      <c r="P188" s="124"/>
      <c r="Q188" s="124"/>
      <c r="R188" s="124"/>
      <c r="S188" s="124"/>
      <c r="T188" s="124">
        <f t="shared" si="8"/>
        <v>424000</v>
      </c>
      <c r="U188" s="150">
        <f t="shared" si="11"/>
        <v>7174000</v>
      </c>
      <c r="V188" s="117" t="s">
        <v>413</v>
      </c>
      <c r="W188" s="151" t="str">
        <f t="shared" si="9"/>
        <v xml:space="preserve">Cước vận chuyển Cát Lái - ĐỒNG PHÚ, BÌNH PHƯỚC cont: CAAU6590602 </v>
      </c>
    </row>
    <row r="189" spans="1:23" s="152" customFormat="1" ht="60" hidden="1" customHeight="1" x14ac:dyDescent="0.2">
      <c r="A189" s="122">
        <f t="shared" si="10"/>
        <v>173</v>
      </c>
      <c r="B189" s="147">
        <v>45971</v>
      </c>
      <c r="C189" s="117">
        <v>261509029</v>
      </c>
      <c r="D189" s="115"/>
      <c r="E189" s="128">
        <v>1</v>
      </c>
      <c r="F189" s="117" t="s">
        <v>585</v>
      </c>
      <c r="G189" s="117" t="s">
        <v>186</v>
      </c>
      <c r="H189" s="117" t="s">
        <v>158</v>
      </c>
      <c r="I189" s="148" t="s">
        <v>632</v>
      </c>
      <c r="J189" s="156" t="s">
        <v>444</v>
      </c>
      <c r="K189" s="156" t="s">
        <v>39</v>
      </c>
      <c r="L189" s="120" t="s">
        <v>589</v>
      </c>
      <c r="M189" s="123">
        <v>1450000</v>
      </c>
      <c r="N189" s="127"/>
      <c r="O189" s="124">
        <v>5300000</v>
      </c>
      <c r="P189" s="124"/>
      <c r="Q189" s="124"/>
      <c r="R189" s="124"/>
      <c r="S189" s="124"/>
      <c r="T189" s="124">
        <f t="shared" si="8"/>
        <v>424000</v>
      </c>
      <c r="U189" s="150">
        <f t="shared" si="11"/>
        <v>7174000</v>
      </c>
      <c r="V189" s="117"/>
      <c r="W189" s="151" t="str">
        <f t="shared" si="9"/>
        <v xml:space="preserve">Cước vận chuyển Cát Lái - ĐỒNG PHÚ, BÌNH PHƯỚC cont: MRSU4294960 </v>
      </c>
    </row>
    <row r="190" spans="1:23" s="152" customFormat="1" ht="60" hidden="1" customHeight="1" x14ac:dyDescent="0.2">
      <c r="A190" s="122">
        <f t="shared" si="10"/>
        <v>174</v>
      </c>
      <c r="B190" s="147">
        <v>45971</v>
      </c>
      <c r="C190" s="117">
        <v>261509029</v>
      </c>
      <c r="D190" s="115"/>
      <c r="E190" s="128">
        <v>1</v>
      </c>
      <c r="F190" s="117" t="s">
        <v>586</v>
      </c>
      <c r="G190" s="117" t="s">
        <v>196</v>
      </c>
      <c r="H190" s="117" t="s">
        <v>158</v>
      </c>
      <c r="I190" s="148" t="s">
        <v>632</v>
      </c>
      <c r="J190" s="156" t="s">
        <v>444</v>
      </c>
      <c r="K190" s="156" t="s">
        <v>39</v>
      </c>
      <c r="L190" s="120" t="s">
        <v>591</v>
      </c>
      <c r="M190" s="123">
        <v>1450000</v>
      </c>
      <c r="N190" s="127"/>
      <c r="O190" s="124">
        <v>5300000</v>
      </c>
      <c r="P190" s="124"/>
      <c r="Q190" s="124"/>
      <c r="R190" s="124"/>
      <c r="S190" s="124"/>
      <c r="T190" s="124">
        <f t="shared" si="8"/>
        <v>424000</v>
      </c>
      <c r="U190" s="150">
        <f t="shared" si="11"/>
        <v>7174000</v>
      </c>
      <c r="V190" s="117"/>
      <c r="W190" s="151" t="str">
        <f t="shared" si="9"/>
        <v xml:space="preserve">Cước vận chuyển Cát Lái - ĐỒNG PHÚ, BÌNH PHƯỚC cont: MRKU4270902 </v>
      </c>
    </row>
    <row r="191" spans="1:23" s="152" customFormat="1" ht="60" hidden="1" customHeight="1" x14ac:dyDescent="0.2">
      <c r="A191" s="122">
        <f t="shared" si="10"/>
        <v>175</v>
      </c>
      <c r="B191" s="147">
        <v>45971</v>
      </c>
      <c r="C191" s="117">
        <v>261509311</v>
      </c>
      <c r="D191" s="115"/>
      <c r="E191" s="128">
        <v>1</v>
      </c>
      <c r="F191" s="128" t="s">
        <v>592</v>
      </c>
      <c r="G191" s="117" t="s">
        <v>460</v>
      </c>
      <c r="H191" s="117" t="s">
        <v>282</v>
      </c>
      <c r="I191" s="122" t="s">
        <v>172</v>
      </c>
      <c r="J191" s="156" t="s">
        <v>444</v>
      </c>
      <c r="K191" s="156" t="s">
        <v>39</v>
      </c>
      <c r="L191" s="120" t="s">
        <v>658</v>
      </c>
      <c r="M191" s="123">
        <v>1450000</v>
      </c>
      <c r="N191" s="127"/>
      <c r="O191" s="124">
        <f>4500000</f>
        <v>4500000</v>
      </c>
      <c r="P191" s="124">
        <v>500000</v>
      </c>
      <c r="Q191" s="124"/>
      <c r="R191" s="124"/>
      <c r="S191" s="124"/>
      <c r="T191" s="124">
        <f t="shared" si="8"/>
        <v>360000</v>
      </c>
      <c r="U191" s="150">
        <f t="shared" si="11"/>
        <v>6310000</v>
      </c>
      <c r="V191" s="117"/>
      <c r="W191" s="151" t="str">
        <f t="shared" si="9"/>
        <v xml:space="preserve">Cước vận chuyển Cát Lái - XÃ CHƠN THÀNH, TỈNH ĐỒNG NAI cont: MRKU3064980 </v>
      </c>
    </row>
    <row r="192" spans="1:23" s="152" customFormat="1" ht="60" hidden="1" customHeight="1" x14ac:dyDescent="0.2">
      <c r="A192" s="122">
        <f t="shared" si="10"/>
        <v>176</v>
      </c>
      <c r="B192" s="147">
        <v>45971</v>
      </c>
      <c r="C192" s="117">
        <v>261509311</v>
      </c>
      <c r="D192" s="115"/>
      <c r="E192" s="128">
        <v>1</v>
      </c>
      <c r="F192" s="117" t="s">
        <v>593</v>
      </c>
      <c r="G192" s="117" t="s">
        <v>484</v>
      </c>
      <c r="H192" s="117" t="s">
        <v>282</v>
      </c>
      <c r="I192" s="122" t="s">
        <v>172</v>
      </c>
      <c r="J192" s="156" t="s">
        <v>444</v>
      </c>
      <c r="K192" s="156" t="s">
        <v>39</v>
      </c>
      <c r="L192" s="120" t="s">
        <v>599</v>
      </c>
      <c r="M192" s="123">
        <v>1450000</v>
      </c>
      <c r="N192" s="127"/>
      <c r="O192" s="124">
        <f>4500000</f>
        <v>4500000</v>
      </c>
      <c r="P192" s="124">
        <v>500000</v>
      </c>
      <c r="Q192" s="124"/>
      <c r="R192" s="124"/>
      <c r="S192" s="124"/>
      <c r="T192" s="124">
        <f t="shared" si="8"/>
        <v>360000</v>
      </c>
      <c r="U192" s="150">
        <f t="shared" si="11"/>
        <v>6310000</v>
      </c>
      <c r="V192" s="117"/>
      <c r="W192" s="151" t="str">
        <f t="shared" si="9"/>
        <v xml:space="preserve">Cước vận chuyển Cát Lái - XÃ CHƠN THÀNH, TỈNH ĐỒNG NAI cont: MRSU5607307 </v>
      </c>
    </row>
    <row r="193" spans="1:23" s="152" customFormat="1" ht="60" hidden="1" customHeight="1" x14ac:dyDescent="0.2">
      <c r="A193" s="122">
        <f t="shared" si="10"/>
        <v>177</v>
      </c>
      <c r="B193" s="147">
        <v>45971</v>
      </c>
      <c r="C193" s="117">
        <v>261509311</v>
      </c>
      <c r="D193" s="115"/>
      <c r="E193" s="128">
        <v>1</v>
      </c>
      <c r="F193" s="117" t="s">
        <v>594</v>
      </c>
      <c r="G193" s="117" t="s">
        <v>177</v>
      </c>
      <c r="H193" s="117" t="s">
        <v>943</v>
      </c>
      <c r="I193" s="148" t="s">
        <v>633</v>
      </c>
      <c r="J193" s="156" t="s">
        <v>444</v>
      </c>
      <c r="K193" s="156" t="s">
        <v>39</v>
      </c>
      <c r="L193" s="120" t="s">
        <v>602</v>
      </c>
      <c r="M193" s="123">
        <v>1450000</v>
      </c>
      <c r="N193" s="127"/>
      <c r="O193" s="130">
        <f>3300000</f>
        <v>3300000</v>
      </c>
      <c r="P193" s="130">
        <v>2000000</v>
      </c>
      <c r="Q193" s="124"/>
      <c r="R193" s="124"/>
      <c r="S193" s="124"/>
      <c r="T193" s="124">
        <f t="shared" si="8"/>
        <v>264000</v>
      </c>
      <c r="U193" s="150">
        <f t="shared" si="11"/>
        <v>5014000</v>
      </c>
      <c r="V193" s="117"/>
      <c r="W193" s="151" t="str">
        <f t="shared" si="9"/>
        <v xml:space="preserve">Cước vận chuyển Cát Lái - BẮC TÂN UYÊN, BÌNH DƯƠNG cont: MRKU5444850 </v>
      </c>
    </row>
    <row r="194" spans="1:23" s="152" customFormat="1" ht="60" hidden="1" customHeight="1" x14ac:dyDescent="0.2">
      <c r="A194" s="122">
        <f t="shared" si="10"/>
        <v>178</v>
      </c>
      <c r="B194" s="147">
        <v>45971</v>
      </c>
      <c r="C194" s="117">
        <v>261509311</v>
      </c>
      <c r="D194" s="115"/>
      <c r="E194" s="128">
        <v>1</v>
      </c>
      <c r="F194" s="117" t="s">
        <v>595</v>
      </c>
      <c r="G194" s="117" t="s">
        <v>273</v>
      </c>
      <c r="H194" s="117" t="s">
        <v>943</v>
      </c>
      <c r="I194" s="148" t="s">
        <v>633</v>
      </c>
      <c r="J194" s="156" t="s">
        <v>444</v>
      </c>
      <c r="K194" s="156" t="s">
        <v>39</v>
      </c>
      <c r="L194" s="120" t="s">
        <v>598</v>
      </c>
      <c r="M194" s="123">
        <v>1450000</v>
      </c>
      <c r="N194" s="127"/>
      <c r="O194" s="130">
        <f>3300000</f>
        <v>3300000</v>
      </c>
      <c r="P194" s="130">
        <v>2000000</v>
      </c>
      <c r="Q194" s="124"/>
      <c r="R194" s="124"/>
      <c r="S194" s="124"/>
      <c r="T194" s="124">
        <f t="shared" si="8"/>
        <v>264000</v>
      </c>
      <c r="U194" s="150">
        <f t="shared" si="11"/>
        <v>5014000</v>
      </c>
      <c r="V194" s="117"/>
      <c r="W194" s="151" t="str">
        <f t="shared" si="9"/>
        <v xml:space="preserve">Cước vận chuyển Cát Lái - BẮC TÂN UYÊN, BÌNH DƯƠNG cont: MRKU4141361 </v>
      </c>
    </row>
    <row r="195" spans="1:23" s="152" customFormat="1" ht="60" hidden="1" customHeight="1" x14ac:dyDescent="0.2">
      <c r="A195" s="122">
        <f t="shared" si="10"/>
        <v>179</v>
      </c>
      <c r="B195" s="147">
        <v>45971</v>
      </c>
      <c r="C195" s="117">
        <v>261509311</v>
      </c>
      <c r="D195" s="115"/>
      <c r="E195" s="128">
        <v>1</v>
      </c>
      <c r="F195" s="117" t="s">
        <v>596</v>
      </c>
      <c r="G195" s="117" t="s">
        <v>294</v>
      </c>
      <c r="H195" s="117" t="s">
        <v>943</v>
      </c>
      <c r="I195" s="148" t="s">
        <v>633</v>
      </c>
      <c r="J195" s="156" t="s">
        <v>444</v>
      </c>
      <c r="K195" s="156" t="s">
        <v>39</v>
      </c>
      <c r="L195" s="120" t="s">
        <v>600</v>
      </c>
      <c r="M195" s="123">
        <v>1450000</v>
      </c>
      <c r="N195" s="127"/>
      <c r="O195" s="130">
        <f>3300000</f>
        <v>3300000</v>
      </c>
      <c r="P195" s="130">
        <v>2000000</v>
      </c>
      <c r="Q195" s="124"/>
      <c r="R195" s="124"/>
      <c r="S195" s="124"/>
      <c r="T195" s="124">
        <f t="shared" si="8"/>
        <v>264000</v>
      </c>
      <c r="U195" s="150">
        <f t="shared" si="11"/>
        <v>5014000</v>
      </c>
      <c r="V195" s="117"/>
      <c r="W195" s="151" t="str">
        <f t="shared" si="9"/>
        <v xml:space="preserve">Cước vận chuyển Cát Lái - BẮC TÂN UYÊN, BÌNH DƯƠNG cont: UETU8521671 </v>
      </c>
    </row>
    <row r="196" spans="1:23" s="152" customFormat="1" ht="60" hidden="1" customHeight="1" x14ac:dyDescent="0.2">
      <c r="A196" s="122">
        <f t="shared" si="10"/>
        <v>180</v>
      </c>
      <c r="B196" s="147">
        <v>45971</v>
      </c>
      <c r="C196" s="117">
        <v>261509311</v>
      </c>
      <c r="D196" s="115"/>
      <c r="E196" s="128">
        <v>1</v>
      </c>
      <c r="F196" s="117" t="s">
        <v>597</v>
      </c>
      <c r="G196" s="117" t="s">
        <v>178</v>
      </c>
      <c r="H196" s="117" t="s">
        <v>943</v>
      </c>
      <c r="I196" s="148" t="s">
        <v>633</v>
      </c>
      <c r="J196" s="156" t="s">
        <v>444</v>
      </c>
      <c r="K196" s="156" t="s">
        <v>39</v>
      </c>
      <c r="L196" s="120" t="s">
        <v>601</v>
      </c>
      <c r="M196" s="123">
        <v>1450000</v>
      </c>
      <c r="N196" s="127"/>
      <c r="O196" s="130">
        <f>3300000</f>
        <v>3300000</v>
      </c>
      <c r="P196" s="130">
        <v>2000000</v>
      </c>
      <c r="Q196" s="124"/>
      <c r="R196" s="124"/>
      <c r="S196" s="124"/>
      <c r="T196" s="124">
        <f t="shared" si="8"/>
        <v>264000</v>
      </c>
      <c r="U196" s="150">
        <f t="shared" si="11"/>
        <v>5014000</v>
      </c>
      <c r="V196" s="117"/>
      <c r="W196" s="151" t="str">
        <f t="shared" si="9"/>
        <v xml:space="preserve">Cước vận chuyển Cát Lái - BẮC TÂN UYÊN, BÌNH DƯƠNG cont: MRSU3937233  </v>
      </c>
    </row>
    <row r="197" spans="1:23" s="152" customFormat="1" ht="60" hidden="1" customHeight="1" x14ac:dyDescent="0.2">
      <c r="A197" s="122">
        <f t="shared" si="10"/>
        <v>181</v>
      </c>
      <c r="B197" s="147">
        <v>45971</v>
      </c>
      <c r="C197" s="128">
        <v>260736601</v>
      </c>
      <c r="D197" s="128"/>
      <c r="E197" s="128">
        <v>1</v>
      </c>
      <c r="F197" s="117" t="s">
        <v>603</v>
      </c>
      <c r="G197" s="117" t="s">
        <v>212</v>
      </c>
      <c r="H197" s="117" t="s">
        <v>176</v>
      </c>
      <c r="I197" s="148" t="s">
        <v>226</v>
      </c>
      <c r="J197" s="128" t="s">
        <v>39</v>
      </c>
      <c r="K197" s="128" t="s">
        <v>604</v>
      </c>
      <c r="L197" s="120">
        <v>223273</v>
      </c>
      <c r="M197" s="123">
        <v>1500000</v>
      </c>
      <c r="N197" s="127"/>
      <c r="O197" s="124">
        <v>4500000</v>
      </c>
      <c r="P197" s="124"/>
      <c r="Q197" s="124"/>
      <c r="R197" s="124"/>
      <c r="S197" s="124">
        <v>260000</v>
      </c>
      <c r="T197" s="124">
        <f t="shared" si="8"/>
        <v>360000</v>
      </c>
      <c r="U197" s="150">
        <f t="shared" si="11"/>
        <v>6620000</v>
      </c>
      <c r="V197" s="117"/>
      <c r="W197" s="151" t="str">
        <f t="shared" si="9"/>
        <v xml:space="preserve">Cước vận chuyển Cát Lái - CHƠN THÀNH, BÌNH PHƯỚC cont: CAAU8922861 </v>
      </c>
    </row>
    <row r="198" spans="1:23" s="152" customFormat="1" ht="60" hidden="1" customHeight="1" x14ac:dyDescent="0.2">
      <c r="A198" s="122">
        <f t="shared" si="10"/>
        <v>182</v>
      </c>
      <c r="B198" s="147">
        <v>45972</v>
      </c>
      <c r="C198" s="128">
        <v>3801304051</v>
      </c>
      <c r="D198" s="128"/>
      <c r="E198" s="128">
        <v>1</v>
      </c>
      <c r="F198" s="117" t="s">
        <v>605</v>
      </c>
      <c r="G198" s="117" t="s">
        <v>206</v>
      </c>
      <c r="H198" s="117" t="s">
        <v>158</v>
      </c>
      <c r="I198" s="148" t="s">
        <v>632</v>
      </c>
      <c r="J198" s="128" t="s">
        <v>39</v>
      </c>
      <c r="K198" s="117" t="s">
        <v>486</v>
      </c>
      <c r="L198" s="120" t="s">
        <v>608</v>
      </c>
      <c r="M198" s="123">
        <v>1500000</v>
      </c>
      <c r="N198" s="127"/>
      <c r="O198" s="124">
        <v>5300000</v>
      </c>
      <c r="P198" s="124"/>
      <c r="Q198" s="124"/>
      <c r="R198" s="124"/>
      <c r="S198" s="124"/>
      <c r="T198" s="124">
        <f t="shared" si="8"/>
        <v>424000</v>
      </c>
      <c r="U198" s="150">
        <f t="shared" si="11"/>
        <v>7224000</v>
      </c>
      <c r="V198" s="117"/>
      <c r="W198" s="151" t="str">
        <f t="shared" si="9"/>
        <v xml:space="preserve">Cước vận chuyển Cát Lái - ĐỒNG PHÚ, BÌNH PHƯỚC cont: CMAU8978589 </v>
      </c>
    </row>
    <row r="199" spans="1:23" s="152" customFormat="1" ht="60" hidden="1" customHeight="1" x14ac:dyDescent="0.2">
      <c r="A199" s="122">
        <f t="shared" si="10"/>
        <v>183</v>
      </c>
      <c r="B199" s="147">
        <v>45972</v>
      </c>
      <c r="C199" s="128">
        <v>3801304051</v>
      </c>
      <c r="D199" s="115"/>
      <c r="E199" s="128">
        <v>1</v>
      </c>
      <c r="F199" s="117" t="s">
        <v>606</v>
      </c>
      <c r="G199" s="117" t="s">
        <v>203</v>
      </c>
      <c r="H199" s="117" t="s">
        <v>158</v>
      </c>
      <c r="I199" s="148" t="s">
        <v>632</v>
      </c>
      <c r="J199" s="128" t="s">
        <v>39</v>
      </c>
      <c r="K199" s="117" t="s">
        <v>486</v>
      </c>
      <c r="L199" s="120" t="s">
        <v>610</v>
      </c>
      <c r="M199" s="123">
        <v>1500000</v>
      </c>
      <c r="N199" s="127"/>
      <c r="O199" s="124">
        <v>5300000</v>
      </c>
      <c r="P199" s="124"/>
      <c r="Q199" s="124"/>
      <c r="R199" s="124"/>
      <c r="S199" s="124"/>
      <c r="T199" s="124">
        <f t="shared" si="8"/>
        <v>424000</v>
      </c>
      <c r="U199" s="150">
        <f t="shared" si="11"/>
        <v>7224000</v>
      </c>
      <c r="V199" s="117"/>
      <c r="W199" s="151" t="str">
        <f t="shared" si="9"/>
        <v xml:space="preserve">Cước vận chuyển Cát Lái - ĐỒNG PHÚ, BÌNH PHƯỚC cont: TLLU7637975 </v>
      </c>
    </row>
    <row r="200" spans="1:23" s="152" customFormat="1" ht="60" hidden="1" customHeight="1" x14ac:dyDescent="0.2">
      <c r="A200" s="122">
        <f t="shared" si="10"/>
        <v>184</v>
      </c>
      <c r="B200" s="147">
        <v>45972</v>
      </c>
      <c r="C200" s="128">
        <v>3801304051</v>
      </c>
      <c r="D200" s="115"/>
      <c r="E200" s="128">
        <v>1</v>
      </c>
      <c r="F200" s="117" t="s">
        <v>607</v>
      </c>
      <c r="G200" s="117" t="s">
        <v>187</v>
      </c>
      <c r="H200" s="117" t="s">
        <v>158</v>
      </c>
      <c r="I200" s="148" t="s">
        <v>632</v>
      </c>
      <c r="J200" s="128" t="s">
        <v>39</v>
      </c>
      <c r="K200" s="117" t="s">
        <v>486</v>
      </c>
      <c r="L200" s="120" t="s">
        <v>609</v>
      </c>
      <c r="M200" s="123">
        <v>1500000</v>
      </c>
      <c r="N200" s="127"/>
      <c r="O200" s="124">
        <v>5300000</v>
      </c>
      <c r="P200" s="124"/>
      <c r="Q200" s="124"/>
      <c r="R200" s="124"/>
      <c r="S200" s="124"/>
      <c r="T200" s="124">
        <f t="shared" si="8"/>
        <v>424000</v>
      </c>
      <c r="U200" s="150">
        <f t="shared" si="11"/>
        <v>7224000</v>
      </c>
      <c r="V200" s="117"/>
      <c r="W200" s="151" t="str">
        <f t="shared" si="9"/>
        <v xml:space="preserve">Cước vận chuyển Cát Lái - ĐỒNG PHÚ, BÌNH PHƯỚC cont: CMAU6364489 </v>
      </c>
    </row>
    <row r="201" spans="1:23" s="152" customFormat="1" ht="60" hidden="1" customHeight="1" x14ac:dyDescent="0.2">
      <c r="A201" s="122">
        <f t="shared" si="10"/>
        <v>185</v>
      </c>
      <c r="B201" s="147">
        <v>45972</v>
      </c>
      <c r="C201" s="117">
        <v>257754105</v>
      </c>
      <c r="D201" s="128"/>
      <c r="E201" s="128">
        <v>1</v>
      </c>
      <c r="F201" s="117" t="s">
        <v>612</v>
      </c>
      <c r="G201" s="117" t="s">
        <v>185</v>
      </c>
      <c r="H201" s="117" t="s">
        <v>158</v>
      </c>
      <c r="I201" s="148" t="s">
        <v>632</v>
      </c>
      <c r="J201" s="156" t="s">
        <v>463</v>
      </c>
      <c r="K201" s="117" t="s">
        <v>486</v>
      </c>
      <c r="L201" s="120" t="s">
        <v>615</v>
      </c>
      <c r="M201" s="123">
        <v>1500000</v>
      </c>
      <c r="N201" s="127"/>
      <c r="O201" s="124">
        <v>5300000</v>
      </c>
      <c r="P201" s="124"/>
      <c r="Q201" s="124"/>
      <c r="R201" s="124"/>
      <c r="S201" s="124">
        <v>260000</v>
      </c>
      <c r="T201" s="124">
        <f t="shared" si="8"/>
        <v>424000</v>
      </c>
      <c r="U201" s="150">
        <f t="shared" si="11"/>
        <v>7484000</v>
      </c>
      <c r="V201" s="117"/>
      <c r="W201" s="151" t="str">
        <f t="shared" si="9"/>
        <v xml:space="preserve">Cước vận chuyển Cát Lái - ĐỒNG PHÚ, BÌNH PHƯỚC cont: MRSU4349152 </v>
      </c>
    </row>
    <row r="202" spans="1:23" s="152" customFormat="1" ht="60" hidden="1" customHeight="1" x14ac:dyDescent="0.2">
      <c r="A202" s="122">
        <f t="shared" si="10"/>
        <v>186</v>
      </c>
      <c r="B202" s="147">
        <v>45972</v>
      </c>
      <c r="C202" s="117">
        <v>257754105</v>
      </c>
      <c r="D202" s="115"/>
      <c r="E202" s="128">
        <v>1</v>
      </c>
      <c r="F202" s="117" t="s">
        <v>613</v>
      </c>
      <c r="G202" s="117" t="s">
        <v>196</v>
      </c>
      <c r="H202" s="117" t="s">
        <v>158</v>
      </c>
      <c r="I202" s="148" t="s">
        <v>632</v>
      </c>
      <c r="J202" s="156" t="s">
        <v>463</v>
      </c>
      <c r="K202" s="117" t="s">
        <v>486</v>
      </c>
      <c r="L202" s="120" t="s">
        <v>616</v>
      </c>
      <c r="M202" s="123">
        <v>1500000</v>
      </c>
      <c r="N202" s="127"/>
      <c r="O202" s="124">
        <v>5300000</v>
      </c>
      <c r="P202" s="124"/>
      <c r="Q202" s="124"/>
      <c r="R202" s="124"/>
      <c r="S202" s="124">
        <v>260000</v>
      </c>
      <c r="T202" s="124">
        <f t="shared" si="8"/>
        <v>424000</v>
      </c>
      <c r="U202" s="150">
        <f t="shared" si="11"/>
        <v>7484000</v>
      </c>
      <c r="V202" s="117"/>
      <c r="W202" s="151" t="str">
        <f t="shared" si="9"/>
        <v xml:space="preserve">Cước vận chuyển Cát Lái - ĐỒNG PHÚ, BÌNH PHƯỚC cont: MSKU1664294 </v>
      </c>
    </row>
    <row r="203" spans="1:23" s="152" customFormat="1" ht="60" hidden="1" customHeight="1" x14ac:dyDescent="0.2">
      <c r="A203" s="122">
        <f t="shared" si="10"/>
        <v>187</v>
      </c>
      <c r="B203" s="147">
        <v>45972</v>
      </c>
      <c r="C203" s="117">
        <v>257754105</v>
      </c>
      <c r="D203" s="115"/>
      <c r="E203" s="128">
        <v>1</v>
      </c>
      <c r="F203" s="128" t="s">
        <v>614</v>
      </c>
      <c r="G203" s="117" t="s">
        <v>193</v>
      </c>
      <c r="H203" s="117" t="s">
        <v>158</v>
      </c>
      <c r="I203" s="148" t="s">
        <v>632</v>
      </c>
      <c r="J203" s="156" t="s">
        <v>463</v>
      </c>
      <c r="K203" s="117" t="s">
        <v>486</v>
      </c>
      <c r="L203" s="120" t="s">
        <v>617</v>
      </c>
      <c r="M203" s="123">
        <v>1500000</v>
      </c>
      <c r="N203" s="127"/>
      <c r="O203" s="124">
        <v>5300000</v>
      </c>
      <c r="P203" s="124"/>
      <c r="Q203" s="124"/>
      <c r="R203" s="124"/>
      <c r="S203" s="124">
        <v>260000</v>
      </c>
      <c r="T203" s="124">
        <f t="shared" si="8"/>
        <v>424000</v>
      </c>
      <c r="U203" s="150">
        <f t="shared" si="11"/>
        <v>7484000</v>
      </c>
      <c r="V203" s="117" t="s">
        <v>413</v>
      </c>
      <c r="W203" s="151" t="str">
        <f t="shared" si="9"/>
        <v xml:space="preserve">Cước vận chuyển Cát Lái - ĐỒNG PHÚ, BÌNH PHƯỚC cont: MRSU7871875 </v>
      </c>
    </row>
    <row r="204" spans="1:23" s="152" customFormat="1" ht="60" hidden="1" customHeight="1" x14ac:dyDescent="0.2">
      <c r="A204" s="122">
        <f t="shared" si="10"/>
        <v>188</v>
      </c>
      <c r="B204" s="147">
        <v>45972</v>
      </c>
      <c r="C204" s="117" t="s">
        <v>611</v>
      </c>
      <c r="D204" s="115"/>
      <c r="E204" s="128">
        <v>1</v>
      </c>
      <c r="F204" s="117" t="s">
        <v>618</v>
      </c>
      <c r="G204" s="117" t="s">
        <v>458</v>
      </c>
      <c r="H204" s="117" t="s">
        <v>176</v>
      </c>
      <c r="I204" s="148" t="s">
        <v>226</v>
      </c>
      <c r="J204" s="128" t="s">
        <v>39</v>
      </c>
      <c r="K204" s="117" t="s">
        <v>174</v>
      </c>
      <c r="L204" s="120" t="s">
        <v>619</v>
      </c>
      <c r="M204" s="123">
        <v>1500000</v>
      </c>
      <c r="N204" s="127"/>
      <c r="O204" s="124">
        <v>4500000</v>
      </c>
      <c r="P204" s="124"/>
      <c r="Q204" s="124"/>
      <c r="R204" s="124"/>
      <c r="S204" s="124"/>
      <c r="T204" s="124">
        <f t="shared" si="8"/>
        <v>360000</v>
      </c>
      <c r="U204" s="150">
        <f t="shared" si="11"/>
        <v>6360000</v>
      </c>
      <c r="V204" s="117" t="s">
        <v>413</v>
      </c>
      <c r="W204" s="151" t="str">
        <f t="shared" si="9"/>
        <v xml:space="preserve">Cước vận chuyển Cát Lái - CHƠN THÀNH, BÌNH PHƯỚC cont: EITU1259181 </v>
      </c>
    </row>
    <row r="205" spans="1:23" s="152" customFormat="1" ht="60" hidden="1" customHeight="1" x14ac:dyDescent="0.2">
      <c r="A205" s="122">
        <f t="shared" si="10"/>
        <v>189</v>
      </c>
      <c r="B205" s="147">
        <v>45972</v>
      </c>
      <c r="C205" s="128" t="s">
        <v>653</v>
      </c>
      <c r="D205" s="128"/>
      <c r="E205" s="128">
        <v>1</v>
      </c>
      <c r="F205" s="117" t="s">
        <v>654</v>
      </c>
      <c r="G205" s="199" t="s">
        <v>181</v>
      </c>
      <c r="H205" s="117" t="s">
        <v>282</v>
      </c>
      <c r="I205" s="122" t="s">
        <v>172</v>
      </c>
      <c r="J205" s="128" t="s">
        <v>39</v>
      </c>
      <c r="K205" s="117" t="s">
        <v>174</v>
      </c>
      <c r="L205" s="120" t="s">
        <v>656</v>
      </c>
      <c r="M205" s="123">
        <v>1500000</v>
      </c>
      <c r="N205" s="127"/>
      <c r="O205" s="124">
        <v>4500000</v>
      </c>
      <c r="P205" s="124"/>
      <c r="Q205" s="124"/>
      <c r="R205" s="124"/>
      <c r="S205" s="124"/>
      <c r="T205" s="124">
        <f t="shared" si="8"/>
        <v>360000</v>
      </c>
      <c r="U205" s="150">
        <f t="shared" si="11"/>
        <v>6360000</v>
      </c>
      <c r="V205" s="117" t="s">
        <v>413</v>
      </c>
      <c r="W205" s="151" t="str">
        <f t="shared" si="9"/>
        <v xml:space="preserve">Cước vận chuyển Cát Lái - XÃ CHƠN THÀNH, TỈNH ĐỒNG NAI cont: TXGU6699418 </v>
      </c>
    </row>
    <row r="206" spans="1:23" s="152" customFormat="1" ht="60" hidden="1" customHeight="1" x14ac:dyDescent="0.2">
      <c r="A206" s="122">
        <f t="shared" si="10"/>
        <v>190</v>
      </c>
      <c r="B206" s="147">
        <v>45972</v>
      </c>
      <c r="C206" s="128" t="s">
        <v>653</v>
      </c>
      <c r="D206" s="115"/>
      <c r="E206" s="128">
        <v>1</v>
      </c>
      <c r="F206" s="117" t="s">
        <v>655</v>
      </c>
      <c r="G206" s="117" t="s">
        <v>419</v>
      </c>
      <c r="H206" s="117" t="s">
        <v>282</v>
      </c>
      <c r="I206" s="122" t="s">
        <v>172</v>
      </c>
      <c r="J206" s="128" t="s">
        <v>39</v>
      </c>
      <c r="K206" s="117" t="s">
        <v>174</v>
      </c>
      <c r="L206" s="120" t="s">
        <v>657</v>
      </c>
      <c r="M206" s="123">
        <v>1500000</v>
      </c>
      <c r="N206" s="127"/>
      <c r="O206" s="124">
        <v>4500000</v>
      </c>
      <c r="P206" s="124"/>
      <c r="Q206" s="124"/>
      <c r="R206" s="124"/>
      <c r="S206" s="124"/>
      <c r="T206" s="124">
        <f t="shared" si="8"/>
        <v>360000</v>
      </c>
      <c r="U206" s="150">
        <f t="shared" si="11"/>
        <v>6360000</v>
      </c>
      <c r="V206" s="117"/>
      <c r="W206" s="151" t="str">
        <f t="shared" si="9"/>
        <v xml:space="preserve">Cước vận chuyển Cát Lái - XÃ CHƠN THÀNH, TỈNH ĐỒNG NAI cont: TGBU6957314 </v>
      </c>
    </row>
    <row r="207" spans="1:23" s="152" customFormat="1" ht="60" hidden="1" customHeight="1" x14ac:dyDescent="0.2">
      <c r="A207" s="122">
        <f t="shared" si="10"/>
        <v>191</v>
      </c>
      <c r="B207" s="147">
        <v>45973</v>
      </c>
      <c r="C207" s="117">
        <v>261670478</v>
      </c>
      <c r="D207" s="115"/>
      <c r="E207" s="128">
        <v>1</v>
      </c>
      <c r="F207" s="117" t="s">
        <v>620</v>
      </c>
      <c r="G207" s="117" t="s">
        <v>206</v>
      </c>
      <c r="H207" s="117" t="s">
        <v>353</v>
      </c>
      <c r="I207" s="148" t="s">
        <v>354</v>
      </c>
      <c r="J207" s="128" t="s">
        <v>300</v>
      </c>
      <c r="K207" s="117" t="s">
        <v>39</v>
      </c>
      <c r="L207" s="120" t="s">
        <v>622</v>
      </c>
      <c r="M207" s="123">
        <v>1500000</v>
      </c>
      <c r="N207" s="127"/>
      <c r="O207" s="124">
        <v>2700000</v>
      </c>
      <c r="P207" s="124"/>
      <c r="Q207" s="124"/>
      <c r="R207" s="124"/>
      <c r="S207" s="124"/>
      <c r="T207" s="124">
        <f t="shared" si="8"/>
        <v>216000</v>
      </c>
      <c r="U207" s="150">
        <f t="shared" si="11"/>
        <v>4416000</v>
      </c>
      <c r="V207" s="117"/>
      <c r="W207" s="151" t="str">
        <f t="shared" si="9"/>
        <v xml:space="preserve">Cước vận chuyển Cát Lái - THỦ DẦU MỘT, BÌNH DƯƠNG cont: MRKU4619316 </v>
      </c>
    </row>
    <row r="208" spans="1:23" s="152" customFormat="1" ht="60" hidden="1" customHeight="1" x14ac:dyDescent="0.2">
      <c r="A208" s="122">
        <f t="shared" si="10"/>
        <v>192</v>
      </c>
      <c r="B208" s="147">
        <v>45973</v>
      </c>
      <c r="C208" s="117">
        <v>261670478</v>
      </c>
      <c r="D208" s="115"/>
      <c r="E208" s="128">
        <v>1</v>
      </c>
      <c r="F208" s="117" t="s">
        <v>621</v>
      </c>
      <c r="G208" s="117" t="s">
        <v>458</v>
      </c>
      <c r="H208" s="117" t="s">
        <v>353</v>
      </c>
      <c r="I208" s="148" t="s">
        <v>354</v>
      </c>
      <c r="J208" s="128" t="s">
        <v>300</v>
      </c>
      <c r="K208" s="117" t="s">
        <v>39</v>
      </c>
      <c r="L208" s="120" t="s">
        <v>623</v>
      </c>
      <c r="M208" s="123">
        <v>1500000</v>
      </c>
      <c r="N208" s="127"/>
      <c r="O208" s="124">
        <v>2700000</v>
      </c>
      <c r="P208" s="124"/>
      <c r="Q208" s="124"/>
      <c r="R208" s="124"/>
      <c r="S208" s="124"/>
      <c r="T208" s="124">
        <f t="shared" ref="T208:T271" si="12">O208*0.08</f>
        <v>216000</v>
      </c>
      <c r="U208" s="150">
        <f t="shared" si="11"/>
        <v>4416000</v>
      </c>
      <c r="V208" s="117" t="s">
        <v>413</v>
      </c>
      <c r="W208" s="151" t="str">
        <f t="shared" si="9"/>
        <v xml:space="preserve">Cước vận chuyển Cát Lái - THỦ DẦU MỘT, BÌNH DƯƠNG cont: SEGU4304525 </v>
      </c>
    </row>
    <row r="209" spans="1:23" s="152" customFormat="1" ht="60" hidden="1" customHeight="1" x14ac:dyDescent="0.2">
      <c r="A209" s="122">
        <f t="shared" ref="A209:A272" si="13">ROW()-16</f>
        <v>193</v>
      </c>
      <c r="B209" s="147">
        <v>45973</v>
      </c>
      <c r="C209" s="117">
        <v>259011434</v>
      </c>
      <c r="D209" s="115"/>
      <c r="E209" s="128">
        <v>1</v>
      </c>
      <c r="F209" s="117" t="s">
        <v>624</v>
      </c>
      <c r="G209" s="117" t="s">
        <v>459</v>
      </c>
      <c r="H209" s="117" t="s">
        <v>353</v>
      </c>
      <c r="I209" s="148" t="s">
        <v>354</v>
      </c>
      <c r="J209" s="156" t="s">
        <v>39</v>
      </c>
      <c r="K209" s="196" t="s">
        <v>625</v>
      </c>
      <c r="L209" s="120" t="s">
        <v>626</v>
      </c>
      <c r="M209" s="123">
        <v>1500000</v>
      </c>
      <c r="N209" s="127"/>
      <c r="O209" s="124">
        <v>2700000</v>
      </c>
      <c r="P209" s="124"/>
      <c r="Q209" s="124"/>
      <c r="R209" s="124"/>
      <c r="S209" s="124"/>
      <c r="T209" s="124">
        <f t="shared" si="12"/>
        <v>216000</v>
      </c>
      <c r="U209" s="150">
        <f t="shared" ref="U209:U272" si="14">T209+S209+Q209+O209+M209+N209</f>
        <v>4416000</v>
      </c>
      <c r="V209" s="117"/>
      <c r="W209" s="151" t="str">
        <f t="shared" ref="W209:W272" si="15">"Cước vận chuyển Cát Lái - "&amp;I209&amp;" cont: "&amp;F209&amp;" "</f>
        <v xml:space="preserve">Cước vận chuyển Cát Lái - THỦ DẦU MỘT, BÌNH DƯƠNG cont: MRKU3564230 </v>
      </c>
    </row>
    <row r="210" spans="1:23" s="152" customFormat="1" ht="60" hidden="1" customHeight="1" x14ac:dyDescent="0.2">
      <c r="A210" s="122">
        <f t="shared" si="13"/>
        <v>194</v>
      </c>
      <c r="B210" s="147">
        <v>45973</v>
      </c>
      <c r="C210" s="117" t="s">
        <v>627</v>
      </c>
      <c r="D210" s="115"/>
      <c r="E210" s="128">
        <v>1</v>
      </c>
      <c r="F210" s="117" t="s">
        <v>628</v>
      </c>
      <c r="G210" s="117" t="s">
        <v>193</v>
      </c>
      <c r="H210" s="117" t="s">
        <v>158</v>
      </c>
      <c r="I210" s="148" t="s">
        <v>632</v>
      </c>
      <c r="J210" s="220" t="s">
        <v>39</v>
      </c>
      <c r="K210" s="117" t="s">
        <v>174</v>
      </c>
      <c r="L210" s="120" t="s">
        <v>634</v>
      </c>
      <c r="M210" s="123">
        <v>1500000</v>
      </c>
      <c r="N210" s="127"/>
      <c r="O210" s="124">
        <v>5300000</v>
      </c>
      <c r="P210" s="124"/>
      <c r="Q210" s="124"/>
      <c r="R210" s="124"/>
      <c r="S210" s="124"/>
      <c r="T210" s="124">
        <f t="shared" si="12"/>
        <v>424000</v>
      </c>
      <c r="U210" s="150">
        <f t="shared" si="14"/>
        <v>7224000</v>
      </c>
      <c r="V210" s="117" t="s">
        <v>413</v>
      </c>
      <c r="W210" s="151" t="str">
        <f t="shared" si="15"/>
        <v xml:space="preserve">Cước vận chuyển Cát Lái - ĐỒNG PHÚ, BÌNH PHƯỚC cont: EGHU9679050 </v>
      </c>
    </row>
    <row r="211" spans="1:23" s="152" customFormat="1" ht="60" hidden="1" customHeight="1" x14ac:dyDescent="0.2">
      <c r="A211" s="122">
        <f t="shared" si="13"/>
        <v>195</v>
      </c>
      <c r="B211" s="147">
        <v>45973</v>
      </c>
      <c r="C211" s="117" t="s">
        <v>627</v>
      </c>
      <c r="D211" s="115"/>
      <c r="E211" s="128">
        <v>1</v>
      </c>
      <c r="F211" s="117" t="s">
        <v>631</v>
      </c>
      <c r="G211" s="117" t="s">
        <v>451</v>
      </c>
      <c r="H211" s="117" t="s">
        <v>158</v>
      </c>
      <c r="I211" s="148" t="s">
        <v>632</v>
      </c>
      <c r="J211" s="220" t="s">
        <v>39</v>
      </c>
      <c r="K211" s="117" t="s">
        <v>174</v>
      </c>
      <c r="L211" s="120" t="s">
        <v>635</v>
      </c>
      <c r="M211" s="123">
        <v>1500000</v>
      </c>
      <c r="N211" s="127">
        <v>950000</v>
      </c>
      <c r="O211" s="124">
        <v>5300000</v>
      </c>
      <c r="P211" s="124"/>
      <c r="Q211" s="124"/>
      <c r="R211" s="124"/>
      <c r="S211" s="124"/>
      <c r="T211" s="124">
        <f t="shared" si="12"/>
        <v>424000</v>
      </c>
      <c r="U211" s="150">
        <f t="shared" si="14"/>
        <v>8174000</v>
      </c>
      <c r="V211" s="117"/>
      <c r="W211" s="151" t="str">
        <f t="shared" si="15"/>
        <v xml:space="preserve">Cước vận chuyển Cát Lái - ĐỒNG PHÚ, BÌNH PHƯỚC cont: TRHU5023055 </v>
      </c>
    </row>
    <row r="212" spans="1:23" s="152" customFormat="1" ht="60" hidden="1" customHeight="1" x14ac:dyDescent="0.2">
      <c r="A212" s="122">
        <f t="shared" si="13"/>
        <v>196</v>
      </c>
      <c r="B212" s="147">
        <v>45973</v>
      </c>
      <c r="C212" s="117" t="s">
        <v>627</v>
      </c>
      <c r="D212" s="115"/>
      <c r="E212" s="128">
        <v>1</v>
      </c>
      <c r="F212" s="128" t="s">
        <v>630</v>
      </c>
      <c r="G212" s="117" t="s">
        <v>187</v>
      </c>
      <c r="H212" s="117" t="s">
        <v>158</v>
      </c>
      <c r="I212" s="148" t="s">
        <v>632</v>
      </c>
      <c r="J212" s="220" t="s">
        <v>39</v>
      </c>
      <c r="K212" s="117" t="s">
        <v>174</v>
      </c>
      <c r="L212" s="120" t="s">
        <v>636</v>
      </c>
      <c r="M212" s="123">
        <v>1500000</v>
      </c>
      <c r="N212" s="127"/>
      <c r="O212" s="124">
        <v>5300000</v>
      </c>
      <c r="P212" s="124"/>
      <c r="Q212" s="124"/>
      <c r="R212" s="124"/>
      <c r="S212" s="124"/>
      <c r="T212" s="124">
        <f t="shared" si="12"/>
        <v>424000</v>
      </c>
      <c r="U212" s="150">
        <f t="shared" si="14"/>
        <v>7224000</v>
      </c>
      <c r="V212" s="117"/>
      <c r="W212" s="151" t="str">
        <f t="shared" si="15"/>
        <v xml:space="preserve">Cước vận chuyển Cát Lái - ĐỒNG PHÚ, BÌNH PHƯỚC cont: EGSU9817066 </v>
      </c>
    </row>
    <row r="213" spans="1:23" s="152" customFormat="1" ht="60" hidden="1" customHeight="1" x14ac:dyDescent="0.2">
      <c r="A213" s="122">
        <f t="shared" si="13"/>
        <v>197</v>
      </c>
      <c r="B213" s="147">
        <v>45973</v>
      </c>
      <c r="C213" s="128">
        <v>259939738</v>
      </c>
      <c r="D213" s="128"/>
      <c r="E213" s="128">
        <v>1</v>
      </c>
      <c r="F213" s="117" t="s">
        <v>637</v>
      </c>
      <c r="G213" s="117" t="s">
        <v>188</v>
      </c>
      <c r="H213" s="117" t="s">
        <v>176</v>
      </c>
      <c r="I213" s="148" t="s">
        <v>226</v>
      </c>
      <c r="J213" s="220" t="s">
        <v>39</v>
      </c>
      <c r="K213" s="196" t="s">
        <v>370</v>
      </c>
      <c r="L213" s="120" t="s">
        <v>642</v>
      </c>
      <c r="M213" s="123">
        <v>1450000</v>
      </c>
      <c r="N213" s="127"/>
      <c r="O213" s="124">
        <v>4500000</v>
      </c>
      <c r="P213" s="124"/>
      <c r="Q213" s="124"/>
      <c r="R213" s="124"/>
      <c r="S213" s="124"/>
      <c r="T213" s="124">
        <f t="shared" si="12"/>
        <v>360000</v>
      </c>
      <c r="U213" s="150">
        <f t="shared" si="14"/>
        <v>6310000</v>
      </c>
      <c r="V213" s="117" t="s">
        <v>413</v>
      </c>
      <c r="W213" s="151" t="str">
        <f t="shared" si="15"/>
        <v xml:space="preserve">Cước vận chuyển Cát Lái - CHƠN THÀNH, BÌNH PHƯỚC cont: FFAU7440339 </v>
      </c>
    </row>
    <row r="214" spans="1:23" s="152" customFormat="1" ht="60" hidden="1" customHeight="1" x14ac:dyDescent="0.2">
      <c r="A214" s="122">
        <f t="shared" si="13"/>
        <v>198</v>
      </c>
      <c r="B214" s="147">
        <v>45973</v>
      </c>
      <c r="C214" s="128">
        <v>259939738</v>
      </c>
      <c r="D214" s="115"/>
      <c r="E214" s="128">
        <v>1</v>
      </c>
      <c r="F214" s="117" t="s">
        <v>638</v>
      </c>
      <c r="G214" s="117" t="s">
        <v>454</v>
      </c>
      <c r="H214" s="117" t="s">
        <v>176</v>
      </c>
      <c r="I214" s="148" t="s">
        <v>226</v>
      </c>
      <c r="J214" s="220" t="s">
        <v>39</v>
      </c>
      <c r="K214" s="196" t="s">
        <v>370</v>
      </c>
      <c r="L214" s="120" t="s">
        <v>641</v>
      </c>
      <c r="M214" s="123">
        <v>1450000</v>
      </c>
      <c r="N214" s="127"/>
      <c r="O214" s="124">
        <v>4500000</v>
      </c>
      <c r="P214" s="124"/>
      <c r="Q214" s="124"/>
      <c r="R214" s="124"/>
      <c r="S214" s="124"/>
      <c r="T214" s="124">
        <f t="shared" si="12"/>
        <v>360000</v>
      </c>
      <c r="U214" s="150">
        <f t="shared" si="14"/>
        <v>6310000</v>
      </c>
      <c r="V214" s="117"/>
      <c r="W214" s="151" t="str">
        <f t="shared" si="15"/>
        <v xml:space="preserve">Cước vận chuyển Cát Lái - CHƠN THÀNH, BÌNH PHƯỚC cont: MRSU7393143 </v>
      </c>
    </row>
    <row r="215" spans="1:23" s="152" customFormat="1" ht="60" hidden="1" customHeight="1" x14ac:dyDescent="0.2">
      <c r="A215" s="122">
        <f t="shared" si="13"/>
        <v>199</v>
      </c>
      <c r="B215" s="147">
        <v>45973</v>
      </c>
      <c r="C215" s="128">
        <v>259939738</v>
      </c>
      <c r="D215" s="115"/>
      <c r="E215" s="128">
        <v>1</v>
      </c>
      <c r="F215" s="117" t="s">
        <v>639</v>
      </c>
      <c r="G215" s="117" t="s">
        <v>460</v>
      </c>
      <c r="H215" s="117" t="s">
        <v>176</v>
      </c>
      <c r="I215" s="148" t="s">
        <v>226</v>
      </c>
      <c r="J215" s="220" t="s">
        <v>39</v>
      </c>
      <c r="K215" s="196" t="s">
        <v>370</v>
      </c>
      <c r="L215" s="120" t="s">
        <v>644</v>
      </c>
      <c r="M215" s="123">
        <v>1450000</v>
      </c>
      <c r="N215" s="127"/>
      <c r="O215" s="124">
        <v>4500000</v>
      </c>
      <c r="P215" s="124"/>
      <c r="Q215" s="124"/>
      <c r="R215" s="124"/>
      <c r="S215" s="124"/>
      <c r="T215" s="124">
        <f t="shared" si="12"/>
        <v>360000</v>
      </c>
      <c r="U215" s="150">
        <f t="shared" si="14"/>
        <v>6310000</v>
      </c>
      <c r="V215" s="117"/>
      <c r="W215" s="151" t="str">
        <f t="shared" si="15"/>
        <v xml:space="preserve">Cước vận chuyển Cát Lái - CHƠN THÀNH, BÌNH PHƯỚC cont: TRHU4028978 </v>
      </c>
    </row>
    <row r="216" spans="1:23" s="152" customFormat="1" ht="60" hidden="1" customHeight="1" x14ac:dyDescent="0.2">
      <c r="A216" s="122">
        <f t="shared" si="13"/>
        <v>200</v>
      </c>
      <c r="B216" s="147">
        <v>45973</v>
      </c>
      <c r="C216" s="128">
        <v>259939738</v>
      </c>
      <c r="D216" s="115"/>
      <c r="E216" s="128">
        <v>1</v>
      </c>
      <c r="F216" s="117" t="s">
        <v>640</v>
      </c>
      <c r="G216" s="117" t="s">
        <v>189</v>
      </c>
      <c r="H216" s="117" t="s">
        <v>176</v>
      </c>
      <c r="I216" s="148" t="s">
        <v>226</v>
      </c>
      <c r="J216" s="225" t="s">
        <v>39</v>
      </c>
      <c r="K216" s="196" t="s">
        <v>370</v>
      </c>
      <c r="L216" s="120" t="s">
        <v>643</v>
      </c>
      <c r="M216" s="123">
        <v>1450000</v>
      </c>
      <c r="N216" s="127"/>
      <c r="O216" s="124">
        <v>4500000</v>
      </c>
      <c r="P216" s="124"/>
      <c r="Q216" s="124"/>
      <c r="R216" s="124"/>
      <c r="S216" s="124"/>
      <c r="T216" s="124">
        <f t="shared" si="12"/>
        <v>360000</v>
      </c>
      <c r="U216" s="150">
        <f t="shared" si="14"/>
        <v>6310000</v>
      </c>
      <c r="V216" s="117" t="s">
        <v>413</v>
      </c>
      <c r="W216" s="151" t="str">
        <f t="shared" si="15"/>
        <v xml:space="preserve">Cước vận chuyển Cát Lái - CHƠN THÀNH, BÌNH PHƯỚC cont: SELU4011391 </v>
      </c>
    </row>
    <row r="217" spans="1:23" s="152" customFormat="1" ht="60" hidden="1" customHeight="1" x14ac:dyDescent="0.2">
      <c r="A217" s="122">
        <f t="shared" si="13"/>
        <v>201</v>
      </c>
      <c r="B217" s="147">
        <v>45973</v>
      </c>
      <c r="C217" s="117">
        <v>259011478</v>
      </c>
      <c r="D217" s="115"/>
      <c r="E217" s="128">
        <v>1</v>
      </c>
      <c r="F217" s="117" t="s">
        <v>621</v>
      </c>
      <c r="G217" s="117" t="s">
        <v>196</v>
      </c>
      <c r="H217" s="128" t="s">
        <v>806</v>
      </c>
      <c r="I217" s="148" t="s">
        <v>354</v>
      </c>
      <c r="J217" s="148" t="s">
        <v>39</v>
      </c>
      <c r="K217" s="117" t="s">
        <v>625</v>
      </c>
      <c r="L217" s="120" t="s">
        <v>646</v>
      </c>
      <c r="M217" s="123">
        <v>1500000</v>
      </c>
      <c r="N217" s="127"/>
      <c r="O217" s="124">
        <v>1890000</v>
      </c>
      <c r="P217" s="124"/>
      <c r="Q217" s="124"/>
      <c r="R217" s="124"/>
      <c r="S217" s="124"/>
      <c r="T217" s="124">
        <f t="shared" si="12"/>
        <v>151200</v>
      </c>
      <c r="U217" s="150">
        <f t="shared" si="14"/>
        <v>3541200</v>
      </c>
      <c r="V217" s="117" t="s">
        <v>413</v>
      </c>
      <c r="W217" s="151" t="str">
        <f t="shared" si="15"/>
        <v xml:space="preserve">Cước vận chuyển Cát Lái - THỦ DẦU MỘT, BÌNH DƯƠNG cont: SEGU4304525 </v>
      </c>
    </row>
    <row r="218" spans="1:23" s="152" customFormat="1" ht="60" hidden="1" customHeight="1" x14ac:dyDescent="0.2">
      <c r="A218" s="122">
        <f t="shared" si="13"/>
        <v>202</v>
      </c>
      <c r="B218" s="147">
        <v>45973</v>
      </c>
      <c r="C218" s="117">
        <v>259011478</v>
      </c>
      <c r="D218" s="115"/>
      <c r="E218" s="128">
        <v>1</v>
      </c>
      <c r="F218" s="117" t="s">
        <v>620</v>
      </c>
      <c r="G218" s="117" t="s">
        <v>188</v>
      </c>
      <c r="H218" s="128" t="s">
        <v>806</v>
      </c>
      <c r="I218" s="148" t="s">
        <v>354</v>
      </c>
      <c r="J218" s="148" t="s">
        <v>39</v>
      </c>
      <c r="K218" s="117" t="s">
        <v>625</v>
      </c>
      <c r="L218" s="120" t="s">
        <v>645</v>
      </c>
      <c r="M218" s="123">
        <v>1500000</v>
      </c>
      <c r="N218" s="127"/>
      <c r="O218" s="124">
        <v>1890000</v>
      </c>
      <c r="P218" s="124"/>
      <c r="Q218" s="124"/>
      <c r="R218" s="124"/>
      <c r="S218" s="124"/>
      <c r="T218" s="124">
        <f t="shared" si="12"/>
        <v>151200</v>
      </c>
      <c r="U218" s="150">
        <f t="shared" si="14"/>
        <v>3541200</v>
      </c>
      <c r="V218" s="117"/>
      <c r="W218" s="151" t="str">
        <f t="shared" si="15"/>
        <v xml:space="preserve">Cước vận chuyển Cát Lái - THỦ DẦU MỘT, BÌNH DƯƠNG cont: MRKU4619316 </v>
      </c>
    </row>
    <row r="219" spans="1:23" s="152" customFormat="1" ht="60" hidden="1" customHeight="1" x14ac:dyDescent="0.2">
      <c r="A219" s="122">
        <f t="shared" si="13"/>
        <v>203</v>
      </c>
      <c r="B219" s="147">
        <v>45973</v>
      </c>
      <c r="C219" s="117" t="s">
        <v>648</v>
      </c>
      <c r="D219" s="115"/>
      <c r="E219" s="128">
        <v>1</v>
      </c>
      <c r="F219" s="117" t="s">
        <v>649</v>
      </c>
      <c r="G219" s="117" t="s">
        <v>460</v>
      </c>
      <c r="H219" s="117" t="s">
        <v>353</v>
      </c>
      <c r="I219" s="148" t="s">
        <v>354</v>
      </c>
      <c r="J219" s="220" t="s">
        <v>494</v>
      </c>
      <c r="K219" s="117" t="s">
        <v>39</v>
      </c>
      <c r="L219" s="120">
        <v>86248</v>
      </c>
      <c r="M219" s="123">
        <v>1500000</v>
      </c>
      <c r="N219" s="127"/>
      <c r="O219" s="124">
        <v>2700000</v>
      </c>
      <c r="P219" s="124"/>
      <c r="Q219" s="124"/>
      <c r="R219" s="124"/>
      <c r="S219" s="124"/>
      <c r="T219" s="124">
        <f t="shared" si="12"/>
        <v>216000</v>
      </c>
      <c r="U219" s="150">
        <f t="shared" si="14"/>
        <v>4416000</v>
      </c>
      <c r="V219" s="117"/>
      <c r="W219" s="151" t="str">
        <f t="shared" si="15"/>
        <v xml:space="preserve">Cước vận chuyển Cát Lái - THỦ DẦU MỘT, BÌNH DƯƠNG cont: XYLU8194953 </v>
      </c>
    </row>
    <row r="220" spans="1:23" s="152" customFormat="1" ht="60" hidden="1" customHeight="1" x14ac:dyDescent="0.2">
      <c r="A220" s="122">
        <f t="shared" si="13"/>
        <v>204</v>
      </c>
      <c r="B220" s="147">
        <v>45973</v>
      </c>
      <c r="C220" s="117" t="s">
        <v>648</v>
      </c>
      <c r="D220" s="115"/>
      <c r="E220" s="128">
        <v>1</v>
      </c>
      <c r="F220" s="117" t="s">
        <v>650</v>
      </c>
      <c r="G220" s="117" t="s">
        <v>454</v>
      </c>
      <c r="H220" s="117" t="s">
        <v>353</v>
      </c>
      <c r="I220" s="148" t="s">
        <v>354</v>
      </c>
      <c r="J220" s="220" t="s">
        <v>494</v>
      </c>
      <c r="K220" s="117" t="s">
        <v>39</v>
      </c>
      <c r="L220" s="120">
        <v>86208</v>
      </c>
      <c r="M220" s="123">
        <v>1500000</v>
      </c>
      <c r="N220" s="127"/>
      <c r="O220" s="124">
        <v>2700000</v>
      </c>
      <c r="P220" s="124"/>
      <c r="Q220" s="124"/>
      <c r="R220" s="124"/>
      <c r="S220" s="124"/>
      <c r="T220" s="124">
        <f t="shared" si="12"/>
        <v>216000</v>
      </c>
      <c r="U220" s="150">
        <f t="shared" si="14"/>
        <v>4416000</v>
      </c>
      <c r="V220" s="117" t="s">
        <v>413</v>
      </c>
      <c r="W220" s="151" t="str">
        <f t="shared" si="15"/>
        <v xml:space="preserve">Cước vận chuyển Cát Lái - THỦ DẦU MỘT, BÌNH DƯƠNG cont: XYLU8215613 </v>
      </c>
    </row>
    <row r="221" spans="1:23" s="152" customFormat="1" ht="60" hidden="1" customHeight="1" x14ac:dyDescent="0.2">
      <c r="A221" s="122">
        <f t="shared" si="13"/>
        <v>205</v>
      </c>
      <c r="B221" s="147">
        <v>45973</v>
      </c>
      <c r="C221" s="117" t="s">
        <v>648</v>
      </c>
      <c r="D221" s="115"/>
      <c r="E221" s="128">
        <v>1</v>
      </c>
      <c r="F221" s="128" t="s">
        <v>651</v>
      </c>
      <c r="G221" s="117" t="s">
        <v>196</v>
      </c>
      <c r="H221" s="117" t="s">
        <v>353</v>
      </c>
      <c r="I221" s="148" t="s">
        <v>354</v>
      </c>
      <c r="J221" s="220" t="s">
        <v>494</v>
      </c>
      <c r="K221" s="117" t="s">
        <v>39</v>
      </c>
      <c r="L221" s="120">
        <v>86384</v>
      </c>
      <c r="M221" s="123">
        <v>1500000</v>
      </c>
      <c r="N221" s="127"/>
      <c r="O221" s="124">
        <v>2700000</v>
      </c>
      <c r="P221" s="124"/>
      <c r="Q221" s="124"/>
      <c r="R221" s="124"/>
      <c r="S221" s="124"/>
      <c r="T221" s="124">
        <f t="shared" si="12"/>
        <v>216000</v>
      </c>
      <c r="U221" s="150">
        <f t="shared" si="14"/>
        <v>4416000</v>
      </c>
      <c r="V221" s="117"/>
      <c r="W221" s="151" t="str">
        <f t="shared" si="15"/>
        <v xml:space="preserve">Cước vận chuyển Cát Lái - THỦ DẦU MỘT, BÌNH DƯƠNG cont: FFAU4973416 </v>
      </c>
    </row>
    <row r="222" spans="1:23" s="152" customFormat="1" ht="60" hidden="1" customHeight="1" x14ac:dyDescent="0.2">
      <c r="A222" s="122">
        <f t="shared" si="13"/>
        <v>206</v>
      </c>
      <c r="B222" s="147">
        <v>45943</v>
      </c>
      <c r="C222" s="117">
        <v>259068327</v>
      </c>
      <c r="D222" s="115"/>
      <c r="E222" s="128">
        <v>1</v>
      </c>
      <c r="F222" s="117" t="s">
        <v>659</v>
      </c>
      <c r="G222" s="117" t="s">
        <v>189</v>
      </c>
      <c r="H222" s="117" t="s">
        <v>958</v>
      </c>
      <c r="I222" s="148" t="s">
        <v>354</v>
      </c>
      <c r="J222" s="148" t="s">
        <v>39</v>
      </c>
      <c r="K222" s="128" t="s">
        <v>444</v>
      </c>
      <c r="L222" s="120" t="s">
        <v>664</v>
      </c>
      <c r="M222" s="123">
        <v>1500000</v>
      </c>
      <c r="N222" s="127"/>
      <c r="O222" s="124">
        <v>1890000</v>
      </c>
      <c r="P222" s="124"/>
      <c r="Q222" s="124"/>
      <c r="R222" s="124"/>
      <c r="S222" s="124"/>
      <c r="T222" s="124">
        <f t="shared" si="12"/>
        <v>151200</v>
      </c>
      <c r="U222" s="150">
        <f t="shared" si="14"/>
        <v>3541200</v>
      </c>
      <c r="V222" s="117"/>
      <c r="W222" s="151" t="str">
        <f t="shared" si="15"/>
        <v xml:space="preserve">Cước vận chuyển Cát Lái - THỦ DẦU MỘT, BÌNH DƯƠNG cont: MRKU3622655 </v>
      </c>
    </row>
    <row r="223" spans="1:23" s="152" customFormat="1" ht="60" hidden="1" customHeight="1" x14ac:dyDescent="0.2">
      <c r="A223" s="122">
        <f t="shared" si="13"/>
        <v>207</v>
      </c>
      <c r="B223" s="147">
        <v>45943</v>
      </c>
      <c r="C223" s="117">
        <v>259068327</v>
      </c>
      <c r="D223" s="115"/>
      <c r="E223" s="128">
        <v>1</v>
      </c>
      <c r="F223" s="128" t="s">
        <v>660</v>
      </c>
      <c r="G223" s="117" t="s">
        <v>187</v>
      </c>
      <c r="H223" s="117" t="s">
        <v>353</v>
      </c>
      <c r="I223" s="148" t="s">
        <v>354</v>
      </c>
      <c r="J223" s="148" t="s">
        <v>39</v>
      </c>
      <c r="K223" s="128" t="s">
        <v>444</v>
      </c>
      <c r="L223" s="120" t="s">
        <v>665</v>
      </c>
      <c r="M223" s="123">
        <v>1500000</v>
      </c>
      <c r="N223" s="127"/>
      <c r="O223" s="124">
        <v>2700000</v>
      </c>
      <c r="P223" s="124"/>
      <c r="Q223" s="124"/>
      <c r="R223" s="124"/>
      <c r="S223" s="124"/>
      <c r="T223" s="124">
        <f t="shared" si="12"/>
        <v>216000</v>
      </c>
      <c r="U223" s="150">
        <f t="shared" si="14"/>
        <v>4416000</v>
      </c>
      <c r="V223" s="117"/>
      <c r="W223" s="151" t="str">
        <f t="shared" si="15"/>
        <v xml:space="preserve">Cước vận chuyển Cát Lái - THỦ DẦU MỘT, BÌNH DƯƠNG cont: TCNU1931359 </v>
      </c>
    </row>
    <row r="224" spans="1:23" s="152" customFormat="1" ht="60" hidden="1" customHeight="1" x14ac:dyDescent="0.2">
      <c r="A224" s="122">
        <f t="shared" si="13"/>
        <v>208</v>
      </c>
      <c r="B224" s="147">
        <v>45943</v>
      </c>
      <c r="C224" s="117">
        <v>259068327</v>
      </c>
      <c r="D224" s="115"/>
      <c r="E224" s="128">
        <v>1</v>
      </c>
      <c r="F224" s="117" t="s">
        <v>661</v>
      </c>
      <c r="G224" s="117" t="s">
        <v>182</v>
      </c>
      <c r="H224" s="117" t="s">
        <v>353</v>
      </c>
      <c r="I224" s="148" t="s">
        <v>354</v>
      </c>
      <c r="J224" s="148" t="s">
        <v>39</v>
      </c>
      <c r="K224" s="128" t="s">
        <v>444</v>
      </c>
      <c r="L224" s="120" t="s">
        <v>668</v>
      </c>
      <c r="M224" s="123">
        <v>1500000</v>
      </c>
      <c r="N224" s="127"/>
      <c r="O224" s="124">
        <v>2700000</v>
      </c>
      <c r="P224" s="124"/>
      <c r="Q224" s="124"/>
      <c r="R224" s="124"/>
      <c r="S224" s="124"/>
      <c r="T224" s="124">
        <f t="shared" si="12"/>
        <v>216000</v>
      </c>
      <c r="U224" s="150">
        <f t="shared" si="14"/>
        <v>4416000</v>
      </c>
      <c r="V224" s="117"/>
      <c r="W224" s="151" t="str">
        <f t="shared" si="15"/>
        <v xml:space="preserve">Cước vận chuyển Cát Lái - THỦ DẦU MỘT, BÌNH DƯƠNG cont: MSKU0949693 </v>
      </c>
    </row>
    <row r="225" spans="1:23" s="152" customFormat="1" ht="60" hidden="1" customHeight="1" x14ac:dyDescent="0.2">
      <c r="A225" s="122">
        <f t="shared" si="13"/>
        <v>209</v>
      </c>
      <c r="B225" s="147">
        <v>45943</v>
      </c>
      <c r="C225" s="117">
        <v>259068327</v>
      </c>
      <c r="D225" s="115"/>
      <c r="E225" s="128">
        <v>1</v>
      </c>
      <c r="F225" s="117" t="s">
        <v>662</v>
      </c>
      <c r="G225" s="117" t="s">
        <v>194</v>
      </c>
      <c r="H225" s="117" t="s">
        <v>353</v>
      </c>
      <c r="I225" s="148" t="s">
        <v>354</v>
      </c>
      <c r="J225" s="148" t="s">
        <v>39</v>
      </c>
      <c r="K225" s="128" t="s">
        <v>444</v>
      </c>
      <c r="L225" s="120" t="s">
        <v>667</v>
      </c>
      <c r="M225" s="123">
        <v>1500000</v>
      </c>
      <c r="N225" s="127"/>
      <c r="O225" s="124">
        <v>2700000</v>
      </c>
      <c r="P225" s="124"/>
      <c r="Q225" s="124"/>
      <c r="R225" s="124"/>
      <c r="S225" s="124"/>
      <c r="T225" s="124">
        <f t="shared" si="12"/>
        <v>216000</v>
      </c>
      <c r="U225" s="150">
        <f t="shared" si="14"/>
        <v>4416000</v>
      </c>
      <c r="V225" s="117"/>
      <c r="W225" s="151" t="str">
        <f t="shared" si="15"/>
        <v xml:space="preserve">Cước vận chuyển Cát Lái - THỦ DẦU MỘT, BÌNH DƯƠNG cont: MSKU1321680 </v>
      </c>
    </row>
    <row r="226" spans="1:23" s="152" customFormat="1" ht="60" hidden="1" customHeight="1" x14ac:dyDescent="0.2">
      <c r="A226" s="122">
        <f t="shared" si="13"/>
        <v>210</v>
      </c>
      <c r="B226" s="147">
        <v>45943</v>
      </c>
      <c r="C226" s="117">
        <v>259068327</v>
      </c>
      <c r="D226" s="115"/>
      <c r="E226" s="128">
        <v>1</v>
      </c>
      <c r="F226" s="117" t="s">
        <v>663</v>
      </c>
      <c r="G226" s="117" t="s">
        <v>192</v>
      </c>
      <c r="H226" s="117" t="s">
        <v>353</v>
      </c>
      <c r="I226" s="148" t="s">
        <v>354</v>
      </c>
      <c r="J226" s="148" t="s">
        <v>39</v>
      </c>
      <c r="K226" s="128" t="s">
        <v>444</v>
      </c>
      <c r="L226" s="120" t="s">
        <v>666</v>
      </c>
      <c r="M226" s="123">
        <v>1500000</v>
      </c>
      <c r="N226" s="127"/>
      <c r="O226" s="124">
        <v>2700000</v>
      </c>
      <c r="P226" s="124"/>
      <c r="Q226" s="124"/>
      <c r="R226" s="124"/>
      <c r="S226" s="124"/>
      <c r="T226" s="124">
        <f t="shared" si="12"/>
        <v>216000</v>
      </c>
      <c r="U226" s="150">
        <f t="shared" si="14"/>
        <v>4416000</v>
      </c>
      <c r="V226" s="117" t="s">
        <v>413</v>
      </c>
      <c r="W226" s="151" t="str">
        <f t="shared" si="15"/>
        <v xml:space="preserve">Cước vận chuyển Cát Lái - THỦ DẦU MỘT, BÌNH DƯƠNG cont: MRKU2078470 </v>
      </c>
    </row>
    <row r="227" spans="1:23" s="152" customFormat="1" ht="60" hidden="1" customHeight="1" x14ac:dyDescent="0.2">
      <c r="A227" s="122">
        <f t="shared" si="13"/>
        <v>211</v>
      </c>
      <c r="B227" s="147">
        <v>45974</v>
      </c>
      <c r="C227" s="117">
        <v>261474878</v>
      </c>
      <c r="D227" s="115"/>
      <c r="E227" s="128">
        <v>1</v>
      </c>
      <c r="F227" s="117" t="s">
        <v>659</v>
      </c>
      <c r="G227" s="117" t="s">
        <v>458</v>
      </c>
      <c r="H227" s="117" t="s">
        <v>353</v>
      </c>
      <c r="I227" s="148" t="s">
        <v>354</v>
      </c>
      <c r="J227" s="220" t="s">
        <v>300</v>
      </c>
      <c r="K227" s="218" t="s">
        <v>39</v>
      </c>
      <c r="L227" s="120">
        <v>15038</v>
      </c>
      <c r="M227" s="123">
        <v>1500000</v>
      </c>
      <c r="N227" s="127"/>
      <c r="O227" s="124">
        <v>2700000</v>
      </c>
      <c r="P227" s="124"/>
      <c r="Q227" s="124"/>
      <c r="R227" s="124"/>
      <c r="S227" s="124"/>
      <c r="T227" s="124">
        <f t="shared" si="12"/>
        <v>216000</v>
      </c>
      <c r="U227" s="150">
        <f t="shared" si="14"/>
        <v>4416000</v>
      </c>
      <c r="V227" s="117"/>
      <c r="W227" s="151" t="str">
        <f t="shared" si="15"/>
        <v xml:space="preserve">Cước vận chuyển Cát Lái - THỦ DẦU MỘT, BÌNH DƯƠNG cont: MRKU3622655 </v>
      </c>
    </row>
    <row r="228" spans="1:23" s="152" customFormat="1" ht="60" hidden="1" customHeight="1" x14ac:dyDescent="0.2">
      <c r="A228" s="122">
        <f t="shared" si="13"/>
        <v>212</v>
      </c>
      <c r="B228" s="147">
        <v>45974</v>
      </c>
      <c r="C228" s="117">
        <v>261474878</v>
      </c>
      <c r="D228" s="115"/>
      <c r="E228" s="128">
        <v>1</v>
      </c>
      <c r="F228" s="117" t="s">
        <v>661</v>
      </c>
      <c r="G228" s="117" t="s">
        <v>184</v>
      </c>
      <c r="H228" s="117" t="s">
        <v>958</v>
      </c>
      <c r="I228" s="148" t="s">
        <v>354</v>
      </c>
      <c r="J228" s="220" t="s">
        <v>300</v>
      </c>
      <c r="K228" s="218" t="s">
        <v>39</v>
      </c>
      <c r="L228" s="120" t="s">
        <v>672</v>
      </c>
      <c r="M228" s="123">
        <v>1500000</v>
      </c>
      <c r="N228" s="127"/>
      <c r="O228" s="124">
        <v>1890000</v>
      </c>
      <c r="P228" s="124"/>
      <c r="Q228" s="124"/>
      <c r="R228" s="124"/>
      <c r="S228" s="124"/>
      <c r="T228" s="124">
        <f t="shared" si="12"/>
        <v>151200</v>
      </c>
      <c r="U228" s="150">
        <f t="shared" si="14"/>
        <v>3541200</v>
      </c>
      <c r="V228" s="117"/>
      <c r="W228" s="151" t="str">
        <f t="shared" si="15"/>
        <v xml:space="preserve">Cước vận chuyển Cát Lái - THỦ DẦU MỘT, BÌNH DƯƠNG cont: MSKU0949693 </v>
      </c>
    </row>
    <row r="229" spans="1:23" s="152" customFormat="1" ht="60" hidden="1" customHeight="1" x14ac:dyDescent="0.2">
      <c r="A229" s="122">
        <f t="shared" si="13"/>
        <v>213</v>
      </c>
      <c r="B229" s="147">
        <v>45974</v>
      </c>
      <c r="C229" s="117">
        <v>261474878</v>
      </c>
      <c r="D229" s="115"/>
      <c r="E229" s="128">
        <v>1</v>
      </c>
      <c r="F229" s="117" t="s">
        <v>660</v>
      </c>
      <c r="G229" s="117" t="s">
        <v>190</v>
      </c>
      <c r="H229" s="117" t="s">
        <v>958</v>
      </c>
      <c r="I229" s="148" t="s">
        <v>354</v>
      </c>
      <c r="J229" s="220" t="s">
        <v>300</v>
      </c>
      <c r="K229" s="218" t="s">
        <v>39</v>
      </c>
      <c r="L229" s="210" t="s">
        <v>669</v>
      </c>
      <c r="M229" s="123">
        <v>1500000</v>
      </c>
      <c r="N229" s="127"/>
      <c r="O229" s="124">
        <v>1890000</v>
      </c>
      <c r="P229" s="124"/>
      <c r="Q229" s="124"/>
      <c r="R229" s="124"/>
      <c r="S229" s="124"/>
      <c r="T229" s="124">
        <f t="shared" si="12"/>
        <v>151200</v>
      </c>
      <c r="U229" s="150">
        <f t="shared" si="14"/>
        <v>3541200</v>
      </c>
      <c r="V229" s="117"/>
      <c r="W229" s="151" t="str">
        <f t="shared" si="15"/>
        <v xml:space="preserve">Cước vận chuyển Cát Lái - THỦ DẦU MỘT, BÌNH DƯƠNG cont: TCNU1931359 </v>
      </c>
    </row>
    <row r="230" spans="1:23" s="152" customFormat="1" ht="60" hidden="1" customHeight="1" x14ac:dyDescent="0.2">
      <c r="A230" s="122">
        <f t="shared" si="13"/>
        <v>214</v>
      </c>
      <c r="B230" s="147">
        <v>45974</v>
      </c>
      <c r="C230" s="117">
        <v>261474878</v>
      </c>
      <c r="D230" s="115"/>
      <c r="E230" s="128">
        <v>1</v>
      </c>
      <c r="F230" s="117" t="s">
        <v>663</v>
      </c>
      <c r="G230" s="117" t="s">
        <v>185</v>
      </c>
      <c r="H230" s="128" t="s">
        <v>958</v>
      </c>
      <c r="I230" s="148" t="s">
        <v>354</v>
      </c>
      <c r="J230" s="220" t="s">
        <v>300</v>
      </c>
      <c r="K230" s="218" t="s">
        <v>39</v>
      </c>
      <c r="L230" s="120" t="s">
        <v>670</v>
      </c>
      <c r="M230" s="123">
        <v>1500000</v>
      </c>
      <c r="N230" s="127"/>
      <c r="O230" s="124">
        <v>1890000</v>
      </c>
      <c r="P230" s="124"/>
      <c r="Q230" s="124"/>
      <c r="R230" s="124"/>
      <c r="S230" s="124"/>
      <c r="T230" s="124">
        <f t="shared" si="12"/>
        <v>151200</v>
      </c>
      <c r="U230" s="150">
        <f t="shared" si="14"/>
        <v>3541200</v>
      </c>
      <c r="V230" s="117" t="s">
        <v>413</v>
      </c>
      <c r="W230" s="151" t="str">
        <f t="shared" si="15"/>
        <v xml:space="preserve">Cước vận chuyển Cát Lái - THỦ DẦU MỘT, BÌNH DƯƠNG cont: MRKU2078470 </v>
      </c>
    </row>
    <row r="231" spans="1:23" s="152" customFormat="1" ht="60" hidden="1" customHeight="1" x14ac:dyDescent="0.2">
      <c r="A231" s="122">
        <f t="shared" si="13"/>
        <v>215</v>
      </c>
      <c r="B231" s="147">
        <v>45974</v>
      </c>
      <c r="C231" s="205">
        <v>261474878</v>
      </c>
      <c r="D231" s="155"/>
      <c r="E231" s="154">
        <v>1</v>
      </c>
      <c r="F231" s="205" t="s">
        <v>662</v>
      </c>
      <c r="G231" s="117" t="s">
        <v>191</v>
      </c>
      <c r="H231" s="154" t="s">
        <v>958</v>
      </c>
      <c r="I231" s="216" t="s">
        <v>354</v>
      </c>
      <c r="J231" s="225" t="s">
        <v>300</v>
      </c>
      <c r="K231" s="224" t="s">
        <v>39</v>
      </c>
      <c r="L231" s="120" t="s">
        <v>671</v>
      </c>
      <c r="M231" s="123">
        <v>1500000</v>
      </c>
      <c r="N231" s="127"/>
      <c r="O231" s="124">
        <v>1890000</v>
      </c>
      <c r="P231" s="124"/>
      <c r="Q231" s="124"/>
      <c r="R231" s="124"/>
      <c r="S231" s="124"/>
      <c r="T231" s="124">
        <f t="shared" si="12"/>
        <v>151200</v>
      </c>
      <c r="U231" s="150">
        <f t="shared" si="14"/>
        <v>3541200</v>
      </c>
      <c r="V231" s="117"/>
      <c r="W231" s="151" t="str">
        <f t="shared" si="15"/>
        <v xml:space="preserve">Cước vận chuyển Cát Lái - THỦ DẦU MỘT, BÌNH DƯƠNG cont: MSKU1321680 </v>
      </c>
    </row>
    <row r="232" spans="1:23" s="152" customFormat="1" ht="60" hidden="1" customHeight="1" x14ac:dyDescent="0.2">
      <c r="A232" s="122">
        <f t="shared" si="13"/>
        <v>216</v>
      </c>
      <c r="B232" s="147">
        <v>45974</v>
      </c>
      <c r="C232" s="117" t="s">
        <v>673</v>
      </c>
      <c r="D232" s="115"/>
      <c r="E232" s="128">
        <v>1</v>
      </c>
      <c r="F232" s="128" t="s">
        <v>674</v>
      </c>
      <c r="G232" s="117" t="s">
        <v>193</v>
      </c>
      <c r="H232" s="117" t="s">
        <v>158</v>
      </c>
      <c r="I232" s="148" t="s">
        <v>632</v>
      </c>
      <c r="J232" s="148" t="s">
        <v>604</v>
      </c>
      <c r="K232" s="117" t="s">
        <v>682</v>
      </c>
      <c r="L232" s="196">
        <v>22234</v>
      </c>
      <c r="M232" s="123">
        <v>1500000</v>
      </c>
      <c r="N232" s="127"/>
      <c r="O232" s="124">
        <v>5300000</v>
      </c>
      <c r="P232" s="124"/>
      <c r="Q232" s="124"/>
      <c r="R232" s="124"/>
      <c r="S232" s="124">
        <v>260000</v>
      </c>
      <c r="T232" s="124">
        <f t="shared" si="12"/>
        <v>424000</v>
      </c>
      <c r="U232" s="150">
        <f t="shared" si="14"/>
        <v>7484000</v>
      </c>
      <c r="V232" s="117"/>
      <c r="W232" s="151" t="str">
        <f t="shared" si="15"/>
        <v xml:space="preserve">Cước vận chuyển Cát Lái - ĐỒNG PHÚ, BÌNH PHƯỚC cont: HAMU1472120 </v>
      </c>
    </row>
    <row r="233" spans="1:23" s="152" customFormat="1" ht="60" hidden="1" customHeight="1" x14ac:dyDescent="0.2">
      <c r="A233" s="122">
        <f t="shared" si="13"/>
        <v>217</v>
      </c>
      <c r="B233" s="147">
        <v>45974</v>
      </c>
      <c r="C233" s="117" t="s">
        <v>673</v>
      </c>
      <c r="D233" s="115"/>
      <c r="E233" s="128">
        <v>1</v>
      </c>
      <c r="F233" s="117" t="s">
        <v>675</v>
      </c>
      <c r="G233" s="117" t="s">
        <v>188</v>
      </c>
      <c r="H233" s="117" t="s">
        <v>158</v>
      </c>
      <c r="I233" s="148" t="s">
        <v>632</v>
      </c>
      <c r="J233" s="148" t="s">
        <v>604</v>
      </c>
      <c r="K233" s="117" t="s">
        <v>682</v>
      </c>
      <c r="L233" s="196">
        <v>22283</v>
      </c>
      <c r="M233" s="123">
        <v>1500000</v>
      </c>
      <c r="N233" s="127"/>
      <c r="O233" s="124">
        <v>5300000</v>
      </c>
      <c r="P233" s="124"/>
      <c r="Q233" s="124"/>
      <c r="R233" s="124"/>
      <c r="S233" s="124">
        <v>260000</v>
      </c>
      <c r="T233" s="124">
        <f t="shared" si="12"/>
        <v>424000</v>
      </c>
      <c r="U233" s="150">
        <f t="shared" si="14"/>
        <v>7484000</v>
      </c>
      <c r="V233" s="117" t="s">
        <v>413</v>
      </c>
      <c r="W233" s="151" t="str">
        <f t="shared" si="15"/>
        <v xml:space="preserve">Cước vận chuyển Cát Lái - ĐỒNG PHÚ, BÌNH PHƯỚC cont: UACU5833650 </v>
      </c>
    </row>
    <row r="234" spans="1:23" s="152" customFormat="1" ht="60" hidden="1" customHeight="1" x14ac:dyDescent="0.2">
      <c r="A234" s="122">
        <f t="shared" si="13"/>
        <v>218</v>
      </c>
      <c r="B234" s="147">
        <v>45974</v>
      </c>
      <c r="C234" s="117" t="s">
        <v>673</v>
      </c>
      <c r="D234" s="115"/>
      <c r="E234" s="128">
        <v>1</v>
      </c>
      <c r="F234" s="117" t="s">
        <v>676</v>
      </c>
      <c r="G234" s="117" t="s">
        <v>451</v>
      </c>
      <c r="H234" s="117" t="s">
        <v>158</v>
      </c>
      <c r="I234" s="148" t="s">
        <v>632</v>
      </c>
      <c r="J234" s="148" t="s">
        <v>604</v>
      </c>
      <c r="K234" s="117" t="s">
        <v>682</v>
      </c>
      <c r="L234" s="196">
        <v>22279</v>
      </c>
      <c r="M234" s="123">
        <v>1500000</v>
      </c>
      <c r="N234" s="127"/>
      <c r="O234" s="124">
        <v>5300000</v>
      </c>
      <c r="P234" s="124"/>
      <c r="Q234" s="124"/>
      <c r="R234" s="124"/>
      <c r="S234" s="124">
        <v>260000</v>
      </c>
      <c r="T234" s="124">
        <f t="shared" si="12"/>
        <v>424000</v>
      </c>
      <c r="U234" s="150">
        <f t="shared" si="14"/>
        <v>7484000</v>
      </c>
      <c r="V234" s="117"/>
      <c r="W234" s="151" t="str">
        <f t="shared" si="15"/>
        <v xml:space="preserve">Cước vận chuyển Cát Lái - ĐỒNG PHÚ, BÌNH PHƯỚC cont: CAIU4407296 </v>
      </c>
    </row>
    <row r="235" spans="1:23" s="152" customFormat="1" ht="60" hidden="1" customHeight="1" x14ac:dyDescent="0.2">
      <c r="A235" s="122">
        <f t="shared" si="13"/>
        <v>219</v>
      </c>
      <c r="B235" s="147">
        <v>45974</v>
      </c>
      <c r="C235" s="117" t="s">
        <v>673</v>
      </c>
      <c r="D235" s="115"/>
      <c r="E235" s="128">
        <v>1</v>
      </c>
      <c r="F235" s="117" t="s">
        <v>677</v>
      </c>
      <c r="G235" s="117" t="s">
        <v>459</v>
      </c>
      <c r="H235" s="117" t="s">
        <v>158</v>
      </c>
      <c r="I235" s="148" t="s">
        <v>632</v>
      </c>
      <c r="J235" s="148" t="s">
        <v>604</v>
      </c>
      <c r="K235" s="117" t="s">
        <v>682</v>
      </c>
      <c r="L235" s="120">
        <v>12697</v>
      </c>
      <c r="M235" s="123">
        <v>1500000</v>
      </c>
      <c r="N235" s="127"/>
      <c r="O235" s="124">
        <v>5300000</v>
      </c>
      <c r="P235" s="124"/>
      <c r="Q235" s="124"/>
      <c r="R235" s="124"/>
      <c r="S235" s="124">
        <v>260000</v>
      </c>
      <c r="T235" s="124">
        <f t="shared" si="12"/>
        <v>424000</v>
      </c>
      <c r="U235" s="150">
        <f t="shared" si="14"/>
        <v>7484000</v>
      </c>
      <c r="V235" s="117" t="s">
        <v>413</v>
      </c>
      <c r="W235" s="151" t="str">
        <f t="shared" si="15"/>
        <v xml:space="preserve">Cước vận chuyển Cát Lái - ĐỒNG PHÚ, BÌNH PHƯỚC cont: FANU1717292 </v>
      </c>
    </row>
    <row r="236" spans="1:23" s="152" customFormat="1" ht="60" hidden="1" customHeight="1" x14ac:dyDescent="0.2">
      <c r="A236" s="122">
        <f t="shared" si="13"/>
        <v>220</v>
      </c>
      <c r="B236" s="147">
        <v>45974</v>
      </c>
      <c r="C236" s="117" t="s">
        <v>673</v>
      </c>
      <c r="D236" s="115"/>
      <c r="E236" s="128">
        <v>1</v>
      </c>
      <c r="F236" s="128" t="s">
        <v>678</v>
      </c>
      <c r="G236" s="117" t="s">
        <v>883</v>
      </c>
      <c r="H236" s="117" t="s">
        <v>158</v>
      </c>
      <c r="I236" s="148" t="s">
        <v>632</v>
      </c>
      <c r="J236" s="148" t="s">
        <v>604</v>
      </c>
      <c r="K236" s="117" t="s">
        <v>682</v>
      </c>
      <c r="L236" s="120">
        <v>12760</v>
      </c>
      <c r="M236" s="123">
        <v>1500000</v>
      </c>
      <c r="N236" s="127"/>
      <c r="O236" s="124">
        <v>5300000</v>
      </c>
      <c r="P236" s="124"/>
      <c r="Q236" s="124"/>
      <c r="R236" s="124"/>
      <c r="S236" s="124">
        <v>260000</v>
      </c>
      <c r="T236" s="124">
        <f t="shared" si="12"/>
        <v>424000</v>
      </c>
      <c r="U236" s="150">
        <f t="shared" si="14"/>
        <v>7484000</v>
      </c>
      <c r="V236" s="117" t="s">
        <v>413</v>
      </c>
      <c r="W236" s="151" t="str">
        <f t="shared" si="15"/>
        <v xml:space="preserve">Cước vận chuyển Cát Lái - ĐỒNG PHÚ, BÌNH PHƯỚC cont: HAMU4005638 </v>
      </c>
    </row>
    <row r="237" spans="1:23" s="152" customFormat="1" ht="60" hidden="1" customHeight="1" x14ac:dyDescent="0.2">
      <c r="A237" s="122">
        <f t="shared" si="13"/>
        <v>221</v>
      </c>
      <c r="B237" s="147">
        <v>45974</v>
      </c>
      <c r="C237" s="117" t="s">
        <v>673</v>
      </c>
      <c r="D237" s="115"/>
      <c r="E237" s="128">
        <v>1</v>
      </c>
      <c r="F237" s="117" t="s">
        <v>679</v>
      </c>
      <c r="G237" s="117" t="s">
        <v>460</v>
      </c>
      <c r="H237" s="117" t="s">
        <v>158</v>
      </c>
      <c r="I237" s="148" t="s">
        <v>632</v>
      </c>
      <c r="J237" s="148" t="s">
        <v>604</v>
      </c>
      <c r="K237" s="117" t="s">
        <v>682</v>
      </c>
      <c r="L237" s="196">
        <v>22295</v>
      </c>
      <c r="M237" s="123">
        <v>1500000</v>
      </c>
      <c r="N237" s="127">
        <v>15000000</v>
      </c>
      <c r="O237" s="124">
        <v>5300000</v>
      </c>
      <c r="P237" s="124"/>
      <c r="Q237" s="124"/>
      <c r="R237" s="124"/>
      <c r="S237" s="124">
        <v>260000</v>
      </c>
      <c r="T237" s="124">
        <f t="shared" si="12"/>
        <v>424000</v>
      </c>
      <c r="U237" s="150">
        <f t="shared" si="14"/>
        <v>22484000</v>
      </c>
      <c r="V237" s="117" t="s">
        <v>413</v>
      </c>
      <c r="W237" s="151" t="str">
        <f t="shared" si="15"/>
        <v xml:space="preserve">Cước vận chuyển Cát Lái - ĐỒNG PHÚ, BÌNH PHƯỚC cont: TGHU9542735 </v>
      </c>
    </row>
    <row r="238" spans="1:23" s="152" customFormat="1" ht="60" hidden="1" customHeight="1" x14ac:dyDescent="0.2">
      <c r="A238" s="122">
        <f t="shared" si="13"/>
        <v>222</v>
      </c>
      <c r="B238" s="147">
        <v>45974</v>
      </c>
      <c r="C238" s="117" t="s">
        <v>673</v>
      </c>
      <c r="D238" s="115"/>
      <c r="E238" s="128">
        <v>1</v>
      </c>
      <c r="F238" s="128" t="s">
        <v>680</v>
      </c>
      <c r="G238" s="117" t="s">
        <v>197</v>
      </c>
      <c r="H238" s="117" t="s">
        <v>158</v>
      </c>
      <c r="I238" s="148" t="s">
        <v>632</v>
      </c>
      <c r="J238" s="148" t="s">
        <v>604</v>
      </c>
      <c r="K238" s="117" t="s">
        <v>682</v>
      </c>
      <c r="L238" s="120">
        <v>12759</v>
      </c>
      <c r="M238" s="123">
        <v>1500000</v>
      </c>
      <c r="N238" s="127"/>
      <c r="O238" s="124">
        <v>5300000</v>
      </c>
      <c r="P238" s="124"/>
      <c r="Q238" s="124"/>
      <c r="R238" s="124"/>
      <c r="S238" s="124">
        <v>260000</v>
      </c>
      <c r="T238" s="124">
        <f t="shared" si="12"/>
        <v>424000</v>
      </c>
      <c r="U238" s="150">
        <f t="shared" si="14"/>
        <v>7484000</v>
      </c>
      <c r="V238" s="117"/>
      <c r="W238" s="151" t="str">
        <f t="shared" si="15"/>
        <v xml:space="preserve">Cước vận chuyển Cát Lái - ĐỒNG PHÚ, BÌNH PHƯỚC cont: HLBU1437068 </v>
      </c>
    </row>
    <row r="239" spans="1:23" s="152" customFormat="1" ht="60" hidden="1" customHeight="1" x14ac:dyDescent="0.2">
      <c r="A239" s="122">
        <f t="shared" si="13"/>
        <v>223</v>
      </c>
      <c r="B239" s="147">
        <v>45974</v>
      </c>
      <c r="C239" s="117" t="s">
        <v>673</v>
      </c>
      <c r="D239" s="115"/>
      <c r="E239" s="128">
        <v>1</v>
      </c>
      <c r="F239" s="117" t="s">
        <v>681</v>
      </c>
      <c r="G239" s="117" t="s">
        <v>192</v>
      </c>
      <c r="H239" s="117" t="s">
        <v>158</v>
      </c>
      <c r="I239" s="148" t="s">
        <v>632</v>
      </c>
      <c r="J239" s="148" t="s">
        <v>39</v>
      </c>
      <c r="K239" s="117" t="s">
        <v>682</v>
      </c>
      <c r="L239" s="120">
        <v>12747</v>
      </c>
      <c r="M239" s="123">
        <v>1500000</v>
      </c>
      <c r="N239" s="127"/>
      <c r="O239" s="124">
        <v>5300000</v>
      </c>
      <c r="P239" s="124"/>
      <c r="Q239" s="124"/>
      <c r="R239" s="124"/>
      <c r="S239" s="124">
        <v>260000</v>
      </c>
      <c r="T239" s="124">
        <f t="shared" si="12"/>
        <v>424000</v>
      </c>
      <c r="U239" s="150">
        <f t="shared" si="14"/>
        <v>7484000</v>
      </c>
      <c r="V239" s="117"/>
      <c r="W239" s="151" t="str">
        <f t="shared" si="15"/>
        <v xml:space="preserve">Cước vận chuyển Cát Lái - ĐỒNG PHÚ, BÌNH PHƯỚC cont: HAMU4635745 </v>
      </c>
    </row>
    <row r="240" spans="1:23" s="152" customFormat="1" ht="60" hidden="1" customHeight="1" x14ac:dyDescent="0.2">
      <c r="A240" s="122">
        <f t="shared" si="13"/>
        <v>224</v>
      </c>
      <c r="B240" s="147">
        <v>45944</v>
      </c>
      <c r="C240" s="117" t="s">
        <v>685</v>
      </c>
      <c r="D240" s="115"/>
      <c r="E240" s="128">
        <v>1</v>
      </c>
      <c r="F240" s="117" t="s">
        <v>686</v>
      </c>
      <c r="G240" s="117" t="s">
        <v>458</v>
      </c>
      <c r="H240" s="117" t="s">
        <v>158</v>
      </c>
      <c r="I240" s="148" t="s">
        <v>632</v>
      </c>
      <c r="J240" s="148" t="s">
        <v>39</v>
      </c>
      <c r="K240" s="128" t="s">
        <v>173</v>
      </c>
      <c r="L240" s="120" t="s">
        <v>687</v>
      </c>
      <c r="M240" s="123">
        <v>1566000</v>
      </c>
      <c r="N240" s="127"/>
      <c r="O240" s="124">
        <v>5300000</v>
      </c>
      <c r="P240" s="124"/>
      <c r="Q240" s="124"/>
      <c r="R240" s="124"/>
      <c r="S240" s="124"/>
      <c r="T240" s="124">
        <f t="shared" si="12"/>
        <v>424000</v>
      </c>
      <c r="U240" s="150">
        <f t="shared" si="14"/>
        <v>7290000</v>
      </c>
      <c r="V240" s="117"/>
      <c r="W240" s="151" t="str">
        <f t="shared" si="15"/>
        <v xml:space="preserve">Cước vận chuyển Cát Lái - ĐỒNG PHÚ, BÌNH PHƯỚC cont: ZCSU7647452 </v>
      </c>
    </row>
    <row r="241" spans="1:23" s="152" customFormat="1" ht="60" hidden="1" customHeight="1" x14ac:dyDescent="0.2">
      <c r="A241" s="122">
        <f t="shared" si="13"/>
        <v>225</v>
      </c>
      <c r="B241" s="147">
        <v>45944</v>
      </c>
      <c r="C241" s="117" t="s">
        <v>688</v>
      </c>
      <c r="D241" s="115"/>
      <c r="E241" s="128">
        <v>1</v>
      </c>
      <c r="F241" s="117" t="s">
        <v>689</v>
      </c>
      <c r="G241" s="117" t="s">
        <v>197</v>
      </c>
      <c r="H241" s="117" t="s">
        <v>176</v>
      </c>
      <c r="I241" s="148" t="s">
        <v>226</v>
      </c>
      <c r="J241" s="148" t="s">
        <v>39</v>
      </c>
      <c r="K241" s="117" t="s">
        <v>694</v>
      </c>
      <c r="L241" s="120" t="s">
        <v>698</v>
      </c>
      <c r="M241" s="123">
        <v>1512000</v>
      </c>
      <c r="N241" s="127"/>
      <c r="O241" s="124">
        <v>4500000</v>
      </c>
      <c r="P241" s="124"/>
      <c r="Q241" s="124"/>
      <c r="R241" s="124"/>
      <c r="S241" s="124"/>
      <c r="T241" s="124">
        <f t="shared" si="12"/>
        <v>360000</v>
      </c>
      <c r="U241" s="150">
        <f t="shared" si="14"/>
        <v>6372000</v>
      </c>
      <c r="V241" s="117" t="s">
        <v>413</v>
      </c>
      <c r="W241" s="151" t="str">
        <f t="shared" si="15"/>
        <v xml:space="preserve">Cước vận chuyển Cát Lái - CHƠN THÀNH, BÌNH PHƯỚC cont: UETU5268894 </v>
      </c>
    </row>
    <row r="242" spans="1:23" s="152" customFormat="1" ht="60" hidden="1" customHeight="1" x14ac:dyDescent="0.2">
      <c r="A242" s="122">
        <f t="shared" si="13"/>
        <v>226</v>
      </c>
      <c r="B242" s="147">
        <v>45944</v>
      </c>
      <c r="C242" s="117" t="s">
        <v>688</v>
      </c>
      <c r="D242" s="115"/>
      <c r="E242" s="128">
        <v>1</v>
      </c>
      <c r="F242" s="117" t="s">
        <v>690</v>
      </c>
      <c r="G242" s="117" t="s">
        <v>458</v>
      </c>
      <c r="H242" s="117" t="s">
        <v>176</v>
      </c>
      <c r="I242" s="148" t="s">
        <v>226</v>
      </c>
      <c r="J242" s="148" t="s">
        <v>39</v>
      </c>
      <c r="K242" s="117" t="s">
        <v>694</v>
      </c>
      <c r="L242" s="120" t="s">
        <v>695</v>
      </c>
      <c r="M242" s="123">
        <v>1512000</v>
      </c>
      <c r="N242" s="127"/>
      <c r="O242" s="124">
        <v>4500000</v>
      </c>
      <c r="P242" s="124"/>
      <c r="Q242" s="124"/>
      <c r="R242" s="124"/>
      <c r="S242" s="124"/>
      <c r="T242" s="124">
        <f t="shared" si="12"/>
        <v>360000</v>
      </c>
      <c r="U242" s="150">
        <f t="shared" si="14"/>
        <v>6372000</v>
      </c>
      <c r="V242" s="117" t="s">
        <v>413</v>
      </c>
      <c r="W242" s="151" t="str">
        <f t="shared" si="15"/>
        <v xml:space="preserve">Cước vận chuyển Cát Lái - CHƠN THÀNH, BÌNH PHƯỚC cont: BSIU9532716 </v>
      </c>
    </row>
    <row r="243" spans="1:23" s="152" customFormat="1" ht="60" hidden="1" customHeight="1" x14ac:dyDescent="0.2">
      <c r="A243" s="122">
        <f t="shared" si="13"/>
        <v>227</v>
      </c>
      <c r="B243" s="147">
        <v>45944</v>
      </c>
      <c r="C243" s="117" t="s">
        <v>688</v>
      </c>
      <c r="D243" s="115"/>
      <c r="E243" s="128">
        <v>1</v>
      </c>
      <c r="F243" s="117" t="s">
        <v>691</v>
      </c>
      <c r="G243" s="117" t="s">
        <v>192</v>
      </c>
      <c r="H243" s="117" t="s">
        <v>176</v>
      </c>
      <c r="I243" s="148" t="s">
        <v>226</v>
      </c>
      <c r="J243" s="148" t="s">
        <v>39</v>
      </c>
      <c r="K243" s="117" t="s">
        <v>694</v>
      </c>
      <c r="L243" s="120" t="s">
        <v>697</v>
      </c>
      <c r="M243" s="123">
        <v>1512000</v>
      </c>
      <c r="N243" s="127"/>
      <c r="O243" s="124">
        <v>4500000</v>
      </c>
      <c r="P243" s="124"/>
      <c r="Q243" s="124"/>
      <c r="R243" s="124"/>
      <c r="S243" s="124"/>
      <c r="T243" s="124">
        <f t="shared" si="12"/>
        <v>360000</v>
      </c>
      <c r="U243" s="150">
        <f t="shared" si="14"/>
        <v>6372000</v>
      </c>
      <c r="V243" s="117"/>
      <c r="W243" s="151" t="str">
        <f t="shared" si="15"/>
        <v xml:space="preserve">Cước vận chuyển Cát Lái - CHƠN THÀNH, BÌNH PHƯỚC cont: CSNU6513612 </v>
      </c>
    </row>
    <row r="244" spans="1:23" s="152" customFormat="1" ht="60" hidden="1" customHeight="1" x14ac:dyDescent="0.2">
      <c r="A244" s="122">
        <f t="shared" si="13"/>
        <v>228</v>
      </c>
      <c r="B244" s="147">
        <v>45944</v>
      </c>
      <c r="C244" s="117" t="s">
        <v>688</v>
      </c>
      <c r="D244" s="115"/>
      <c r="E244" s="128">
        <v>1</v>
      </c>
      <c r="F244" s="117" t="s">
        <v>692</v>
      </c>
      <c r="G244" s="117" t="s">
        <v>451</v>
      </c>
      <c r="H244" s="117" t="s">
        <v>176</v>
      </c>
      <c r="I244" s="148" t="s">
        <v>226</v>
      </c>
      <c r="J244" s="148" t="s">
        <v>39</v>
      </c>
      <c r="K244" s="117" t="s">
        <v>694</v>
      </c>
      <c r="L244" s="120" t="s">
        <v>696</v>
      </c>
      <c r="M244" s="123">
        <v>1512000</v>
      </c>
      <c r="N244" s="127"/>
      <c r="O244" s="124">
        <v>4500000</v>
      </c>
      <c r="P244" s="124"/>
      <c r="Q244" s="124"/>
      <c r="R244" s="124"/>
      <c r="S244" s="124"/>
      <c r="T244" s="124">
        <f t="shared" si="12"/>
        <v>360000</v>
      </c>
      <c r="U244" s="150">
        <f t="shared" si="14"/>
        <v>6372000</v>
      </c>
      <c r="V244" s="117"/>
      <c r="W244" s="151" t="str">
        <f t="shared" si="15"/>
        <v xml:space="preserve">Cước vận chuyển Cát Lái - CHƠN THÀNH, BÌNH PHƯỚC cont: TGBU8848457 </v>
      </c>
    </row>
    <row r="245" spans="1:23" s="152" customFormat="1" ht="60" hidden="1" customHeight="1" x14ac:dyDescent="0.2">
      <c r="A245" s="122">
        <f t="shared" si="13"/>
        <v>229</v>
      </c>
      <c r="B245" s="153">
        <v>45944</v>
      </c>
      <c r="C245" s="205" t="s">
        <v>688</v>
      </c>
      <c r="D245" s="155"/>
      <c r="E245" s="154">
        <v>1</v>
      </c>
      <c r="F245" s="205" t="s">
        <v>693</v>
      </c>
      <c r="G245" s="117" t="s">
        <v>883</v>
      </c>
      <c r="H245" s="205" t="s">
        <v>176</v>
      </c>
      <c r="I245" s="216" t="s">
        <v>226</v>
      </c>
      <c r="J245" s="216" t="s">
        <v>39</v>
      </c>
      <c r="K245" s="205" t="s">
        <v>694</v>
      </c>
      <c r="L245" s="120" t="s">
        <v>1014</v>
      </c>
      <c r="M245" s="123">
        <v>1512000</v>
      </c>
      <c r="N245" s="127"/>
      <c r="O245" s="124">
        <v>4500000</v>
      </c>
      <c r="P245" s="124"/>
      <c r="Q245" s="124"/>
      <c r="R245" s="124"/>
      <c r="S245" s="124"/>
      <c r="T245" s="124">
        <f t="shared" si="12"/>
        <v>360000</v>
      </c>
      <c r="U245" s="150">
        <f t="shared" si="14"/>
        <v>6372000</v>
      </c>
      <c r="V245" s="117"/>
      <c r="W245" s="151" t="str">
        <f t="shared" si="15"/>
        <v xml:space="preserve">Cước vận chuyển Cát Lái - CHƠN THÀNH, BÌNH PHƯỚC cont: CSNU8917085 </v>
      </c>
    </row>
    <row r="246" spans="1:23" s="152" customFormat="1" ht="60" hidden="1" customHeight="1" x14ac:dyDescent="0.2">
      <c r="A246" s="122">
        <f t="shared" si="13"/>
        <v>230</v>
      </c>
      <c r="B246" s="147">
        <v>45944</v>
      </c>
      <c r="C246" s="117">
        <v>261525960</v>
      </c>
      <c r="D246" s="115"/>
      <c r="E246" s="128">
        <v>1</v>
      </c>
      <c r="F246" s="128" t="s">
        <v>699</v>
      </c>
      <c r="G246" s="117" t="s">
        <v>460</v>
      </c>
      <c r="H246" s="128" t="s">
        <v>353</v>
      </c>
      <c r="I246" s="148" t="s">
        <v>354</v>
      </c>
      <c r="J246" s="117" t="s">
        <v>494</v>
      </c>
      <c r="K246" s="117" t="s">
        <v>39</v>
      </c>
      <c r="L246" s="120" t="s">
        <v>701</v>
      </c>
      <c r="M246" s="123">
        <v>1450000</v>
      </c>
      <c r="N246" s="127"/>
      <c r="O246" s="124">
        <v>2700000</v>
      </c>
      <c r="P246" s="124"/>
      <c r="Q246" s="124"/>
      <c r="R246" s="124"/>
      <c r="S246" s="124"/>
      <c r="T246" s="124">
        <f t="shared" si="12"/>
        <v>216000</v>
      </c>
      <c r="U246" s="150">
        <f t="shared" si="14"/>
        <v>4366000</v>
      </c>
      <c r="V246" s="117"/>
      <c r="W246" s="151" t="str">
        <f t="shared" si="15"/>
        <v xml:space="preserve">Cước vận chuyển Cát Lái - THỦ DẦU MỘT, BÌNH DƯƠNG cont: MRKU4489486 </v>
      </c>
    </row>
    <row r="247" spans="1:23" s="152" customFormat="1" ht="60" hidden="1" customHeight="1" x14ac:dyDescent="0.2">
      <c r="A247" s="122">
        <f t="shared" si="13"/>
        <v>231</v>
      </c>
      <c r="B247" s="147">
        <v>45944</v>
      </c>
      <c r="C247" s="117">
        <v>261525960</v>
      </c>
      <c r="D247" s="115"/>
      <c r="E247" s="128">
        <v>1</v>
      </c>
      <c r="F247" s="117" t="s">
        <v>700</v>
      </c>
      <c r="G247" s="117" t="s">
        <v>197</v>
      </c>
      <c r="H247" s="128" t="s">
        <v>353</v>
      </c>
      <c r="I247" s="148" t="s">
        <v>354</v>
      </c>
      <c r="J247" s="117" t="s">
        <v>494</v>
      </c>
      <c r="K247" s="117" t="s">
        <v>39</v>
      </c>
      <c r="L247" s="120">
        <v>300416</v>
      </c>
      <c r="M247" s="123">
        <v>1500000</v>
      </c>
      <c r="N247" s="127"/>
      <c r="O247" s="124">
        <v>2700000</v>
      </c>
      <c r="P247" s="124"/>
      <c r="Q247" s="124"/>
      <c r="R247" s="124"/>
      <c r="S247" s="124"/>
      <c r="T247" s="124">
        <f t="shared" si="12"/>
        <v>216000</v>
      </c>
      <c r="U247" s="150">
        <f t="shared" si="14"/>
        <v>4416000</v>
      </c>
      <c r="V247" s="117"/>
      <c r="W247" s="151" t="str">
        <f t="shared" si="15"/>
        <v xml:space="preserve">Cước vận chuyển Cát Lái - THỦ DẦU MỘT, BÌNH DƯƠNG cont: MSKU8760730 </v>
      </c>
    </row>
    <row r="248" spans="1:23" s="152" customFormat="1" ht="60" hidden="1" customHeight="1" x14ac:dyDescent="0.2">
      <c r="A248" s="122">
        <f t="shared" si="13"/>
        <v>232</v>
      </c>
      <c r="B248" s="147">
        <v>45944</v>
      </c>
      <c r="C248" s="117">
        <v>258474297</v>
      </c>
      <c r="D248" s="115"/>
      <c r="E248" s="128">
        <v>1</v>
      </c>
      <c r="F248" s="117" t="s">
        <v>702</v>
      </c>
      <c r="G248" s="117" t="s">
        <v>192</v>
      </c>
      <c r="H248" s="128" t="s">
        <v>176</v>
      </c>
      <c r="I248" s="148" t="s">
        <v>226</v>
      </c>
      <c r="J248" s="117" t="s">
        <v>39</v>
      </c>
      <c r="K248" s="128" t="s">
        <v>444</v>
      </c>
      <c r="L248" s="120" t="s">
        <v>747</v>
      </c>
      <c r="M248" s="123">
        <v>1500000</v>
      </c>
      <c r="N248" s="127"/>
      <c r="O248" s="124">
        <v>4500000</v>
      </c>
      <c r="P248" s="124"/>
      <c r="Q248" s="124"/>
      <c r="R248" s="124"/>
      <c r="S248" s="124"/>
      <c r="T248" s="124">
        <f t="shared" si="12"/>
        <v>360000</v>
      </c>
      <c r="U248" s="150">
        <f t="shared" si="14"/>
        <v>6360000</v>
      </c>
      <c r="V248" s="117"/>
      <c r="W248" s="151" t="str">
        <f t="shared" si="15"/>
        <v xml:space="preserve">Cước vận chuyển Cát Lái - CHƠN THÀNH, BÌNH PHƯỚC cont: MRSU4119632 </v>
      </c>
    </row>
    <row r="249" spans="1:23" s="152" customFormat="1" ht="60" hidden="1" customHeight="1" x14ac:dyDescent="0.2">
      <c r="A249" s="122">
        <f t="shared" si="13"/>
        <v>233</v>
      </c>
      <c r="B249" s="147">
        <v>45944</v>
      </c>
      <c r="C249" s="117">
        <v>258474297</v>
      </c>
      <c r="D249" s="115"/>
      <c r="E249" s="128">
        <v>1</v>
      </c>
      <c r="F249" s="117" t="s">
        <v>703</v>
      </c>
      <c r="G249" s="117" t="s">
        <v>458</v>
      </c>
      <c r="H249" s="128" t="s">
        <v>176</v>
      </c>
      <c r="I249" s="148" t="s">
        <v>226</v>
      </c>
      <c r="J249" s="117" t="s">
        <v>39</v>
      </c>
      <c r="K249" s="128" t="s">
        <v>444</v>
      </c>
      <c r="L249" s="120" t="s">
        <v>707</v>
      </c>
      <c r="M249" s="123">
        <v>1500000</v>
      </c>
      <c r="N249" s="127"/>
      <c r="O249" s="124">
        <v>4500000</v>
      </c>
      <c r="P249" s="124"/>
      <c r="Q249" s="124"/>
      <c r="R249" s="124"/>
      <c r="S249" s="124"/>
      <c r="T249" s="124">
        <f t="shared" si="12"/>
        <v>360000</v>
      </c>
      <c r="U249" s="150">
        <f t="shared" si="14"/>
        <v>6360000</v>
      </c>
      <c r="V249" s="117" t="s">
        <v>413</v>
      </c>
      <c r="W249" s="151" t="str">
        <f t="shared" si="15"/>
        <v xml:space="preserve">Cước vận chuyển Cát Lái - CHƠN THÀNH, BÌNH PHƯỚC cont: BEAU5025293 </v>
      </c>
    </row>
    <row r="250" spans="1:23" s="152" customFormat="1" ht="60" hidden="1" customHeight="1" x14ac:dyDescent="0.2">
      <c r="A250" s="122">
        <f t="shared" si="13"/>
        <v>234</v>
      </c>
      <c r="B250" s="147">
        <v>45944</v>
      </c>
      <c r="C250" s="117">
        <v>258474297</v>
      </c>
      <c r="D250" s="115"/>
      <c r="E250" s="128">
        <v>1</v>
      </c>
      <c r="F250" s="117" t="s">
        <v>704</v>
      </c>
      <c r="G250" s="117" t="s">
        <v>197</v>
      </c>
      <c r="H250" s="128" t="s">
        <v>176</v>
      </c>
      <c r="I250" s="148" t="s">
        <v>226</v>
      </c>
      <c r="J250" s="117" t="s">
        <v>39</v>
      </c>
      <c r="K250" s="128" t="s">
        <v>444</v>
      </c>
      <c r="L250" s="120" t="s">
        <v>705</v>
      </c>
      <c r="M250" s="123">
        <v>1450000</v>
      </c>
      <c r="N250" s="127"/>
      <c r="O250" s="124">
        <v>4500000</v>
      </c>
      <c r="P250" s="124"/>
      <c r="Q250" s="124"/>
      <c r="R250" s="124"/>
      <c r="S250" s="124"/>
      <c r="T250" s="124">
        <f t="shared" si="12"/>
        <v>360000</v>
      </c>
      <c r="U250" s="150">
        <f t="shared" si="14"/>
        <v>6310000</v>
      </c>
      <c r="V250" s="117"/>
      <c r="W250" s="151" t="str">
        <f t="shared" si="15"/>
        <v xml:space="preserve">Cước vận chuyển Cát Lái - CHƠN THÀNH, BÌNH PHƯỚC cont: GAOU7180923 </v>
      </c>
    </row>
    <row r="251" spans="1:23" s="152" customFormat="1" ht="60" hidden="1" customHeight="1" x14ac:dyDescent="0.2">
      <c r="A251" s="122">
        <f t="shared" si="13"/>
        <v>235</v>
      </c>
      <c r="B251" s="147">
        <v>45944</v>
      </c>
      <c r="C251" s="117">
        <v>261841260</v>
      </c>
      <c r="D251" s="115"/>
      <c r="E251" s="128">
        <v>1</v>
      </c>
      <c r="F251" s="117" t="s">
        <v>703</v>
      </c>
      <c r="G251" s="117" t="s">
        <v>458</v>
      </c>
      <c r="H251" s="156" t="s">
        <v>958</v>
      </c>
      <c r="I251" s="148" t="s">
        <v>354</v>
      </c>
      <c r="J251" s="218"/>
      <c r="K251" s="218" t="s">
        <v>39</v>
      </c>
      <c r="L251" s="210" t="s">
        <v>748</v>
      </c>
      <c r="M251" s="123">
        <v>1500000</v>
      </c>
      <c r="N251" s="127"/>
      <c r="O251" s="124">
        <v>1890000</v>
      </c>
      <c r="P251" s="124"/>
      <c r="Q251" s="124"/>
      <c r="R251" s="124"/>
      <c r="S251" s="124"/>
      <c r="T251" s="124">
        <f t="shared" si="12"/>
        <v>151200</v>
      </c>
      <c r="U251" s="150">
        <f t="shared" si="14"/>
        <v>3541200</v>
      </c>
      <c r="V251" s="117" t="s">
        <v>413</v>
      </c>
      <c r="W251" s="151" t="str">
        <f t="shared" si="15"/>
        <v xml:space="preserve">Cước vận chuyển Cát Lái - THỦ DẦU MỘT, BÌNH DƯƠNG cont: BEAU5025293 </v>
      </c>
    </row>
    <row r="252" spans="1:23" s="152" customFormat="1" ht="60" hidden="1" customHeight="1" x14ac:dyDescent="0.2">
      <c r="A252" s="122">
        <f t="shared" si="13"/>
        <v>236</v>
      </c>
      <c r="B252" s="147">
        <v>45944</v>
      </c>
      <c r="C252" s="117">
        <v>261841260</v>
      </c>
      <c r="D252" s="115"/>
      <c r="E252" s="128">
        <v>1</v>
      </c>
      <c r="F252" s="117" t="s">
        <v>702</v>
      </c>
      <c r="G252" s="117" t="s">
        <v>192</v>
      </c>
      <c r="H252" s="156" t="s">
        <v>958</v>
      </c>
      <c r="I252" s="148" t="s">
        <v>354</v>
      </c>
      <c r="J252" s="218"/>
      <c r="K252" s="218" t="s">
        <v>39</v>
      </c>
      <c r="L252" s="120" t="s">
        <v>706</v>
      </c>
      <c r="M252" s="123">
        <v>1500000</v>
      </c>
      <c r="N252" s="127"/>
      <c r="O252" s="124">
        <v>1890000</v>
      </c>
      <c r="P252" s="124"/>
      <c r="Q252" s="124"/>
      <c r="R252" s="124"/>
      <c r="S252" s="124"/>
      <c r="T252" s="124">
        <f t="shared" si="12"/>
        <v>151200</v>
      </c>
      <c r="U252" s="150">
        <f t="shared" si="14"/>
        <v>3541200</v>
      </c>
      <c r="V252" s="117"/>
      <c r="W252" s="151" t="str">
        <f t="shared" si="15"/>
        <v xml:space="preserve">Cước vận chuyển Cát Lái - THỦ DẦU MỘT, BÌNH DƯƠNG cont: MRSU4119632 </v>
      </c>
    </row>
    <row r="253" spans="1:23" s="152" customFormat="1" ht="60" hidden="1" customHeight="1" x14ac:dyDescent="0.2">
      <c r="A253" s="122">
        <f t="shared" si="13"/>
        <v>237</v>
      </c>
      <c r="B253" s="147">
        <v>45944</v>
      </c>
      <c r="C253" s="117">
        <v>259710463</v>
      </c>
      <c r="D253" s="115"/>
      <c r="E253" s="128">
        <v>1</v>
      </c>
      <c r="F253" s="117" t="s">
        <v>708</v>
      </c>
      <c r="G253" s="117" t="s">
        <v>451</v>
      </c>
      <c r="H253" s="128" t="s">
        <v>867</v>
      </c>
      <c r="I253" s="148" t="s">
        <v>709</v>
      </c>
      <c r="J253" s="117" t="s">
        <v>39</v>
      </c>
      <c r="K253" s="128" t="s">
        <v>444</v>
      </c>
      <c r="L253" s="120" t="s">
        <v>710</v>
      </c>
      <c r="M253" s="123">
        <v>1450000</v>
      </c>
      <c r="N253" s="127"/>
      <c r="O253" s="124">
        <v>4000000</v>
      </c>
      <c r="P253" s="124"/>
      <c r="Q253" s="124"/>
      <c r="R253" s="124"/>
      <c r="S253" s="124"/>
      <c r="T253" s="124">
        <f t="shared" si="12"/>
        <v>320000</v>
      </c>
      <c r="U253" s="150">
        <f t="shared" si="14"/>
        <v>5770000</v>
      </c>
      <c r="V253" s="117" t="s">
        <v>413</v>
      </c>
      <c r="W253" s="151" t="str">
        <f t="shared" si="15"/>
        <v xml:space="preserve">Cước vận chuyển Cát Lái - PHÚ GIAO, BÌNH DƯƠNG cont: MRKU4942186 </v>
      </c>
    </row>
    <row r="254" spans="1:23" s="152" customFormat="1" ht="60" hidden="1" customHeight="1" x14ac:dyDescent="0.2">
      <c r="A254" s="122">
        <f t="shared" si="13"/>
        <v>238</v>
      </c>
      <c r="B254" s="147">
        <v>45944</v>
      </c>
      <c r="C254" s="117">
        <v>259931083</v>
      </c>
      <c r="D254" s="115"/>
      <c r="E254" s="128">
        <v>1</v>
      </c>
      <c r="F254" s="117" t="s">
        <v>711</v>
      </c>
      <c r="G254" s="117" t="s">
        <v>883</v>
      </c>
      <c r="H254" s="128" t="s">
        <v>867</v>
      </c>
      <c r="I254" s="148" t="s">
        <v>709</v>
      </c>
      <c r="J254" s="117" t="s">
        <v>39</v>
      </c>
      <c r="K254" s="128" t="s">
        <v>444</v>
      </c>
      <c r="L254" s="120" t="s">
        <v>712</v>
      </c>
      <c r="M254" s="123">
        <v>1450000</v>
      </c>
      <c r="N254" s="127"/>
      <c r="O254" s="124">
        <v>4000000</v>
      </c>
      <c r="P254" s="124"/>
      <c r="Q254" s="124"/>
      <c r="R254" s="124"/>
      <c r="S254" s="124"/>
      <c r="T254" s="124">
        <f t="shared" si="12"/>
        <v>320000</v>
      </c>
      <c r="U254" s="150">
        <f t="shared" si="14"/>
        <v>5770000</v>
      </c>
      <c r="V254" s="117"/>
      <c r="W254" s="151" t="str">
        <f t="shared" si="15"/>
        <v xml:space="preserve">Cước vận chuyển Cát Lái - PHÚ GIAO, BÌNH DƯƠNG cont: MRKU6112064 </v>
      </c>
    </row>
    <row r="255" spans="1:23" s="152" customFormat="1" ht="60" hidden="1" customHeight="1" x14ac:dyDescent="0.2">
      <c r="A255" s="122">
        <f t="shared" si="13"/>
        <v>239</v>
      </c>
      <c r="B255" s="147">
        <v>45944</v>
      </c>
      <c r="C255" s="117" t="s">
        <v>723</v>
      </c>
      <c r="D255" s="115"/>
      <c r="E255" s="128">
        <v>1</v>
      </c>
      <c r="F255" s="117" t="s">
        <v>724</v>
      </c>
      <c r="G255" s="117" t="s">
        <v>725</v>
      </c>
      <c r="H255" s="128" t="s">
        <v>282</v>
      </c>
      <c r="I255" s="122" t="s">
        <v>172</v>
      </c>
      <c r="J255" s="117" t="s">
        <v>39</v>
      </c>
      <c r="K255" s="117" t="s">
        <v>204</v>
      </c>
      <c r="L255" s="120">
        <v>7714</v>
      </c>
      <c r="M255" s="123">
        <v>1500000</v>
      </c>
      <c r="N255" s="127"/>
      <c r="O255" s="124">
        <v>4500000</v>
      </c>
      <c r="P255" s="124"/>
      <c r="Q255" s="124"/>
      <c r="R255" s="124"/>
      <c r="S255" s="124"/>
      <c r="T255" s="124">
        <f t="shared" si="12"/>
        <v>360000</v>
      </c>
      <c r="U255" s="150">
        <f t="shared" si="14"/>
        <v>6360000</v>
      </c>
      <c r="V255" s="117"/>
      <c r="W255" s="151" t="str">
        <f t="shared" si="15"/>
        <v xml:space="preserve">Cước vận chuyển Cát Lái - XÃ CHƠN THÀNH, TỈNH ĐỒNG NAI cont: BEAU6132763 </v>
      </c>
    </row>
    <row r="256" spans="1:23" s="152" customFormat="1" ht="60" hidden="1" customHeight="1" x14ac:dyDescent="0.2">
      <c r="A256" s="122">
        <f t="shared" si="13"/>
        <v>240</v>
      </c>
      <c r="B256" s="147">
        <v>45944</v>
      </c>
      <c r="C256" s="117" t="s">
        <v>723</v>
      </c>
      <c r="D256" s="115"/>
      <c r="E256" s="128">
        <v>1</v>
      </c>
      <c r="F256" s="117" t="s">
        <v>726</v>
      </c>
      <c r="G256" s="226" t="s">
        <v>727</v>
      </c>
      <c r="H256" s="128" t="s">
        <v>282</v>
      </c>
      <c r="I256" s="122" t="s">
        <v>172</v>
      </c>
      <c r="J256" s="117" t="s">
        <v>39</v>
      </c>
      <c r="K256" s="117" t="s">
        <v>204</v>
      </c>
      <c r="L256" s="120" t="s">
        <v>728</v>
      </c>
      <c r="M256" s="123">
        <v>1500000</v>
      </c>
      <c r="N256" s="127"/>
      <c r="O256" s="124">
        <v>4500000</v>
      </c>
      <c r="P256" s="124"/>
      <c r="Q256" s="124"/>
      <c r="R256" s="124"/>
      <c r="S256" s="124"/>
      <c r="T256" s="124">
        <f t="shared" si="12"/>
        <v>360000</v>
      </c>
      <c r="U256" s="150">
        <f t="shared" si="14"/>
        <v>6360000</v>
      </c>
      <c r="V256" s="117" t="s">
        <v>413</v>
      </c>
      <c r="W256" s="151" t="str">
        <f t="shared" si="15"/>
        <v xml:space="preserve">Cước vận chuyển Cát Lái - XÃ CHƠN THÀNH, TỈNH ĐỒNG NAI cont: FFAU5221964 </v>
      </c>
    </row>
    <row r="257" spans="1:23" s="152" customFormat="1" ht="60" hidden="1" customHeight="1" x14ac:dyDescent="0.2">
      <c r="A257" s="122">
        <f t="shared" si="13"/>
        <v>241</v>
      </c>
      <c r="B257" s="147">
        <v>45977</v>
      </c>
      <c r="C257" s="218" t="s">
        <v>713</v>
      </c>
      <c r="D257" s="200"/>
      <c r="E257" s="156">
        <v>1</v>
      </c>
      <c r="F257" s="218" t="s">
        <v>714</v>
      </c>
      <c r="G257" s="117" t="s">
        <v>460</v>
      </c>
      <c r="H257" s="156" t="s">
        <v>158</v>
      </c>
      <c r="I257" s="220" t="s">
        <v>632</v>
      </c>
      <c r="J257" s="218" t="s">
        <v>39</v>
      </c>
      <c r="K257" s="196" t="s">
        <v>720</v>
      </c>
      <c r="L257" s="120" t="s">
        <v>722</v>
      </c>
      <c r="M257" s="123">
        <v>1500000</v>
      </c>
      <c r="N257" s="127"/>
      <c r="O257" s="124">
        <v>5300000</v>
      </c>
      <c r="P257" s="124"/>
      <c r="Q257" s="124"/>
      <c r="R257" s="124"/>
      <c r="S257" s="124"/>
      <c r="T257" s="124">
        <f t="shared" si="12"/>
        <v>424000</v>
      </c>
      <c r="U257" s="150">
        <f t="shared" si="14"/>
        <v>7224000</v>
      </c>
      <c r="V257" s="117"/>
      <c r="W257" s="151" t="str">
        <f t="shared" si="15"/>
        <v xml:space="preserve">Cước vận chuyển Cát Lái - ĐỒNG PHÚ, BÌNH PHƯỚC cont: UACU5891908 </v>
      </c>
    </row>
    <row r="258" spans="1:23" s="152" customFormat="1" ht="60" hidden="1" customHeight="1" x14ac:dyDescent="0.2">
      <c r="A258" s="122">
        <f t="shared" si="13"/>
        <v>242</v>
      </c>
      <c r="B258" s="147">
        <v>45977</v>
      </c>
      <c r="C258" s="117" t="s">
        <v>713</v>
      </c>
      <c r="D258" s="115"/>
      <c r="E258" s="128">
        <v>1</v>
      </c>
      <c r="F258" s="117" t="s">
        <v>715</v>
      </c>
      <c r="G258" s="117" t="s">
        <v>459</v>
      </c>
      <c r="H258" s="156" t="s">
        <v>158</v>
      </c>
      <c r="I258" s="148" t="s">
        <v>632</v>
      </c>
      <c r="J258" s="117" t="s">
        <v>39</v>
      </c>
      <c r="K258" s="128" t="s">
        <v>720</v>
      </c>
      <c r="L258" s="120">
        <v>28080</v>
      </c>
      <c r="M258" s="123">
        <v>1500000</v>
      </c>
      <c r="N258" s="127"/>
      <c r="O258" s="124">
        <v>5300000</v>
      </c>
      <c r="P258" s="124"/>
      <c r="Q258" s="124"/>
      <c r="R258" s="124"/>
      <c r="S258" s="124"/>
      <c r="T258" s="124">
        <f t="shared" si="12"/>
        <v>424000</v>
      </c>
      <c r="U258" s="150">
        <f t="shared" si="14"/>
        <v>7224000</v>
      </c>
      <c r="V258" s="117" t="s">
        <v>413</v>
      </c>
      <c r="W258" s="151" t="str">
        <f t="shared" si="15"/>
        <v xml:space="preserve">Cước vận chuyển Cát Lái - ĐỒNG PHÚ, BÌNH PHƯỚC cont: FFAU5459016 </v>
      </c>
    </row>
    <row r="259" spans="1:23" s="152" customFormat="1" ht="60" hidden="1" customHeight="1" x14ac:dyDescent="0.2">
      <c r="A259" s="122">
        <f t="shared" si="13"/>
        <v>243</v>
      </c>
      <c r="B259" s="147">
        <v>45977</v>
      </c>
      <c r="C259" s="117" t="s">
        <v>713</v>
      </c>
      <c r="D259" s="115"/>
      <c r="E259" s="128">
        <v>1</v>
      </c>
      <c r="F259" s="117" t="s">
        <v>716</v>
      </c>
      <c r="G259" s="117" t="s">
        <v>185</v>
      </c>
      <c r="H259" s="156" t="s">
        <v>158</v>
      </c>
      <c r="I259" s="148" t="s">
        <v>632</v>
      </c>
      <c r="J259" s="117" t="s">
        <v>39</v>
      </c>
      <c r="K259" s="128" t="s">
        <v>720</v>
      </c>
      <c r="L259" s="120">
        <v>13093</v>
      </c>
      <c r="M259" s="123">
        <v>1500000</v>
      </c>
      <c r="N259" s="127"/>
      <c r="O259" s="124">
        <v>5300000</v>
      </c>
      <c r="P259" s="124"/>
      <c r="Q259" s="124"/>
      <c r="R259" s="124"/>
      <c r="S259" s="124"/>
      <c r="T259" s="124">
        <f t="shared" si="12"/>
        <v>424000</v>
      </c>
      <c r="U259" s="150">
        <f t="shared" si="14"/>
        <v>7224000</v>
      </c>
      <c r="V259" s="117" t="s">
        <v>413</v>
      </c>
      <c r="W259" s="151" t="str">
        <f t="shared" si="15"/>
        <v xml:space="preserve">Cước vận chuyển Cát Lái - ĐỒNG PHÚ, BÌNH PHƯỚC cont: FANU1423786 </v>
      </c>
    </row>
    <row r="260" spans="1:23" s="152" customFormat="1" ht="60" hidden="1" customHeight="1" x14ac:dyDescent="0.2">
      <c r="A260" s="122">
        <f t="shared" si="13"/>
        <v>244</v>
      </c>
      <c r="B260" s="147">
        <v>45977</v>
      </c>
      <c r="C260" s="117" t="s">
        <v>713</v>
      </c>
      <c r="D260" s="115"/>
      <c r="E260" s="128">
        <v>1</v>
      </c>
      <c r="F260" s="117" t="s">
        <v>717</v>
      </c>
      <c r="G260" s="117" t="s">
        <v>458</v>
      </c>
      <c r="H260" s="156" t="s">
        <v>158</v>
      </c>
      <c r="I260" s="148" t="s">
        <v>632</v>
      </c>
      <c r="J260" s="117" t="s">
        <v>39</v>
      </c>
      <c r="K260" s="128" t="s">
        <v>720</v>
      </c>
      <c r="L260" s="120">
        <v>13123</v>
      </c>
      <c r="M260" s="123">
        <v>1500000</v>
      </c>
      <c r="N260" s="127"/>
      <c r="O260" s="124">
        <v>5300000</v>
      </c>
      <c r="P260" s="124"/>
      <c r="Q260" s="124"/>
      <c r="R260" s="124"/>
      <c r="S260" s="124"/>
      <c r="T260" s="124">
        <f t="shared" si="12"/>
        <v>424000</v>
      </c>
      <c r="U260" s="150">
        <f t="shared" si="14"/>
        <v>7224000</v>
      </c>
      <c r="V260" s="117" t="s">
        <v>413</v>
      </c>
      <c r="W260" s="151" t="str">
        <f t="shared" si="15"/>
        <v xml:space="preserve">Cước vận chuyển Cát Lái - ĐỒNG PHÚ, BÌNH PHƯỚC cont: HAMU2149575 </v>
      </c>
    </row>
    <row r="261" spans="1:23" s="152" customFormat="1" ht="60" hidden="1" customHeight="1" x14ac:dyDescent="0.2">
      <c r="A261" s="122">
        <f t="shared" si="13"/>
        <v>245</v>
      </c>
      <c r="B261" s="147">
        <v>45977</v>
      </c>
      <c r="C261" s="117" t="s">
        <v>713</v>
      </c>
      <c r="D261" s="115"/>
      <c r="E261" s="128">
        <v>1</v>
      </c>
      <c r="F261" s="128" t="s">
        <v>718</v>
      </c>
      <c r="G261" s="117" t="s">
        <v>188</v>
      </c>
      <c r="H261" s="156" t="s">
        <v>158</v>
      </c>
      <c r="I261" s="148" t="s">
        <v>632</v>
      </c>
      <c r="J261" s="117" t="s">
        <v>39</v>
      </c>
      <c r="K261" s="128" t="s">
        <v>720</v>
      </c>
      <c r="L261" s="120">
        <v>28076</v>
      </c>
      <c r="M261" s="123">
        <v>1500000</v>
      </c>
      <c r="N261" s="127"/>
      <c r="O261" s="124">
        <v>5300000</v>
      </c>
      <c r="P261" s="124"/>
      <c r="Q261" s="124"/>
      <c r="R261" s="124"/>
      <c r="S261" s="124"/>
      <c r="T261" s="124">
        <f t="shared" si="12"/>
        <v>424000</v>
      </c>
      <c r="U261" s="150">
        <f t="shared" si="14"/>
        <v>7224000</v>
      </c>
      <c r="V261" s="117"/>
      <c r="W261" s="151" t="str">
        <f t="shared" si="15"/>
        <v xml:space="preserve">Cước vận chuyển Cát Lái - ĐỒNG PHÚ, BÌNH PHƯỚC cont: TRHU4957664 </v>
      </c>
    </row>
    <row r="262" spans="1:23" s="152" customFormat="1" ht="60" hidden="1" customHeight="1" x14ac:dyDescent="0.2">
      <c r="A262" s="122">
        <f t="shared" si="13"/>
        <v>246</v>
      </c>
      <c r="B262" s="147">
        <v>45977</v>
      </c>
      <c r="C262" s="117" t="s">
        <v>713</v>
      </c>
      <c r="D262" s="115"/>
      <c r="E262" s="128">
        <v>1</v>
      </c>
      <c r="F262" s="117" t="s">
        <v>719</v>
      </c>
      <c r="G262" s="117" t="s">
        <v>452</v>
      </c>
      <c r="H262" s="156" t="s">
        <v>158</v>
      </c>
      <c r="I262" s="148" t="s">
        <v>632</v>
      </c>
      <c r="J262" s="117" t="s">
        <v>39</v>
      </c>
      <c r="K262" s="128" t="s">
        <v>720</v>
      </c>
      <c r="L262" s="120" t="s">
        <v>721</v>
      </c>
      <c r="M262" s="123">
        <v>1500000</v>
      </c>
      <c r="N262" s="127"/>
      <c r="O262" s="124">
        <v>5300000</v>
      </c>
      <c r="P262" s="124"/>
      <c r="Q262" s="124"/>
      <c r="R262" s="124"/>
      <c r="S262" s="124"/>
      <c r="T262" s="124">
        <f t="shared" si="12"/>
        <v>424000</v>
      </c>
      <c r="U262" s="150">
        <f t="shared" si="14"/>
        <v>7224000</v>
      </c>
      <c r="V262" s="117"/>
      <c r="W262" s="151" t="str">
        <f t="shared" si="15"/>
        <v xml:space="preserve">Cước vận chuyển Cát Lái - ĐỒNG PHÚ, BÌNH PHƯỚC cont: HAMU4217257 </v>
      </c>
    </row>
    <row r="263" spans="1:23" s="152" customFormat="1" ht="60" hidden="1" customHeight="1" x14ac:dyDescent="0.2">
      <c r="A263" s="122">
        <f t="shared" si="13"/>
        <v>247</v>
      </c>
      <c r="B263" s="147">
        <v>45977</v>
      </c>
      <c r="C263" s="117" t="s">
        <v>729</v>
      </c>
      <c r="D263" s="115"/>
      <c r="E263" s="128">
        <v>1</v>
      </c>
      <c r="F263" s="117" t="s">
        <v>730</v>
      </c>
      <c r="G263" s="117" t="s">
        <v>731</v>
      </c>
      <c r="H263" s="128" t="s">
        <v>176</v>
      </c>
      <c r="I263" s="148" t="s">
        <v>226</v>
      </c>
      <c r="J263" s="117" t="s">
        <v>39</v>
      </c>
      <c r="K263" s="117" t="s">
        <v>259</v>
      </c>
      <c r="L263" s="120">
        <v>28075</v>
      </c>
      <c r="M263" s="123">
        <v>1500000</v>
      </c>
      <c r="N263" s="123"/>
      <c r="O263" s="124">
        <v>4500000</v>
      </c>
      <c r="P263" s="124"/>
      <c r="Q263" s="124"/>
      <c r="R263" s="124"/>
      <c r="S263" s="124"/>
      <c r="T263" s="124">
        <f t="shared" si="12"/>
        <v>360000</v>
      </c>
      <c r="U263" s="150">
        <f t="shared" si="14"/>
        <v>6360000</v>
      </c>
      <c r="V263" s="117" t="s">
        <v>413</v>
      </c>
      <c r="W263" s="151" t="str">
        <f t="shared" si="15"/>
        <v xml:space="preserve">Cước vận chuyển Cát Lái - CHƠN THÀNH, BÌNH PHƯỚC cont: TEMU7523077 </v>
      </c>
    </row>
    <row r="264" spans="1:23" s="152" customFormat="1" ht="60" hidden="1" customHeight="1" x14ac:dyDescent="0.2">
      <c r="A264" s="122">
        <f t="shared" si="13"/>
        <v>248</v>
      </c>
      <c r="B264" s="147">
        <v>45977</v>
      </c>
      <c r="C264" s="117" t="s">
        <v>729</v>
      </c>
      <c r="D264" s="115"/>
      <c r="E264" s="128">
        <v>1</v>
      </c>
      <c r="F264" s="128" t="s">
        <v>732</v>
      </c>
      <c r="G264" s="117" t="s">
        <v>733</v>
      </c>
      <c r="H264" s="128" t="s">
        <v>176</v>
      </c>
      <c r="I264" s="148" t="s">
        <v>226</v>
      </c>
      <c r="J264" s="117" t="s">
        <v>39</v>
      </c>
      <c r="K264" s="117" t="s">
        <v>259</v>
      </c>
      <c r="L264" s="120" t="s">
        <v>734</v>
      </c>
      <c r="M264" s="123">
        <v>1500000</v>
      </c>
      <c r="N264" s="123"/>
      <c r="O264" s="124">
        <v>4500000</v>
      </c>
      <c r="P264" s="124"/>
      <c r="Q264" s="124"/>
      <c r="R264" s="124"/>
      <c r="S264" s="124"/>
      <c r="T264" s="124">
        <f t="shared" si="12"/>
        <v>360000</v>
      </c>
      <c r="U264" s="150">
        <f t="shared" si="14"/>
        <v>6360000</v>
      </c>
      <c r="V264" s="117" t="s">
        <v>413</v>
      </c>
      <c r="W264" s="151" t="str">
        <f t="shared" si="15"/>
        <v xml:space="preserve">Cước vận chuyển Cát Lái - CHƠN THÀNH, BÌNH PHƯỚC cont: APZU4694085 </v>
      </c>
    </row>
    <row r="265" spans="1:23" s="152" customFormat="1" ht="60" hidden="1" customHeight="1" x14ac:dyDescent="0.2">
      <c r="A265" s="122">
        <f t="shared" si="13"/>
        <v>249</v>
      </c>
      <c r="B265" s="147">
        <v>45977</v>
      </c>
      <c r="C265" s="128" t="s">
        <v>735</v>
      </c>
      <c r="D265" s="128"/>
      <c r="E265" s="128">
        <v>1</v>
      </c>
      <c r="F265" s="117" t="s">
        <v>736</v>
      </c>
      <c r="G265" s="117" t="s">
        <v>737</v>
      </c>
      <c r="H265" s="128" t="s">
        <v>282</v>
      </c>
      <c r="I265" s="148" t="s">
        <v>632</v>
      </c>
      <c r="J265" s="117" t="s">
        <v>39</v>
      </c>
      <c r="K265" s="117" t="s">
        <v>174</v>
      </c>
      <c r="L265" s="117">
        <v>129930</v>
      </c>
      <c r="M265" s="123">
        <v>1500000</v>
      </c>
      <c r="N265" s="123"/>
      <c r="O265" s="124">
        <v>4500000</v>
      </c>
      <c r="P265" s="124"/>
      <c r="Q265" s="124"/>
      <c r="R265" s="124"/>
      <c r="S265" s="124"/>
      <c r="T265" s="124">
        <f t="shared" si="12"/>
        <v>360000</v>
      </c>
      <c r="U265" s="150">
        <f t="shared" si="14"/>
        <v>6360000</v>
      </c>
      <c r="V265" s="117" t="s">
        <v>413</v>
      </c>
      <c r="W265" s="151" t="str">
        <f t="shared" si="15"/>
        <v xml:space="preserve">Cước vận chuyển Cát Lái - ĐỒNG PHÚ, BÌNH PHƯỚC cont: TRHU5830988 </v>
      </c>
    </row>
    <row r="266" spans="1:23" s="152" customFormat="1" ht="60" hidden="1" customHeight="1" x14ac:dyDescent="0.2">
      <c r="A266" s="122">
        <f t="shared" si="13"/>
        <v>250</v>
      </c>
      <c r="B266" s="147">
        <v>45977</v>
      </c>
      <c r="C266" s="128" t="s">
        <v>735</v>
      </c>
      <c r="D266" s="115"/>
      <c r="E266" s="128">
        <v>1</v>
      </c>
      <c r="F266" s="117" t="s">
        <v>738</v>
      </c>
      <c r="G266" s="128" t="s">
        <v>739</v>
      </c>
      <c r="H266" s="128" t="s">
        <v>282</v>
      </c>
      <c r="I266" s="148" t="s">
        <v>632</v>
      </c>
      <c r="J266" s="117" t="s">
        <v>39</v>
      </c>
      <c r="K266" s="117" t="s">
        <v>174</v>
      </c>
      <c r="L266" s="120" t="s">
        <v>744</v>
      </c>
      <c r="M266" s="123">
        <v>1500000</v>
      </c>
      <c r="N266" s="123"/>
      <c r="O266" s="124">
        <v>4500000</v>
      </c>
      <c r="P266" s="124"/>
      <c r="Q266" s="124"/>
      <c r="R266" s="124"/>
      <c r="S266" s="124"/>
      <c r="T266" s="124">
        <f t="shared" si="12"/>
        <v>360000</v>
      </c>
      <c r="U266" s="150">
        <f t="shared" si="14"/>
        <v>6360000</v>
      </c>
      <c r="V266" s="117" t="s">
        <v>413</v>
      </c>
      <c r="W266" s="151" t="str">
        <f t="shared" si="15"/>
        <v xml:space="preserve">Cước vận chuyển Cát Lái - ĐỒNG PHÚ, BÌNH PHƯỚC cont: TLLU5728802 </v>
      </c>
    </row>
    <row r="267" spans="1:23" s="152" customFormat="1" ht="60" hidden="1" customHeight="1" x14ac:dyDescent="0.2">
      <c r="A267" s="122">
        <f t="shared" si="13"/>
        <v>251</v>
      </c>
      <c r="B267" s="147">
        <v>45977</v>
      </c>
      <c r="C267" s="128" t="s">
        <v>735</v>
      </c>
      <c r="D267" s="115"/>
      <c r="E267" s="128">
        <v>1</v>
      </c>
      <c r="F267" s="117" t="s">
        <v>740</v>
      </c>
      <c r="G267" s="117" t="s">
        <v>741</v>
      </c>
      <c r="H267" s="128" t="s">
        <v>282</v>
      </c>
      <c r="I267" s="148" t="s">
        <v>632</v>
      </c>
      <c r="J267" s="117" t="s">
        <v>39</v>
      </c>
      <c r="K267" s="117" t="s">
        <v>174</v>
      </c>
      <c r="L267" s="120" t="s">
        <v>745</v>
      </c>
      <c r="M267" s="123">
        <v>1500000</v>
      </c>
      <c r="N267" s="123"/>
      <c r="O267" s="124">
        <v>4500000</v>
      </c>
      <c r="P267" s="124"/>
      <c r="Q267" s="124"/>
      <c r="R267" s="124"/>
      <c r="S267" s="124"/>
      <c r="T267" s="124">
        <f t="shared" si="12"/>
        <v>360000</v>
      </c>
      <c r="U267" s="150">
        <f t="shared" si="14"/>
        <v>6360000</v>
      </c>
      <c r="V267" s="117" t="s">
        <v>413</v>
      </c>
      <c r="W267" s="151" t="str">
        <f t="shared" si="15"/>
        <v xml:space="preserve">Cước vận chuyển Cát Lái - ĐỒNG PHÚ, BÌNH PHƯỚC cont: TGBU5632058 </v>
      </c>
    </row>
    <row r="268" spans="1:23" s="152" customFormat="1" ht="60" hidden="1" customHeight="1" x14ac:dyDescent="0.2">
      <c r="A268" s="122">
        <f t="shared" si="13"/>
        <v>252</v>
      </c>
      <c r="B268" s="147">
        <v>45977</v>
      </c>
      <c r="C268" s="128" t="s">
        <v>735</v>
      </c>
      <c r="D268" s="115"/>
      <c r="E268" s="128">
        <v>1</v>
      </c>
      <c r="F268" s="128" t="s">
        <v>742</v>
      </c>
      <c r="G268" s="117" t="s">
        <v>743</v>
      </c>
      <c r="H268" s="128" t="s">
        <v>282</v>
      </c>
      <c r="I268" s="148" t="s">
        <v>632</v>
      </c>
      <c r="J268" s="117" t="s">
        <v>39</v>
      </c>
      <c r="K268" s="117" t="s">
        <v>174</v>
      </c>
      <c r="L268" s="120" t="s">
        <v>746</v>
      </c>
      <c r="M268" s="123">
        <v>1500000</v>
      </c>
      <c r="N268" s="123"/>
      <c r="O268" s="124">
        <v>4500000</v>
      </c>
      <c r="P268" s="124"/>
      <c r="Q268" s="124"/>
      <c r="R268" s="124"/>
      <c r="S268" s="124"/>
      <c r="T268" s="124">
        <f t="shared" si="12"/>
        <v>360000</v>
      </c>
      <c r="U268" s="150">
        <f t="shared" si="14"/>
        <v>6360000</v>
      </c>
      <c r="V268" s="117" t="s">
        <v>413</v>
      </c>
      <c r="W268" s="151" t="str">
        <f t="shared" si="15"/>
        <v xml:space="preserve">Cước vận chuyển Cát Lái - ĐỒNG PHÚ, BÌNH PHƯỚC cont: UETU5409544 </v>
      </c>
    </row>
    <row r="269" spans="1:23" s="152" customFormat="1" ht="60" hidden="1" customHeight="1" x14ac:dyDescent="0.2">
      <c r="A269" s="122">
        <f t="shared" si="13"/>
        <v>253</v>
      </c>
      <c r="B269" s="147">
        <v>45977</v>
      </c>
      <c r="C269" s="117">
        <v>2314640630</v>
      </c>
      <c r="D269" s="115"/>
      <c r="E269" s="128">
        <v>1</v>
      </c>
      <c r="F269" s="117" t="s">
        <v>750</v>
      </c>
      <c r="G269" s="117" t="s">
        <v>213</v>
      </c>
      <c r="H269" s="128" t="s">
        <v>158</v>
      </c>
      <c r="I269" s="148" t="s">
        <v>632</v>
      </c>
      <c r="J269" s="117" t="s">
        <v>259</v>
      </c>
      <c r="K269" s="117" t="s">
        <v>39</v>
      </c>
      <c r="L269" s="120" t="s">
        <v>753</v>
      </c>
      <c r="M269" s="123">
        <v>1500000</v>
      </c>
      <c r="N269" s="127"/>
      <c r="O269" s="124">
        <v>5300000</v>
      </c>
      <c r="P269" s="124"/>
      <c r="Q269" s="124"/>
      <c r="R269" s="124"/>
      <c r="S269" s="124"/>
      <c r="T269" s="124">
        <f t="shared" si="12"/>
        <v>424000</v>
      </c>
      <c r="U269" s="150">
        <f t="shared" si="14"/>
        <v>7224000</v>
      </c>
      <c r="V269" s="117" t="s">
        <v>413</v>
      </c>
      <c r="W269" s="151" t="str">
        <f t="shared" si="15"/>
        <v xml:space="preserve">Cước vận chuyển Cát Lái - ĐỒNG PHÚ, BÌNH PHƯỚC cont: TIIU6439839 </v>
      </c>
    </row>
    <row r="270" spans="1:23" s="152" customFormat="1" ht="60" hidden="1" customHeight="1" x14ac:dyDescent="0.2">
      <c r="A270" s="122">
        <f t="shared" si="13"/>
        <v>254</v>
      </c>
      <c r="B270" s="147">
        <v>45977</v>
      </c>
      <c r="C270" s="117">
        <v>2314640630</v>
      </c>
      <c r="D270" s="115"/>
      <c r="E270" s="128">
        <v>1</v>
      </c>
      <c r="F270" s="128" t="s">
        <v>751</v>
      </c>
      <c r="G270" s="117" t="s">
        <v>198</v>
      </c>
      <c r="H270" s="128" t="s">
        <v>158</v>
      </c>
      <c r="I270" s="148" t="s">
        <v>632</v>
      </c>
      <c r="J270" s="117" t="s">
        <v>259</v>
      </c>
      <c r="K270" s="117" t="s">
        <v>39</v>
      </c>
      <c r="L270" s="117">
        <v>414890</v>
      </c>
      <c r="M270" s="123">
        <v>1500000</v>
      </c>
      <c r="N270" s="127"/>
      <c r="O270" s="124">
        <v>5300000</v>
      </c>
      <c r="P270" s="124"/>
      <c r="Q270" s="124"/>
      <c r="R270" s="124"/>
      <c r="S270" s="124"/>
      <c r="T270" s="124">
        <f t="shared" si="12"/>
        <v>424000</v>
      </c>
      <c r="U270" s="150">
        <f t="shared" si="14"/>
        <v>7224000</v>
      </c>
      <c r="V270" s="117" t="s">
        <v>413</v>
      </c>
      <c r="W270" s="151" t="str">
        <f t="shared" si="15"/>
        <v xml:space="preserve">Cước vận chuyển Cát Lái - ĐỒNG PHÚ, BÌNH PHƯỚC cont: CSNU7031106 </v>
      </c>
    </row>
    <row r="271" spans="1:23" s="152" customFormat="1" ht="60" hidden="1" customHeight="1" x14ac:dyDescent="0.2">
      <c r="A271" s="122">
        <f t="shared" si="13"/>
        <v>255</v>
      </c>
      <c r="B271" s="147">
        <v>45977</v>
      </c>
      <c r="C271" s="117">
        <v>2314676690</v>
      </c>
      <c r="D271" s="115"/>
      <c r="E271" s="128">
        <v>1</v>
      </c>
      <c r="F271" s="117" t="s">
        <v>749</v>
      </c>
      <c r="G271" s="117" t="s">
        <v>211</v>
      </c>
      <c r="H271" s="128" t="s">
        <v>158</v>
      </c>
      <c r="I271" s="148" t="s">
        <v>632</v>
      </c>
      <c r="J271" s="117" t="s">
        <v>259</v>
      </c>
      <c r="K271" s="117" t="s">
        <v>39</v>
      </c>
      <c r="L271" s="128">
        <v>414641</v>
      </c>
      <c r="M271" s="123">
        <v>1500000</v>
      </c>
      <c r="N271" s="127"/>
      <c r="O271" s="124">
        <v>5300000</v>
      </c>
      <c r="P271" s="124"/>
      <c r="Q271" s="124"/>
      <c r="R271" s="124"/>
      <c r="S271" s="124"/>
      <c r="T271" s="124">
        <f t="shared" si="12"/>
        <v>424000</v>
      </c>
      <c r="U271" s="150">
        <f t="shared" si="14"/>
        <v>7224000</v>
      </c>
      <c r="V271" s="117"/>
      <c r="W271" s="151" t="str">
        <f t="shared" si="15"/>
        <v xml:space="preserve">Cước vận chuyển Cát Lái - ĐỒNG PHÚ, BÌNH PHƯỚC cont: TIIU5790598 </v>
      </c>
    </row>
    <row r="272" spans="1:23" s="152" customFormat="1" ht="60" hidden="1" customHeight="1" x14ac:dyDescent="0.2">
      <c r="A272" s="122">
        <f t="shared" si="13"/>
        <v>256</v>
      </c>
      <c r="B272" s="147">
        <v>45977</v>
      </c>
      <c r="C272" s="117">
        <v>2314676690</v>
      </c>
      <c r="D272" s="115"/>
      <c r="E272" s="128">
        <v>1</v>
      </c>
      <c r="F272" s="117" t="s">
        <v>752</v>
      </c>
      <c r="G272" s="128" t="s">
        <v>208</v>
      </c>
      <c r="H272" s="128" t="s">
        <v>158</v>
      </c>
      <c r="I272" s="148" t="s">
        <v>632</v>
      </c>
      <c r="J272" s="117" t="s">
        <v>259</v>
      </c>
      <c r="K272" s="117" t="s">
        <v>39</v>
      </c>
      <c r="L272" s="128">
        <v>414616</v>
      </c>
      <c r="M272" s="123">
        <v>1500000</v>
      </c>
      <c r="N272" s="127"/>
      <c r="O272" s="124">
        <v>5300000</v>
      </c>
      <c r="P272" s="124"/>
      <c r="Q272" s="124"/>
      <c r="R272" s="124"/>
      <c r="S272" s="124"/>
      <c r="T272" s="124">
        <f t="shared" ref="T272:T335" si="16">O272*0.08</f>
        <v>424000</v>
      </c>
      <c r="U272" s="150">
        <f t="shared" si="14"/>
        <v>7224000</v>
      </c>
      <c r="V272" s="117" t="s">
        <v>413</v>
      </c>
      <c r="W272" s="151" t="str">
        <f t="shared" si="15"/>
        <v xml:space="preserve">Cước vận chuyển Cát Lái - ĐỒNG PHÚ, BÌNH PHƯỚC cont: OOCU7114080 </v>
      </c>
    </row>
    <row r="273" spans="1:23" s="152" customFormat="1" ht="60" hidden="1" customHeight="1" x14ac:dyDescent="0.2">
      <c r="A273" s="122">
        <f t="shared" ref="A273:A336" si="17">ROW()-16</f>
        <v>257</v>
      </c>
      <c r="B273" s="147">
        <v>45977</v>
      </c>
      <c r="C273" s="117" t="s">
        <v>754</v>
      </c>
      <c r="D273" s="115"/>
      <c r="E273" s="128">
        <v>1</v>
      </c>
      <c r="F273" s="117" t="s">
        <v>755</v>
      </c>
      <c r="G273" s="117" t="s">
        <v>756</v>
      </c>
      <c r="H273" s="128" t="s">
        <v>282</v>
      </c>
      <c r="I273" s="122" t="s">
        <v>172</v>
      </c>
      <c r="J273" s="117" t="s">
        <v>39</v>
      </c>
      <c r="K273" s="117" t="s">
        <v>204</v>
      </c>
      <c r="L273" s="227" t="s">
        <v>757</v>
      </c>
      <c r="M273" s="127">
        <v>1500000</v>
      </c>
      <c r="N273" s="127"/>
      <c r="O273" s="124">
        <v>4500000</v>
      </c>
      <c r="P273" s="124"/>
      <c r="Q273" s="124"/>
      <c r="R273" s="124"/>
      <c r="S273" s="124"/>
      <c r="T273" s="124">
        <f t="shared" si="16"/>
        <v>360000</v>
      </c>
      <c r="U273" s="150">
        <f t="shared" ref="U273:U336" si="18">T273+S273+Q273+O273+M273+N273</f>
        <v>6360000</v>
      </c>
      <c r="V273" s="117"/>
      <c r="W273" s="151" t="str">
        <f t="shared" ref="W273:W336" si="19">"Cước vận chuyển Cát Lái - "&amp;I273&amp;" cont: "&amp;F273&amp;" "</f>
        <v xml:space="preserve">Cước vận chuyển Cát Lái - XÃ CHƠN THÀNH, TỈNH ĐỒNG NAI cont: CSNU6994360 </v>
      </c>
    </row>
    <row r="274" spans="1:23" s="152" customFormat="1" ht="60" hidden="1" customHeight="1" x14ac:dyDescent="0.2">
      <c r="A274" s="122">
        <f t="shared" si="17"/>
        <v>258</v>
      </c>
      <c r="B274" s="147">
        <v>45977</v>
      </c>
      <c r="C274" s="117">
        <v>258474143</v>
      </c>
      <c r="D274" s="115"/>
      <c r="E274" s="128">
        <v>1</v>
      </c>
      <c r="F274" s="117" t="s">
        <v>1003</v>
      </c>
      <c r="G274" s="117" t="s">
        <v>1006</v>
      </c>
      <c r="H274" s="128" t="s">
        <v>176</v>
      </c>
      <c r="I274" s="122" t="s">
        <v>226</v>
      </c>
      <c r="J274" s="117" t="s">
        <v>39</v>
      </c>
      <c r="K274" s="128" t="s">
        <v>444</v>
      </c>
      <c r="L274" s="227" t="s">
        <v>1008</v>
      </c>
      <c r="M274" s="127">
        <v>1450000</v>
      </c>
      <c r="N274" s="127"/>
      <c r="O274" s="124">
        <v>4500000</v>
      </c>
      <c r="P274" s="124"/>
      <c r="Q274" s="124"/>
      <c r="R274" s="124"/>
      <c r="S274" s="124"/>
      <c r="T274" s="124">
        <f t="shared" si="16"/>
        <v>360000</v>
      </c>
      <c r="U274" s="150">
        <f t="shared" si="18"/>
        <v>6310000</v>
      </c>
      <c r="V274" s="117" t="s">
        <v>413</v>
      </c>
      <c r="W274" s="151" t="str">
        <f t="shared" si="19"/>
        <v xml:space="preserve">Cước vận chuyển Cát Lái - CHƠN THÀNH, BÌNH PHƯỚC cont: MRSU4339133 </v>
      </c>
    </row>
    <row r="275" spans="1:23" s="152" customFormat="1" ht="60" hidden="1" customHeight="1" x14ac:dyDescent="0.2">
      <c r="A275" s="122">
        <f t="shared" si="17"/>
        <v>259</v>
      </c>
      <c r="B275" s="147">
        <v>45977</v>
      </c>
      <c r="C275" s="117">
        <v>258474143</v>
      </c>
      <c r="D275" s="115"/>
      <c r="E275" s="128">
        <v>1</v>
      </c>
      <c r="F275" s="117" t="s">
        <v>1004</v>
      </c>
      <c r="G275" s="117" t="s">
        <v>1007</v>
      </c>
      <c r="H275" s="128" t="s">
        <v>176</v>
      </c>
      <c r="I275" s="122" t="s">
        <v>226</v>
      </c>
      <c r="J275" s="117" t="s">
        <v>39</v>
      </c>
      <c r="K275" s="128" t="s">
        <v>444</v>
      </c>
      <c r="L275" s="227" t="s">
        <v>657</v>
      </c>
      <c r="M275" s="127">
        <v>1450000</v>
      </c>
      <c r="N275" s="127"/>
      <c r="O275" s="124">
        <v>4500000</v>
      </c>
      <c r="P275" s="124"/>
      <c r="Q275" s="124"/>
      <c r="R275" s="124"/>
      <c r="S275" s="124"/>
      <c r="T275" s="124">
        <f t="shared" si="16"/>
        <v>360000</v>
      </c>
      <c r="U275" s="150">
        <f t="shared" si="18"/>
        <v>6310000</v>
      </c>
      <c r="V275" s="117" t="s">
        <v>413</v>
      </c>
      <c r="W275" s="151" t="str">
        <f t="shared" si="19"/>
        <v xml:space="preserve">Cước vận chuyển Cát Lái - CHƠN THÀNH, BÌNH PHƯỚC cont: TCNU6896097 </v>
      </c>
    </row>
    <row r="276" spans="1:23" s="152" customFormat="1" ht="60" hidden="1" customHeight="1" x14ac:dyDescent="0.2">
      <c r="A276" s="122">
        <f t="shared" si="17"/>
        <v>260</v>
      </c>
      <c r="B276" s="147">
        <v>45977</v>
      </c>
      <c r="C276" s="117">
        <v>258474143</v>
      </c>
      <c r="D276" s="115"/>
      <c r="E276" s="128">
        <v>1</v>
      </c>
      <c r="F276" s="117" t="s">
        <v>1005</v>
      </c>
      <c r="G276" s="199" t="s">
        <v>181</v>
      </c>
      <c r="H276" s="128" t="s">
        <v>176</v>
      </c>
      <c r="I276" s="122" t="s">
        <v>226</v>
      </c>
      <c r="J276" s="117" t="s">
        <v>39</v>
      </c>
      <c r="K276" s="128" t="s">
        <v>444</v>
      </c>
      <c r="L276" s="227" t="s">
        <v>1009</v>
      </c>
      <c r="M276" s="127">
        <v>1450000</v>
      </c>
      <c r="N276" s="127"/>
      <c r="O276" s="124">
        <v>4500000</v>
      </c>
      <c r="P276" s="124"/>
      <c r="Q276" s="124"/>
      <c r="R276" s="124"/>
      <c r="S276" s="124"/>
      <c r="T276" s="124">
        <f t="shared" si="16"/>
        <v>360000</v>
      </c>
      <c r="U276" s="150">
        <f t="shared" si="18"/>
        <v>6310000</v>
      </c>
      <c r="V276" s="117"/>
      <c r="W276" s="151" t="str">
        <f t="shared" si="19"/>
        <v xml:space="preserve">Cước vận chuyển Cát Lái - CHƠN THÀNH, BÌNH PHƯỚC cont: HASU4591295 </v>
      </c>
    </row>
    <row r="277" spans="1:23" s="152" customFormat="1" ht="60" hidden="1" customHeight="1" x14ac:dyDescent="0.2">
      <c r="A277" s="122">
        <f t="shared" si="17"/>
        <v>261</v>
      </c>
      <c r="B277" s="147">
        <v>45978</v>
      </c>
      <c r="C277" s="117">
        <v>257750909</v>
      </c>
      <c r="D277" s="115"/>
      <c r="E277" s="128">
        <v>1</v>
      </c>
      <c r="F277" s="117" t="s">
        <v>758</v>
      </c>
      <c r="G277" s="117" t="s">
        <v>759</v>
      </c>
      <c r="H277" s="128" t="s">
        <v>282</v>
      </c>
      <c r="I277" s="122" t="s">
        <v>172</v>
      </c>
      <c r="J277" s="117" t="s">
        <v>39</v>
      </c>
      <c r="K277" s="117" t="s">
        <v>444</v>
      </c>
      <c r="L277" s="227" t="s">
        <v>763</v>
      </c>
      <c r="M277" s="127">
        <v>1500000</v>
      </c>
      <c r="N277" s="127"/>
      <c r="O277" s="124">
        <v>4500000</v>
      </c>
      <c r="P277" s="124"/>
      <c r="Q277" s="124"/>
      <c r="R277" s="124"/>
      <c r="S277" s="124"/>
      <c r="T277" s="124">
        <f t="shared" si="16"/>
        <v>360000</v>
      </c>
      <c r="U277" s="150">
        <f t="shared" si="18"/>
        <v>6360000</v>
      </c>
      <c r="V277" s="117" t="s">
        <v>413</v>
      </c>
      <c r="W277" s="151" t="str">
        <f t="shared" si="19"/>
        <v xml:space="preserve">Cước vận chuyển Cát Lái - XÃ CHƠN THÀNH, TỈNH ĐỒNG NAI cont: TEMU8114242 </v>
      </c>
    </row>
    <row r="278" spans="1:23" s="152" customFormat="1" ht="60" hidden="1" customHeight="1" x14ac:dyDescent="0.2">
      <c r="A278" s="122">
        <f t="shared" si="17"/>
        <v>262</v>
      </c>
      <c r="B278" s="147">
        <v>45978</v>
      </c>
      <c r="C278" s="117">
        <v>257750909</v>
      </c>
      <c r="D278" s="115"/>
      <c r="E278" s="128">
        <v>1</v>
      </c>
      <c r="F278" s="128" t="s">
        <v>760</v>
      </c>
      <c r="G278" s="117" t="s">
        <v>761</v>
      </c>
      <c r="H278" s="128" t="s">
        <v>282</v>
      </c>
      <c r="I278" s="122" t="s">
        <v>172</v>
      </c>
      <c r="J278" s="117" t="s">
        <v>39</v>
      </c>
      <c r="K278" s="117" t="s">
        <v>444</v>
      </c>
      <c r="L278" s="227" t="s">
        <v>762</v>
      </c>
      <c r="M278" s="127">
        <v>1500000</v>
      </c>
      <c r="N278" s="127"/>
      <c r="O278" s="124">
        <v>4500000</v>
      </c>
      <c r="P278" s="124"/>
      <c r="Q278" s="124"/>
      <c r="R278" s="124"/>
      <c r="S278" s="124"/>
      <c r="T278" s="124">
        <f t="shared" si="16"/>
        <v>360000</v>
      </c>
      <c r="U278" s="150">
        <f t="shared" si="18"/>
        <v>6360000</v>
      </c>
      <c r="V278" s="117" t="s">
        <v>413</v>
      </c>
      <c r="W278" s="151" t="str">
        <f t="shared" si="19"/>
        <v xml:space="preserve">Cước vận chuyển Cát Lái - XÃ CHƠN THÀNH, TỈNH ĐỒNG NAI cont: MSKU1599120 </v>
      </c>
    </row>
    <row r="279" spans="1:23" s="152" customFormat="1" ht="60" hidden="1" customHeight="1" x14ac:dyDescent="0.2">
      <c r="A279" s="122">
        <f t="shared" si="17"/>
        <v>263</v>
      </c>
      <c r="B279" s="147">
        <v>45978</v>
      </c>
      <c r="C279" s="117">
        <v>261567466</v>
      </c>
      <c r="D279" s="115"/>
      <c r="E279" s="128">
        <v>1</v>
      </c>
      <c r="F279" s="117" t="s">
        <v>764</v>
      </c>
      <c r="G279" s="117" t="s">
        <v>459</v>
      </c>
      <c r="H279" s="128" t="s">
        <v>158</v>
      </c>
      <c r="I279" s="148" t="s">
        <v>632</v>
      </c>
      <c r="J279" s="128" t="s">
        <v>444</v>
      </c>
      <c r="K279" s="117" t="s">
        <v>39</v>
      </c>
      <c r="L279" s="227" t="s">
        <v>772</v>
      </c>
      <c r="M279" s="127">
        <v>1450000</v>
      </c>
      <c r="N279" s="127"/>
      <c r="O279" s="124">
        <v>5300000</v>
      </c>
      <c r="P279" s="124"/>
      <c r="Q279" s="124"/>
      <c r="R279" s="124"/>
      <c r="S279" s="124"/>
      <c r="T279" s="124">
        <f t="shared" si="16"/>
        <v>424000</v>
      </c>
      <c r="U279" s="150">
        <f t="shared" si="18"/>
        <v>7174000</v>
      </c>
      <c r="V279" s="117"/>
      <c r="W279" s="151" t="str">
        <f t="shared" si="19"/>
        <v xml:space="preserve">Cước vận chuyển Cát Lái - ĐỒNG PHÚ, BÌNH PHƯỚC cont: MRKU4998251 </v>
      </c>
    </row>
    <row r="280" spans="1:23" s="152" customFormat="1" ht="60" hidden="1" customHeight="1" x14ac:dyDescent="0.2">
      <c r="A280" s="122">
        <f t="shared" si="17"/>
        <v>264</v>
      </c>
      <c r="B280" s="147">
        <v>45978</v>
      </c>
      <c r="C280" s="117">
        <v>261567466</v>
      </c>
      <c r="D280" s="115"/>
      <c r="E280" s="128">
        <v>1</v>
      </c>
      <c r="F280" s="117" t="s">
        <v>765</v>
      </c>
      <c r="G280" s="117" t="s">
        <v>194</v>
      </c>
      <c r="H280" s="128" t="s">
        <v>158</v>
      </c>
      <c r="I280" s="148" t="s">
        <v>632</v>
      </c>
      <c r="J280" s="128" t="s">
        <v>444</v>
      </c>
      <c r="K280" s="117" t="s">
        <v>39</v>
      </c>
      <c r="L280" s="227" t="s">
        <v>771</v>
      </c>
      <c r="M280" s="127">
        <v>1450000</v>
      </c>
      <c r="N280" s="127"/>
      <c r="O280" s="124">
        <v>5300000</v>
      </c>
      <c r="P280" s="124"/>
      <c r="Q280" s="124"/>
      <c r="R280" s="124"/>
      <c r="S280" s="124"/>
      <c r="T280" s="124">
        <f t="shared" si="16"/>
        <v>424000</v>
      </c>
      <c r="U280" s="150">
        <f t="shared" si="18"/>
        <v>7174000</v>
      </c>
      <c r="V280" s="117"/>
      <c r="W280" s="151" t="str">
        <f t="shared" si="19"/>
        <v xml:space="preserve">Cước vận chuyển Cát Lái - ĐỒNG PHÚ, BÌNH PHƯỚC cont: MRSU3957672 </v>
      </c>
    </row>
    <row r="281" spans="1:23" s="152" customFormat="1" ht="60" hidden="1" customHeight="1" x14ac:dyDescent="0.2">
      <c r="A281" s="122">
        <f t="shared" si="17"/>
        <v>265</v>
      </c>
      <c r="B281" s="147">
        <v>45978</v>
      </c>
      <c r="C281" s="117">
        <v>261567466</v>
      </c>
      <c r="D281" s="115"/>
      <c r="E281" s="128">
        <v>1</v>
      </c>
      <c r="F281" s="117" t="s">
        <v>766</v>
      </c>
      <c r="G281" s="117" t="s">
        <v>191</v>
      </c>
      <c r="H281" s="128" t="s">
        <v>158</v>
      </c>
      <c r="I281" s="148" t="s">
        <v>632</v>
      </c>
      <c r="J281" s="128" t="s">
        <v>444</v>
      </c>
      <c r="K281" s="117" t="s">
        <v>39</v>
      </c>
      <c r="L281" s="227" t="s">
        <v>770</v>
      </c>
      <c r="M281" s="127">
        <v>1450000</v>
      </c>
      <c r="N281" s="127"/>
      <c r="O281" s="124">
        <v>5300000</v>
      </c>
      <c r="P281" s="124"/>
      <c r="Q281" s="124"/>
      <c r="R281" s="124"/>
      <c r="S281" s="124"/>
      <c r="T281" s="124">
        <f t="shared" si="16"/>
        <v>424000</v>
      </c>
      <c r="U281" s="150">
        <f t="shared" si="18"/>
        <v>7174000</v>
      </c>
      <c r="V281" s="117" t="s">
        <v>413</v>
      </c>
      <c r="W281" s="151" t="str">
        <f t="shared" si="19"/>
        <v xml:space="preserve">Cước vận chuyển Cát Lái - ĐỒNG PHÚ, BÌNH PHƯỚC cont: CAAU8263321 </v>
      </c>
    </row>
    <row r="282" spans="1:23" s="152" customFormat="1" ht="60" hidden="1" customHeight="1" x14ac:dyDescent="0.2">
      <c r="A282" s="122">
        <f t="shared" si="17"/>
        <v>266</v>
      </c>
      <c r="B282" s="147">
        <v>45978</v>
      </c>
      <c r="C282" s="117">
        <v>261567466</v>
      </c>
      <c r="D282" s="115"/>
      <c r="E282" s="128">
        <v>1</v>
      </c>
      <c r="F282" s="117" t="s">
        <v>767</v>
      </c>
      <c r="G282" s="117" t="s">
        <v>197</v>
      </c>
      <c r="H282" s="128" t="s">
        <v>158</v>
      </c>
      <c r="I282" s="148" t="s">
        <v>632</v>
      </c>
      <c r="J282" s="128" t="s">
        <v>444</v>
      </c>
      <c r="K282" s="117" t="s">
        <v>39</v>
      </c>
      <c r="L282" s="227" t="s">
        <v>773</v>
      </c>
      <c r="M282" s="127">
        <v>1450000</v>
      </c>
      <c r="N282" s="127"/>
      <c r="O282" s="124">
        <v>5300000</v>
      </c>
      <c r="P282" s="124"/>
      <c r="Q282" s="124"/>
      <c r="R282" s="124"/>
      <c r="S282" s="124"/>
      <c r="T282" s="124">
        <f t="shared" si="16"/>
        <v>424000</v>
      </c>
      <c r="U282" s="150">
        <f t="shared" si="18"/>
        <v>7174000</v>
      </c>
      <c r="V282" s="117"/>
      <c r="W282" s="151" t="str">
        <f t="shared" si="19"/>
        <v xml:space="preserve">Cước vận chuyển Cát Lái - ĐỒNG PHÚ, BÌNH PHƯỚC cont: HASU4520861 </v>
      </c>
    </row>
    <row r="283" spans="1:23" s="152" customFormat="1" ht="60" customHeight="1" x14ac:dyDescent="0.2">
      <c r="A283" s="122">
        <f t="shared" si="17"/>
        <v>267</v>
      </c>
      <c r="B283" s="147">
        <v>45978</v>
      </c>
      <c r="C283" s="117">
        <v>261567466</v>
      </c>
      <c r="D283" s="115"/>
      <c r="E283" s="128">
        <v>1</v>
      </c>
      <c r="F283" s="128" t="s">
        <v>768</v>
      </c>
      <c r="G283" s="117" t="s">
        <v>188</v>
      </c>
      <c r="H283" s="128" t="s">
        <v>158</v>
      </c>
      <c r="I283" s="148" t="s">
        <v>632</v>
      </c>
      <c r="J283" s="128" t="s">
        <v>444</v>
      </c>
      <c r="K283" s="117" t="s">
        <v>39</v>
      </c>
      <c r="L283" s="227" t="s">
        <v>769</v>
      </c>
      <c r="M283" s="127">
        <v>1450000</v>
      </c>
      <c r="N283" s="127"/>
      <c r="O283" s="124">
        <v>5300000</v>
      </c>
      <c r="P283" s="124"/>
      <c r="Q283" s="124"/>
      <c r="R283" s="124"/>
      <c r="S283" s="124"/>
      <c r="T283" s="124">
        <f t="shared" si="16"/>
        <v>424000</v>
      </c>
      <c r="U283" s="150">
        <f t="shared" si="18"/>
        <v>7174000</v>
      </c>
      <c r="V283" s="117"/>
      <c r="W283" s="151" t="str">
        <f t="shared" si="19"/>
        <v xml:space="preserve">Cước vận chuyển Cát Lái - ĐỒNG PHÚ, BÌNH PHƯỚC cont: MRSU3828567 </v>
      </c>
    </row>
    <row r="284" spans="1:23" s="152" customFormat="1" ht="60" hidden="1" customHeight="1" x14ac:dyDescent="0.2">
      <c r="A284" s="122">
        <f t="shared" si="17"/>
        <v>268</v>
      </c>
      <c r="B284" s="147">
        <v>45978</v>
      </c>
      <c r="C284" s="117" t="s">
        <v>807</v>
      </c>
      <c r="D284" s="115"/>
      <c r="E284" s="128">
        <v>1</v>
      </c>
      <c r="F284" s="117" t="s">
        <v>808</v>
      </c>
      <c r="G284" s="117" t="s">
        <v>294</v>
      </c>
      <c r="H284" s="128" t="s">
        <v>176</v>
      </c>
      <c r="I284" s="148" t="s">
        <v>226</v>
      </c>
      <c r="J284" s="128" t="s">
        <v>361</v>
      </c>
      <c r="K284" s="117" t="s">
        <v>39</v>
      </c>
      <c r="L284" s="227" t="s">
        <v>817</v>
      </c>
      <c r="M284" s="127">
        <v>1500000</v>
      </c>
      <c r="N284" s="127"/>
      <c r="O284" s="124">
        <v>4500000</v>
      </c>
      <c r="P284" s="124"/>
      <c r="Q284" s="124"/>
      <c r="R284" s="124"/>
      <c r="S284" s="124"/>
      <c r="T284" s="124">
        <f t="shared" si="16"/>
        <v>360000</v>
      </c>
      <c r="U284" s="150">
        <f t="shared" si="18"/>
        <v>6360000</v>
      </c>
      <c r="V284" s="117"/>
      <c r="W284" s="151" t="str">
        <f t="shared" si="19"/>
        <v xml:space="preserve">Cước vận chuyển Cát Lái - CHƠN THÀNH, BÌNH PHƯỚC cont: WFTU2015557 </v>
      </c>
    </row>
    <row r="285" spans="1:23" s="152" customFormat="1" ht="60" hidden="1" customHeight="1" x14ac:dyDescent="0.2">
      <c r="A285" s="122">
        <f t="shared" si="17"/>
        <v>269</v>
      </c>
      <c r="B285" s="147">
        <v>45978</v>
      </c>
      <c r="C285" s="117" t="s">
        <v>807</v>
      </c>
      <c r="D285" s="115"/>
      <c r="E285" s="128">
        <v>1</v>
      </c>
      <c r="F285" s="117" t="s">
        <v>809</v>
      </c>
      <c r="G285" s="117" t="s">
        <v>810</v>
      </c>
      <c r="H285" s="128" t="s">
        <v>176</v>
      </c>
      <c r="I285" s="148" t="s">
        <v>226</v>
      </c>
      <c r="J285" s="128" t="s">
        <v>361</v>
      </c>
      <c r="K285" s="117" t="s">
        <v>39</v>
      </c>
      <c r="L285" s="227" t="s">
        <v>818</v>
      </c>
      <c r="M285" s="127">
        <v>1500000</v>
      </c>
      <c r="N285" s="127"/>
      <c r="O285" s="124">
        <v>4500000</v>
      </c>
      <c r="P285" s="124"/>
      <c r="Q285" s="124"/>
      <c r="R285" s="124"/>
      <c r="S285" s="124"/>
      <c r="T285" s="124">
        <f t="shared" si="16"/>
        <v>360000</v>
      </c>
      <c r="U285" s="150">
        <f t="shared" si="18"/>
        <v>6360000</v>
      </c>
      <c r="V285" s="117"/>
      <c r="W285" s="151" t="str">
        <f t="shared" si="19"/>
        <v xml:space="preserve">Cước vận chuyển Cát Lái - CHƠN THÀNH, BÌNH PHƯỚC cont: BEAU4396263 </v>
      </c>
    </row>
    <row r="286" spans="1:23" s="152" customFormat="1" ht="60" hidden="1" customHeight="1" x14ac:dyDescent="0.2">
      <c r="A286" s="122">
        <f t="shared" si="17"/>
        <v>270</v>
      </c>
      <c r="B286" s="147">
        <v>45978</v>
      </c>
      <c r="C286" s="117" t="s">
        <v>807</v>
      </c>
      <c r="D286" s="115"/>
      <c r="E286" s="128">
        <v>1</v>
      </c>
      <c r="F286" s="117" t="s">
        <v>811</v>
      </c>
      <c r="G286" s="117" t="s">
        <v>812</v>
      </c>
      <c r="H286" s="128" t="s">
        <v>176</v>
      </c>
      <c r="I286" s="148" t="s">
        <v>226</v>
      </c>
      <c r="J286" s="128" t="s">
        <v>361</v>
      </c>
      <c r="K286" s="117" t="s">
        <v>39</v>
      </c>
      <c r="L286" s="227" t="s">
        <v>819</v>
      </c>
      <c r="M286" s="127">
        <v>1500000</v>
      </c>
      <c r="N286" s="127"/>
      <c r="O286" s="124">
        <v>4500000</v>
      </c>
      <c r="P286" s="124"/>
      <c r="Q286" s="124"/>
      <c r="R286" s="124"/>
      <c r="S286" s="124"/>
      <c r="T286" s="124">
        <f t="shared" si="16"/>
        <v>360000</v>
      </c>
      <c r="U286" s="150">
        <f t="shared" si="18"/>
        <v>6360000</v>
      </c>
      <c r="V286" s="117"/>
      <c r="W286" s="151" t="str">
        <f t="shared" si="19"/>
        <v xml:space="preserve">Cước vận chuyển Cát Lái - CHƠN THÀNH, BÌNH PHƯỚC cont: CIPU5186533 </v>
      </c>
    </row>
    <row r="287" spans="1:23" s="152" customFormat="1" ht="60" hidden="1" customHeight="1" x14ac:dyDescent="0.2">
      <c r="A287" s="122">
        <f t="shared" si="17"/>
        <v>271</v>
      </c>
      <c r="B287" s="147">
        <v>45978</v>
      </c>
      <c r="C287" s="117" t="s">
        <v>807</v>
      </c>
      <c r="D287" s="115"/>
      <c r="E287" s="128">
        <v>1</v>
      </c>
      <c r="F287" s="117" t="s">
        <v>813</v>
      </c>
      <c r="G287" s="117" t="s">
        <v>814</v>
      </c>
      <c r="H287" s="128" t="s">
        <v>176</v>
      </c>
      <c r="I287" s="148" t="s">
        <v>226</v>
      </c>
      <c r="J287" s="128" t="s">
        <v>361</v>
      </c>
      <c r="K287" s="117" t="s">
        <v>39</v>
      </c>
      <c r="L287" s="227" t="s">
        <v>820</v>
      </c>
      <c r="M287" s="127">
        <v>1500000</v>
      </c>
      <c r="N287" s="127"/>
      <c r="O287" s="124">
        <v>4500000</v>
      </c>
      <c r="P287" s="124"/>
      <c r="Q287" s="124"/>
      <c r="R287" s="124"/>
      <c r="S287" s="124"/>
      <c r="T287" s="124">
        <f t="shared" si="16"/>
        <v>360000</v>
      </c>
      <c r="U287" s="150">
        <f t="shared" si="18"/>
        <v>6360000</v>
      </c>
      <c r="V287" s="117"/>
      <c r="W287" s="151" t="str">
        <f t="shared" si="19"/>
        <v xml:space="preserve">Cước vận chuyển Cát Lái - CHƠN THÀNH, BÌNH PHƯỚC cont: CIPU5189975 </v>
      </c>
    </row>
    <row r="288" spans="1:23" s="152" customFormat="1" ht="60" hidden="1" customHeight="1" x14ac:dyDescent="0.2">
      <c r="A288" s="122">
        <f t="shared" si="17"/>
        <v>272</v>
      </c>
      <c r="B288" s="147">
        <v>45978</v>
      </c>
      <c r="C288" s="117" t="s">
        <v>807</v>
      </c>
      <c r="D288" s="115"/>
      <c r="E288" s="128">
        <v>1</v>
      </c>
      <c r="F288" s="117" t="s">
        <v>815</v>
      </c>
      <c r="G288" s="117" t="s">
        <v>816</v>
      </c>
      <c r="H288" s="128" t="s">
        <v>176</v>
      </c>
      <c r="I288" s="148" t="s">
        <v>226</v>
      </c>
      <c r="J288" s="128" t="s">
        <v>361</v>
      </c>
      <c r="K288" s="117" t="s">
        <v>39</v>
      </c>
      <c r="L288" s="227" t="s">
        <v>821</v>
      </c>
      <c r="M288" s="127">
        <v>1500000</v>
      </c>
      <c r="N288" s="127"/>
      <c r="O288" s="124">
        <v>4500000</v>
      </c>
      <c r="P288" s="124"/>
      <c r="Q288" s="124"/>
      <c r="R288" s="124"/>
      <c r="S288" s="124"/>
      <c r="T288" s="124">
        <f t="shared" si="16"/>
        <v>360000</v>
      </c>
      <c r="U288" s="150">
        <f t="shared" si="18"/>
        <v>6360000</v>
      </c>
      <c r="V288" s="117"/>
      <c r="W288" s="151" t="str">
        <f t="shared" si="19"/>
        <v xml:space="preserve">Cước vận chuyển Cát Lái - CHƠN THÀNH, BÌNH PHƯỚC cont: WFTU2016039 </v>
      </c>
    </row>
    <row r="289" spans="1:23" s="152" customFormat="1" ht="60" hidden="1" customHeight="1" x14ac:dyDescent="0.2">
      <c r="A289" s="122">
        <f t="shared" si="17"/>
        <v>273</v>
      </c>
      <c r="B289" s="147">
        <v>45978</v>
      </c>
      <c r="C289" s="117">
        <v>261856791</v>
      </c>
      <c r="D289" s="115"/>
      <c r="E289" s="128">
        <v>1</v>
      </c>
      <c r="F289" s="117" t="s">
        <v>774</v>
      </c>
      <c r="G289" s="117" t="s">
        <v>484</v>
      </c>
      <c r="H289" s="128" t="s">
        <v>775</v>
      </c>
      <c r="I289" s="122" t="s">
        <v>172</v>
      </c>
      <c r="J289" s="218" t="s">
        <v>494</v>
      </c>
      <c r="K289" s="117" t="s">
        <v>39</v>
      </c>
      <c r="L289" s="227" t="s">
        <v>776</v>
      </c>
      <c r="M289" s="127">
        <v>1500000</v>
      </c>
      <c r="N289" s="127"/>
      <c r="O289" s="124">
        <v>3150000</v>
      </c>
      <c r="P289" s="124"/>
      <c r="Q289" s="124"/>
      <c r="R289" s="124"/>
      <c r="S289" s="124"/>
      <c r="T289" s="124">
        <f t="shared" si="16"/>
        <v>252000</v>
      </c>
      <c r="U289" s="150">
        <f t="shared" si="18"/>
        <v>4902000</v>
      </c>
      <c r="V289" s="117"/>
      <c r="W289" s="151" t="str">
        <f t="shared" si="19"/>
        <v xml:space="preserve">Cước vận chuyển Cát Lái - XÃ CHƠN THÀNH, TỈNH ĐỒNG NAI cont: TCNU6735359 </v>
      </c>
    </row>
    <row r="290" spans="1:23" s="152" customFormat="1" ht="60" hidden="1" customHeight="1" x14ac:dyDescent="0.2">
      <c r="A290" s="122">
        <f t="shared" si="17"/>
        <v>274</v>
      </c>
      <c r="B290" s="147">
        <v>45978</v>
      </c>
      <c r="C290" s="117">
        <v>261856791</v>
      </c>
      <c r="D290" s="115"/>
      <c r="E290" s="128">
        <v>1</v>
      </c>
      <c r="F290" s="128" t="s">
        <v>760</v>
      </c>
      <c r="G290" s="117" t="s">
        <v>761</v>
      </c>
      <c r="H290" s="128" t="s">
        <v>775</v>
      </c>
      <c r="I290" s="122" t="s">
        <v>172</v>
      </c>
      <c r="J290" s="218" t="s">
        <v>494</v>
      </c>
      <c r="K290" s="117" t="s">
        <v>39</v>
      </c>
      <c r="L290" s="227" t="s">
        <v>777</v>
      </c>
      <c r="M290" s="127">
        <v>1500000</v>
      </c>
      <c r="N290" s="127"/>
      <c r="O290" s="124">
        <v>3150000</v>
      </c>
      <c r="P290" s="124"/>
      <c r="Q290" s="124"/>
      <c r="R290" s="124"/>
      <c r="S290" s="124"/>
      <c r="T290" s="124">
        <f t="shared" si="16"/>
        <v>252000</v>
      </c>
      <c r="U290" s="150">
        <f t="shared" si="18"/>
        <v>4902000</v>
      </c>
      <c r="V290" s="117" t="s">
        <v>413</v>
      </c>
      <c r="W290" s="151" t="str">
        <f t="shared" si="19"/>
        <v xml:space="preserve">Cước vận chuyển Cát Lái - XÃ CHƠN THÀNH, TỈNH ĐỒNG NAI cont: MSKU1599120 </v>
      </c>
    </row>
    <row r="291" spans="1:23" s="152" customFormat="1" ht="60" hidden="1" customHeight="1" x14ac:dyDescent="0.2">
      <c r="A291" s="122">
        <f t="shared" si="17"/>
        <v>275</v>
      </c>
      <c r="B291" s="147">
        <v>45978</v>
      </c>
      <c r="C291" s="205">
        <v>261856791</v>
      </c>
      <c r="D291" s="155"/>
      <c r="E291" s="154">
        <v>1</v>
      </c>
      <c r="F291" s="205" t="s">
        <v>758</v>
      </c>
      <c r="G291" s="205" t="s">
        <v>759</v>
      </c>
      <c r="H291" s="154" t="s">
        <v>775</v>
      </c>
      <c r="I291" s="206" t="s">
        <v>172</v>
      </c>
      <c r="J291" s="224" t="s">
        <v>494</v>
      </c>
      <c r="K291" s="205" t="s">
        <v>39</v>
      </c>
      <c r="L291" s="227" t="s">
        <v>778</v>
      </c>
      <c r="M291" s="127">
        <v>1500000</v>
      </c>
      <c r="N291" s="127"/>
      <c r="O291" s="124">
        <v>3150000</v>
      </c>
      <c r="P291" s="124"/>
      <c r="Q291" s="124"/>
      <c r="R291" s="124"/>
      <c r="S291" s="124"/>
      <c r="T291" s="124">
        <f t="shared" si="16"/>
        <v>252000</v>
      </c>
      <c r="U291" s="150">
        <f t="shared" si="18"/>
        <v>4902000</v>
      </c>
      <c r="V291" s="117" t="s">
        <v>413</v>
      </c>
      <c r="W291" s="151" t="str">
        <f t="shared" si="19"/>
        <v xml:space="preserve">Cước vận chuyển Cát Lái - XÃ CHƠN THÀNH, TỈNH ĐỒNG NAI cont: TEMU8114242 </v>
      </c>
    </row>
    <row r="292" spans="1:23" s="152" customFormat="1" ht="60" hidden="1" customHeight="1" x14ac:dyDescent="0.2">
      <c r="A292" s="122">
        <f t="shared" si="17"/>
        <v>276</v>
      </c>
      <c r="B292" s="228">
        <v>45979</v>
      </c>
      <c r="C292" s="128" t="s">
        <v>780</v>
      </c>
      <c r="D292" s="128"/>
      <c r="E292" s="154">
        <v>1</v>
      </c>
      <c r="F292" s="205" t="s">
        <v>779</v>
      </c>
      <c r="G292" s="117" t="s">
        <v>188</v>
      </c>
      <c r="H292" s="212" t="s">
        <v>781</v>
      </c>
      <c r="I292" s="148" t="s">
        <v>782</v>
      </c>
      <c r="J292" s="148" t="s">
        <v>39</v>
      </c>
      <c r="K292" s="117" t="s">
        <v>204</v>
      </c>
      <c r="L292" s="120" t="s">
        <v>783</v>
      </c>
      <c r="M292" s="123">
        <v>1500000</v>
      </c>
      <c r="N292" s="127"/>
      <c r="O292" s="124">
        <v>3200000</v>
      </c>
      <c r="P292" s="124"/>
      <c r="Q292" s="124"/>
      <c r="R292" s="124"/>
      <c r="S292" s="124"/>
      <c r="T292" s="124">
        <f t="shared" si="16"/>
        <v>256000</v>
      </c>
      <c r="U292" s="150">
        <f t="shared" si="18"/>
        <v>4956000</v>
      </c>
      <c r="V292" s="117" t="s">
        <v>413</v>
      </c>
      <c r="W292" s="151" t="str">
        <f t="shared" si="19"/>
        <v xml:space="preserve">Cước vận chuyển Cát Lái - TÂN UYÊN, BÌNH DƯƠNG cont: TCKU6364079 </v>
      </c>
    </row>
    <row r="293" spans="1:23" s="152" customFormat="1" ht="60" hidden="1" customHeight="1" x14ac:dyDescent="0.2">
      <c r="A293" s="122">
        <f t="shared" si="17"/>
        <v>277</v>
      </c>
      <c r="B293" s="228">
        <v>45979</v>
      </c>
      <c r="C293" s="156" t="s">
        <v>822</v>
      </c>
      <c r="D293" s="156"/>
      <c r="E293" s="154">
        <v>1</v>
      </c>
      <c r="F293" s="117" t="s">
        <v>823</v>
      </c>
      <c r="G293" s="117" t="s">
        <v>196</v>
      </c>
      <c r="H293" s="212" t="s">
        <v>781</v>
      </c>
      <c r="I293" s="148" t="s">
        <v>782</v>
      </c>
      <c r="J293" s="148" t="s">
        <v>39</v>
      </c>
      <c r="K293" s="218" t="s">
        <v>300</v>
      </c>
      <c r="L293" s="120" t="s">
        <v>828</v>
      </c>
      <c r="M293" s="123">
        <v>1500000</v>
      </c>
      <c r="N293" s="127"/>
      <c r="O293" s="124">
        <v>3200000</v>
      </c>
      <c r="P293" s="124"/>
      <c r="Q293" s="124"/>
      <c r="R293" s="124"/>
      <c r="S293" s="124"/>
      <c r="T293" s="124">
        <f t="shared" si="16"/>
        <v>256000</v>
      </c>
      <c r="U293" s="150">
        <f t="shared" si="18"/>
        <v>4956000</v>
      </c>
      <c r="V293" s="117"/>
      <c r="W293" s="151" t="str">
        <f t="shared" si="19"/>
        <v xml:space="preserve">Cước vận chuyển Cát Lái - TÂN UYÊN, BÌNH DƯƠNG cont: FSCU8675165 </v>
      </c>
    </row>
    <row r="294" spans="1:23" s="152" customFormat="1" ht="60" hidden="1" customHeight="1" x14ac:dyDescent="0.2">
      <c r="A294" s="122">
        <f t="shared" si="17"/>
        <v>278</v>
      </c>
      <c r="B294" s="228">
        <v>45979</v>
      </c>
      <c r="C294" s="156" t="s">
        <v>822</v>
      </c>
      <c r="D294" s="156"/>
      <c r="E294" s="154">
        <v>1</v>
      </c>
      <c r="F294" s="117" t="s">
        <v>824</v>
      </c>
      <c r="G294" s="117" t="s">
        <v>189</v>
      </c>
      <c r="H294" s="212" t="s">
        <v>781</v>
      </c>
      <c r="I294" s="148" t="s">
        <v>782</v>
      </c>
      <c r="J294" s="148" t="s">
        <v>39</v>
      </c>
      <c r="K294" s="218" t="s">
        <v>300</v>
      </c>
      <c r="L294" s="120" t="s">
        <v>826</v>
      </c>
      <c r="M294" s="123">
        <v>1500000</v>
      </c>
      <c r="N294" s="127"/>
      <c r="O294" s="124">
        <v>3200000</v>
      </c>
      <c r="P294" s="124"/>
      <c r="Q294" s="124"/>
      <c r="R294" s="124"/>
      <c r="S294" s="124"/>
      <c r="T294" s="124">
        <f t="shared" si="16"/>
        <v>256000</v>
      </c>
      <c r="U294" s="150">
        <f t="shared" si="18"/>
        <v>4956000</v>
      </c>
      <c r="V294" s="117"/>
      <c r="W294" s="151" t="str">
        <f t="shared" si="19"/>
        <v xml:space="preserve">Cước vận chuyển Cát Lái - TÂN UYÊN, BÌNH DƯƠNG cont: FFAU3251297 </v>
      </c>
    </row>
    <row r="295" spans="1:23" s="152" customFormat="1" ht="60" hidden="1" customHeight="1" x14ac:dyDescent="0.2">
      <c r="A295" s="122">
        <f t="shared" si="17"/>
        <v>279</v>
      </c>
      <c r="B295" s="228">
        <v>45979</v>
      </c>
      <c r="C295" s="204" t="s">
        <v>822</v>
      </c>
      <c r="D295" s="204"/>
      <c r="E295" s="154">
        <v>1</v>
      </c>
      <c r="F295" s="205" t="s">
        <v>825</v>
      </c>
      <c r="G295" s="117" t="s">
        <v>454</v>
      </c>
      <c r="H295" s="223" t="s">
        <v>781</v>
      </c>
      <c r="I295" s="216" t="s">
        <v>782</v>
      </c>
      <c r="J295" s="216" t="s">
        <v>39</v>
      </c>
      <c r="K295" s="224" t="s">
        <v>300</v>
      </c>
      <c r="L295" s="229" t="s">
        <v>827</v>
      </c>
      <c r="M295" s="123">
        <v>1500000</v>
      </c>
      <c r="N295" s="127"/>
      <c r="O295" s="124">
        <v>3200000</v>
      </c>
      <c r="P295" s="124"/>
      <c r="Q295" s="124"/>
      <c r="R295" s="124"/>
      <c r="S295" s="124"/>
      <c r="T295" s="124">
        <f t="shared" si="16"/>
        <v>256000</v>
      </c>
      <c r="U295" s="150">
        <f t="shared" si="18"/>
        <v>4956000</v>
      </c>
      <c r="V295" s="117"/>
      <c r="W295" s="151" t="str">
        <f t="shared" si="19"/>
        <v xml:space="preserve">Cước vận chuyển Cát Lái - TÂN UYÊN, BÌNH DƯƠNG cont: CSNU6822313 </v>
      </c>
    </row>
    <row r="296" spans="1:23" s="152" customFormat="1" ht="60" hidden="1" customHeight="1" x14ac:dyDescent="0.2">
      <c r="A296" s="122">
        <f t="shared" si="17"/>
        <v>280</v>
      </c>
      <c r="B296" s="228">
        <v>45980</v>
      </c>
      <c r="C296" s="117">
        <v>2314261851</v>
      </c>
      <c r="D296" s="128"/>
      <c r="E296" s="128">
        <v>1</v>
      </c>
      <c r="F296" s="128" t="s">
        <v>829</v>
      </c>
      <c r="G296" s="117" t="s">
        <v>190</v>
      </c>
      <c r="H296" s="212" t="s">
        <v>179</v>
      </c>
      <c r="I296" s="148" t="s">
        <v>180</v>
      </c>
      <c r="J296" s="117" t="s">
        <v>259</v>
      </c>
      <c r="K296" s="148" t="s">
        <v>39</v>
      </c>
      <c r="L296" s="117">
        <v>418581</v>
      </c>
      <c r="M296" s="123">
        <v>1500000</v>
      </c>
      <c r="N296" s="127"/>
      <c r="O296" s="124">
        <v>4700000</v>
      </c>
      <c r="P296" s="124"/>
      <c r="Q296" s="124"/>
      <c r="R296" s="124"/>
      <c r="S296" s="124"/>
      <c r="T296" s="124">
        <f t="shared" si="16"/>
        <v>376000</v>
      </c>
      <c r="U296" s="150">
        <f t="shared" si="18"/>
        <v>6576000</v>
      </c>
      <c r="V296" s="117"/>
      <c r="W296" s="151" t="str">
        <f t="shared" si="19"/>
        <v xml:space="preserve">Cước vận chuyển Cát Lái - HỚN QUẢN, BÌNH PHƯỚC cont: CSNU7273774 </v>
      </c>
    </row>
    <row r="297" spans="1:23" s="152" customFormat="1" ht="60" hidden="1" customHeight="1" x14ac:dyDescent="0.2">
      <c r="A297" s="122">
        <f t="shared" si="17"/>
        <v>281</v>
      </c>
      <c r="B297" s="228">
        <v>45980</v>
      </c>
      <c r="C297" s="117">
        <v>2314261851</v>
      </c>
      <c r="D297" s="128"/>
      <c r="E297" s="128">
        <v>1</v>
      </c>
      <c r="F297" s="117" t="s">
        <v>830</v>
      </c>
      <c r="G297" s="117" t="s">
        <v>188</v>
      </c>
      <c r="H297" s="212" t="s">
        <v>179</v>
      </c>
      <c r="I297" s="148" t="s">
        <v>180</v>
      </c>
      <c r="J297" s="117" t="s">
        <v>259</v>
      </c>
      <c r="K297" s="148" t="s">
        <v>39</v>
      </c>
      <c r="L297" s="117">
        <v>418760</v>
      </c>
      <c r="M297" s="123">
        <v>1500000</v>
      </c>
      <c r="N297" s="127"/>
      <c r="O297" s="124">
        <v>4700000</v>
      </c>
      <c r="P297" s="124"/>
      <c r="Q297" s="124"/>
      <c r="R297" s="124"/>
      <c r="S297" s="124"/>
      <c r="T297" s="124">
        <f t="shared" si="16"/>
        <v>376000</v>
      </c>
      <c r="U297" s="150">
        <f t="shared" si="18"/>
        <v>6576000</v>
      </c>
      <c r="V297" s="117"/>
      <c r="W297" s="151" t="str">
        <f t="shared" si="19"/>
        <v xml:space="preserve">Cước vận chuyển Cát Lái - HỚN QUẢN, BÌNH PHƯỚC cont: SEGU6827551 </v>
      </c>
    </row>
    <row r="298" spans="1:23" s="152" customFormat="1" ht="60" hidden="1" customHeight="1" x14ac:dyDescent="0.2">
      <c r="A298" s="122">
        <f t="shared" si="17"/>
        <v>282</v>
      </c>
      <c r="B298" s="228">
        <v>45980</v>
      </c>
      <c r="C298" s="117">
        <v>2314261851</v>
      </c>
      <c r="D298" s="128"/>
      <c r="E298" s="128">
        <v>1</v>
      </c>
      <c r="F298" s="117" t="s">
        <v>831</v>
      </c>
      <c r="G298" s="117" t="s">
        <v>191</v>
      </c>
      <c r="H298" s="212" t="s">
        <v>179</v>
      </c>
      <c r="I298" s="148" t="s">
        <v>180</v>
      </c>
      <c r="J298" s="117" t="s">
        <v>259</v>
      </c>
      <c r="K298" s="148" t="s">
        <v>39</v>
      </c>
      <c r="L298" s="117">
        <v>418475</v>
      </c>
      <c r="M298" s="123">
        <v>1500000</v>
      </c>
      <c r="N298" s="127"/>
      <c r="O298" s="124">
        <v>4700000</v>
      </c>
      <c r="P298" s="124"/>
      <c r="Q298" s="124"/>
      <c r="R298" s="124"/>
      <c r="S298" s="124"/>
      <c r="T298" s="124">
        <f t="shared" si="16"/>
        <v>376000</v>
      </c>
      <c r="U298" s="150">
        <f t="shared" si="18"/>
        <v>6576000</v>
      </c>
      <c r="V298" s="117"/>
      <c r="W298" s="151" t="str">
        <f t="shared" si="19"/>
        <v xml:space="preserve">Cước vận chuyển Cát Lái - HỚN QUẢN, BÌNH PHƯỚC cont: CCLU7450254 </v>
      </c>
    </row>
    <row r="299" spans="1:23" s="152" customFormat="1" ht="60" hidden="1" customHeight="1" x14ac:dyDescent="0.2">
      <c r="A299" s="122">
        <f t="shared" si="17"/>
        <v>283</v>
      </c>
      <c r="B299" s="228">
        <v>45980</v>
      </c>
      <c r="C299" s="117">
        <v>2314261851</v>
      </c>
      <c r="D299" s="128"/>
      <c r="E299" s="128">
        <v>1</v>
      </c>
      <c r="F299" s="117" t="s">
        <v>832</v>
      </c>
      <c r="G299" s="117" t="s">
        <v>187</v>
      </c>
      <c r="H299" s="212" t="s">
        <v>179</v>
      </c>
      <c r="I299" s="148" t="s">
        <v>180</v>
      </c>
      <c r="J299" s="117" t="s">
        <v>259</v>
      </c>
      <c r="K299" s="148" t="s">
        <v>39</v>
      </c>
      <c r="L299" s="117">
        <v>417570</v>
      </c>
      <c r="M299" s="123">
        <v>1500000</v>
      </c>
      <c r="N299" s="127"/>
      <c r="O299" s="124">
        <v>4700000</v>
      </c>
      <c r="P299" s="124"/>
      <c r="Q299" s="124"/>
      <c r="R299" s="124"/>
      <c r="S299" s="124"/>
      <c r="T299" s="124">
        <f t="shared" si="16"/>
        <v>376000</v>
      </c>
      <c r="U299" s="150">
        <f t="shared" si="18"/>
        <v>6576000</v>
      </c>
      <c r="V299" s="117"/>
      <c r="W299" s="151" t="str">
        <f t="shared" si="19"/>
        <v xml:space="preserve">Cước vận chuyển Cát Lái - HỚN QUẢN, BÌNH PHƯỚC cont: BSIU9573757 </v>
      </c>
    </row>
    <row r="300" spans="1:23" s="152" customFormat="1" ht="60" hidden="1" customHeight="1" x14ac:dyDescent="0.2">
      <c r="A300" s="122">
        <f t="shared" si="17"/>
        <v>284</v>
      </c>
      <c r="B300" s="147">
        <v>45980</v>
      </c>
      <c r="C300" s="117">
        <v>261827811</v>
      </c>
      <c r="D300" s="128"/>
      <c r="E300" s="128">
        <v>1</v>
      </c>
      <c r="F300" s="117" t="s">
        <v>833</v>
      </c>
      <c r="G300" s="117" t="s">
        <v>184</v>
      </c>
      <c r="H300" s="212" t="s">
        <v>877</v>
      </c>
      <c r="I300" s="148" t="s">
        <v>180</v>
      </c>
      <c r="J300" s="117" t="s">
        <v>836</v>
      </c>
      <c r="K300" s="148" t="s">
        <v>39</v>
      </c>
      <c r="L300" s="117">
        <v>183805</v>
      </c>
      <c r="M300" s="123">
        <v>1280000</v>
      </c>
      <c r="N300" s="127"/>
      <c r="O300" s="124">
        <v>4500000</v>
      </c>
      <c r="P300" s="124"/>
      <c r="Q300" s="124"/>
      <c r="R300" s="124"/>
      <c r="S300" s="124"/>
      <c r="T300" s="124">
        <f t="shared" si="16"/>
        <v>360000</v>
      </c>
      <c r="U300" s="150">
        <f t="shared" si="18"/>
        <v>6140000</v>
      </c>
      <c r="V300" s="117" t="s">
        <v>413</v>
      </c>
      <c r="W300" s="151" t="str">
        <f t="shared" si="19"/>
        <v xml:space="preserve">Cước vận chuyển Cát Lái - HỚN QUẢN, BÌNH PHƯỚC cont: MSKU1903022 </v>
      </c>
    </row>
    <row r="301" spans="1:23" s="152" customFormat="1" ht="60" hidden="1" customHeight="1" x14ac:dyDescent="0.2">
      <c r="A301" s="122">
        <f t="shared" si="17"/>
        <v>285</v>
      </c>
      <c r="B301" s="147">
        <v>45980</v>
      </c>
      <c r="C301" s="117">
        <v>261827811</v>
      </c>
      <c r="D301" s="128"/>
      <c r="E301" s="128">
        <v>1</v>
      </c>
      <c r="F301" s="117" t="s">
        <v>834</v>
      </c>
      <c r="G301" s="117" t="s">
        <v>183</v>
      </c>
      <c r="H301" s="212" t="s">
        <v>877</v>
      </c>
      <c r="I301" s="148" t="s">
        <v>180</v>
      </c>
      <c r="J301" s="117" t="s">
        <v>836</v>
      </c>
      <c r="K301" s="148" t="s">
        <v>39</v>
      </c>
      <c r="L301" s="117">
        <v>183385</v>
      </c>
      <c r="M301" s="123">
        <v>1280000</v>
      </c>
      <c r="N301" s="127"/>
      <c r="O301" s="124">
        <v>4500000</v>
      </c>
      <c r="P301" s="124"/>
      <c r="Q301" s="124"/>
      <c r="R301" s="124"/>
      <c r="S301" s="124"/>
      <c r="T301" s="124">
        <f t="shared" si="16"/>
        <v>360000</v>
      </c>
      <c r="U301" s="150">
        <f t="shared" si="18"/>
        <v>6140000</v>
      </c>
      <c r="V301" s="117"/>
      <c r="W301" s="151" t="str">
        <f t="shared" si="19"/>
        <v xml:space="preserve">Cước vận chuyển Cát Lái - HỚN QUẢN, BÌNH PHƯỚC cont: CAAU6605019 </v>
      </c>
    </row>
    <row r="302" spans="1:23" s="152" customFormat="1" ht="60" hidden="1" customHeight="1" x14ac:dyDescent="0.2">
      <c r="A302" s="122">
        <f t="shared" si="17"/>
        <v>286</v>
      </c>
      <c r="B302" s="147">
        <v>45980</v>
      </c>
      <c r="C302" s="117">
        <v>261827811</v>
      </c>
      <c r="D302" s="128"/>
      <c r="E302" s="128">
        <v>1</v>
      </c>
      <c r="F302" s="117" t="s">
        <v>835</v>
      </c>
      <c r="G302" s="117" t="s">
        <v>192</v>
      </c>
      <c r="H302" s="212" t="s">
        <v>877</v>
      </c>
      <c r="I302" s="148" t="s">
        <v>180</v>
      </c>
      <c r="J302" s="117" t="s">
        <v>836</v>
      </c>
      <c r="K302" s="148" t="s">
        <v>39</v>
      </c>
      <c r="L302" s="117">
        <v>183728</v>
      </c>
      <c r="M302" s="123">
        <v>1280000</v>
      </c>
      <c r="N302" s="127"/>
      <c r="O302" s="124">
        <v>4500000</v>
      </c>
      <c r="P302" s="124"/>
      <c r="Q302" s="124"/>
      <c r="R302" s="124"/>
      <c r="S302" s="124"/>
      <c r="T302" s="124">
        <f t="shared" si="16"/>
        <v>360000</v>
      </c>
      <c r="U302" s="150">
        <f t="shared" si="18"/>
        <v>6140000</v>
      </c>
      <c r="V302" s="117" t="s">
        <v>413</v>
      </c>
      <c r="W302" s="151" t="str">
        <f t="shared" si="19"/>
        <v xml:space="preserve">Cước vận chuyển Cát Lái - HỚN QUẢN, BÌNH PHƯỚC cont: CAAU6583080 </v>
      </c>
    </row>
    <row r="303" spans="1:23" s="152" customFormat="1" ht="60" hidden="1" customHeight="1" x14ac:dyDescent="0.2">
      <c r="A303" s="122">
        <f t="shared" si="17"/>
        <v>287</v>
      </c>
      <c r="B303" s="147">
        <v>45980</v>
      </c>
      <c r="C303" s="117" t="s">
        <v>837</v>
      </c>
      <c r="D303" s="128"/>
      <c r="E303" s="128">
        <v>1</v>
      </c>
      <c r="F303" s="117" t="s">
        <v>838</v>
      </c>
      <c r="G303" s="117" t="s">
        <v>459</v>
      </c>
      <c r="H303" s="212" t="s">
        <v>839</v>
      </c>
      <c r="I303" s="117" t="s">
        <v>840</v>
      </c>
      <c r="J303" s="148" t="s">
        <v>39</v>
      </c>
      <c r="K303" s="117" t="s">
        <v>462</v>
      </c>
      <c r="L303" s="120" t="s">
        <v>841</v>
      </c>
      <c r="M303" s="123">
        <v>1500000</v>
      </c>
      <c r="N303" s="127"/>
      <c r="O303" s="124">
        <v>2800000</v>
      </c>
      <c r="P303" s="124"/>
      <c r="Q303" s="124"/>
      <c r="R303" s="124"/>
      <c r="S303" s="124"/>
      <c r="T303" s="124">
        <f t="shared" si="16"/>
        <v>224000</v>
      </c>
      <c r="U303" s="150">
        <f t="shared" si="18"/>
        <v>4524000</v>
      </c>
      <c r="V303" s="117" t="s">
        <v>413</v>
      </c>
      <c r="W303" s="151" t="str">
        <f t="shared" si="19"/>
        <v xml:space="preserve">Cước vận chuyển Cát Lái - Thủ Dầu Một, Bình Dương cont: YMMU6244568 </v>
      </c>
    </row>
    <row r="304" spans="1:23" s="152" customFormat="1" ht="60" hidden="1" customHeight="1" x14ac:dyDescent="0.2">
      <c r="A304" s="122">
        <f t="shared" si="17"/>
        <v>288</v>
      </c>
      <c r="B304" s="147">
        <v>45980</v>
      </c>
      <c r="C304" s="128">
        <v>7264025450</v>
      </c>
      <c r="D304" s="128"/>
      <c r="E304" s="128">
        <v>1</v>
      </c>
      <c r="F304" s="117" t="s">
        <v>842</v>
      </c>
      <c r="G304" s="117" t="s">
        <v>883</v>
      </c>
      <c r="H304" s="212" t="s">
        <v>843</v>
      </c>
      <c r="I304" s="148" t="s">
        <v>844</v>
      </c>
      <c r="J304" s="148" t="s">
        <v>39</v>
      </c>
      <c r="K304" s="117" t="s">
        <v>39</v>
      </c>
      <c r="L304" s="120"/>
      <c r="M304" s="123">
        <v>0</v>
      </c>
      <c r="N304" s="127"/>
      <c r="O304" s="124">
        <v>4500000</v>
      </c>
      <c r="P304" s="124"/>
      <c r="Q304" s="124"/>
      <c r="R304" s="124"/>
      <c r="S304" s="124"/>
      <c r="T304" s="124">
        <f t="shared" si="16"/>
        <v>360000</v>
      </c>
      <c r="U304" s="150">
        <f t="shared" si="18"/>
        <v>4860000</v>
      </c>
      <c r="V304" s="117"/>
      <c r="W304" s="151" t="str">
        <f t="shared" si="19"/>
        <v xml:space="preserve">Cước vận chuyển Cát Lái - BẾN CÁT, BÌNH DƯƠNG cont: CBHU9472118 </v>
      </c>
    </row>
    <row r="305" spans="1:23" s="152" customFormat="1" ht="60" hidden="1" customHeight="1" x14ac:dyDescent="0.2">
      <c r="A305" s="122">
        <f t="shared" si="17"/>
        <v>289</v>
      </c>
      <c r="B305" s="147">
        <v>45980</v>
      </c>
      <c r="C305" s="117" t="s">
        <v>845</v>
      </c>
      <c r="D305" s="128"/>
      <c r="E305" s="128">
        <v>1</v>
      </c>
      <c r="F305" s="117" t="s">
        <v>846</v>
      </c>
      <c r="G305" s="117" t="s">
        <v>460</v>
      </c>
      <c r="H305" s="212" t="s">
        <v>353</v>
      </c>
      <c r="I305" s="148" t="s">
        <v>354</v>
      </c>
      <c r="J305" s="117" t="s">
        <v>174</v>
      </c>
      <c r="K305" s="117" t="s">
        <v>39</v>
      </c>
      <c r="L305" s="120" t="s">
        <v>848</v>
      </c>
      <c r="M305" s="123">
        <v>1500000</v>
      </c>
      <c r="N305" s="127"/>
      <c r="O305" s="124">
        <v>2700000</v>
      </c>
      <c r="P305" s="124"/>
      <c r="Q305" s="124"/>
      <c r="R305" s="124"/>
      <c r="S305" s="124"/>
      <c r="T305" s="124">
        <f t="shared" si="16"/>
        <v>216000</v>
      </c>
      <c r="U305" s="150">
        <f t="shared" si="18"/>
        <v>4416000</v>
      </c>
      <c r="V305" s="117"/>
      <c r="W305" s="151" t="str">
        <f t="shared" si="19"/>
        <v xml:space="preserve">Cước vận chuyển Cát Lái - THỦ DẦU MỘT, BÌNH DƯƠNG cont: FCIU7238325 </v>
      </c>
    </row>
    <row r="306" spans="1:23" s="152" customFormat="1" ht="60" hidden="1" customHeight="1" x14ac:dyDescent="0.2">
      <c r="A306" s="122">
        <f t="shared" si="17"/>
        <v>290</v>
      </c>
      <c r="B306" s="147">
        <v>45980</v>
      </c>
      <c r="C306" s="117" t="s">
        <v>845</v>
      </c>
      <c r="D306" s="128"/>
      <c r="E306" s="128">
        <v>1</v>
      </c>
      <c r="F306" s="117" t="s">
        <v>847</v>
      </c>
      <c r="G306" s="117" t="s">
        <v>454</v>
      </c>
      <c r="H306" s="212" t="s">
        <v>353</v>
      </c>
      <c r="I306" s="148" t="s">
        <v>354</v>
      </c>
      <c r="J306" s="117" t="s">
        <v>174</v>
      </c>
      <c r="K306" s="117" t="s">
        <v>39</v>
      </c>
      <c r="L306" s="120" t="s">
        <v>849</v>
      </c>
      <c r="M306" s="123">
        <v>1500000</v>
      </c>
      <c r="N306" s="127"/>
      <c r="O306" s="124">
        <v>2700000</v>
      </c>
      <c r="P306" s="124"/>
      <c r="Q306" s="124"/>
      <c r="R306" s="124"/>
      <c r="S306" s="124"/>
      <c r="T306" s="124">
        <f t="shared" si="16"/>
        <v>216000</v>
      </c>
      <c r="U306" s="150">
        <f t="shared" si="18"/>
        <v>4416000</v>
      </c>
      <c r="V306" s="117"/>
      <c r="W306" s="151" t="str">
        <f t="shared" si="19"/>
        <v xml:space="preserve">Cước vận chuyển Cát Lái - THỦ DẦU MỘT, BÌNH DƯƠNG cont: SLPU5020000 </v>
      </c>
    </row>
    <row r="307" spans="1:23" s="152" customFormat="1" ht="60" hidden="1" customHeight="1" x14ac:dyDescent="0.2">
      <c r="A307" s="122">
        <f t="shared" si="17"/>
        <v>291</v>
      </c>
      <c r="B307" s="147">
        <v>45980</v>
      </c>
      <c r="C307" s="128" t="s">
        <v>852</v>
      </c>
      <c r="D307" s="128"/>
      <c r="E307" s="128">
        <v>1</v>
      </c>
      <c r="F307" s="117" t="s">
        <v>851</v>
      </c>
      <c r="G307" s="117" t="s">
        <v>189</v>
      </c>
      <c r="H307" s="230" t="s">
        <v>158</v>
      </c>
      <c r="I307" s="148" t="s">
        <v>632</v>
      </c>
      <c r="J307" s="148" t="s">
        <v>604</v>
      </c>
      <c r="K307" s="117" t="s">
        <v>342</v>
      </c>
      <c r="L307" s="120" t="s">
        <v>853</v>
      </c>
      <c r="M307" s="123">
        <v>1500000</v>
      </c>
      <c r="N307" s="127"/>
      <c r="O307" s="124">
        <v>5300000</v>
      </c>
      <c r="P307" s="124"/>
      <c r="Q307" s="124"/>
      <c r="R307" s="124"/>
      <c r="S307" s="124">
        <v>260000</v>
      </c>
      <c r="T307" s="124">
        <f t="shared" si="16"/>
        <v>424000</v>
      </c>
      <c r="U307" s="150">
        <f t="shared" si="18"/>
        <v>7484000</v>
      </c>
      <c r="V307" s="117" t="s">
        <v>413</v>
      </c>
      <c r="W307" s="151" t="str">
        <f t="shared" si="19"/>
        <v xml:space="preserve">Cước vận chuyển Cát Lái - ĐỒNG PHÚ, BÌNH PHƯỚC cont: TRHU4797334 </v>
      </c>
    </row>
    <row r="308" spans="1:23" s="152" customFormat="1" ht="60" hidden="1" customHeight="1" x14ac:dyDescent="0.2">
      <c r="A308" s="122">
        <f t="shared" si="17"/>
        <v>292</v>
      </c>
      <c r="B308" s="147">
        <v>45980</v>
      </c>
      <c r="C308" s="117">
        <v>7264025450</v>
      </c>
      <c r="D308" s="128"/>
      <c r="E308" s="128">
        <v>1</v>
      </c>
      <c r="F308" s="117" t="s">
        <v>842</v>
      </c>
      <c r="G308" s="117" t="s">
        <v>459</v>
      </c>
      <c r="H308" s="230" t="s">
        <v>854</v>
      </c>
      <c r="I308" s="148" t="s">
        <v>844</v>
      </c>
      <c r="J308" s="148"/>
      <c r="K308" s="117" t="s">
        <v>39</v>
      </c>
      <c r="L308" s="120"/>
      <c r="M308" s="123">
        <v>0</v>
      </c>
      <c r="N308" s="127"/>
      <c r="O308" s="124">
        <v>3150000</v>
      </c>
      <c r="P308" s="124"/>
      <c r="Q308" s="124"/>
      <c r="R308" s="124"/>
      <c r="S308" s="124"/>
      <c r="T308" s="124">
        <f t="shared" si="16"/>
        <v>252000</v>
      </c>
      <c r="U308" s="150">
        <f t="shared" si="18"/>
        <v>3402000</v>
      </c>
      <c r="V308" s="117"/>
      <c r="W308" s="151" t="str">
        <f t="shared" si="19"/>
        <v xml:space="preserve">Cước vận chuyển Cát Lái - BẾN CÁT, BÌNH DƯƠNG cont: CBHU9472118 </v>
      </c>
    </row>
    <row r="309" spans="1:23" s="152" customFormat="1" ht="60" hidden="1" customHeight="1" x14ac:dyDescent="0.2">
      <c r="A309" s="122">
        <f t="shared" si="17"/>
        <v>293</v>
      </c>
      <c r="B309" s="147">
        <v>45980</v>
      </c>
      <c r="C309" s="117">
        <v>2315318270</v>
      </c>
      <c r="D309" s="128"/>
      <c r="E309" s="128">
        <v>1</v>
      </c>
      <c r="F309" s="117" t="s">
        <v>855</v>
      </c>
      <c r="G309" s="117" t="s">
        <v>460</v>
      </c>
      <c r="H309" s="212" t="s">
        <v>158</v>
      </c>
      <c r="I309" s="148" t="s">
        <v>632</v>
      </c>
      <c r="J309" s="117" t="s">
        <v>259</v>
      </c>
      <c r="K309" s="117" t="s">
        <v>39</v>
      </c>
      <c r="L309" s="120" t="s">
        <v>858</v>
      </c>
      <c r="M309" s="123">
        <v>1500000</v>
      </c>
      <c r="N309" s="127"/>
      <c r="O309" s="124">
        <v>5300000</v>
      </c>
      <c r="P309" s="124"/>
      <c r="Q309" s="124"/>
      <c r="R309" s="124"/>
      <c r="S309" s="124"/>
      <c r="T309" s="124">
        <f t="shared" si="16"/>
        <v>424000</v>
      </c>
      <c r="U309" s="150">
        <f t="shared" si="18"/>
        <v>7224000</v>
      </c>
      <c r="V309" s="117"/>
      <c r="W309" s="151" t="str">
        <f t="shared" si="19"/>
        <v xml:space="preserve">Cước vận chuyển Cát Lái - ĐỒNG PHÚ, BÌNH PHƯỚC cont: TRHU5822880 </v>
      </c>
    </row>
    <row r="310" spans="1:23" s="152" customFormat="1" ht="60" hidden="1" customHeight="1" x14ac:dyDescent="0.2">
      <c r="A310" s="122">
        <f t="shared" si="17"/>
        <v>294</v>
      </c>
      <c r="B310" s="147">
        <v>45980</v>
      </c>
      <c r="C310" s="117">
        <v>2315318270</v>
      </c>
      <c r="D310" s="128"/>
      <c r="E310" s="128">
        <v>1</v>
      </c>
      <c r="F310" s="117" t="s">
        <v>856</v>
      </c>
      <c r="G310" s="117" t="s">
        <v>458</v>
      </c>
      <c r="H310" s="212" t="s">
        <v>158</v>
      </c>
      <c r="I310" s="148" t="s">
        <v>632</v>
      </c>
      <c r="J310" s="117" t="s">
        <v>259</v>
      </c>
      <c r="K310" s="117" t="s">
        <v>39</v>
      </c>
      <c r="L310" s="120" t="s">
        <v>857</v>
      </c>
      <c r="M310" s="123">
        <v>1500000</v>
      </c>
      <c r="N310" s="127"/>
      <c r="O310" s="124">
        <v>5300000</v>
      </c>
      <c r="P310" s="124"/>
      <c r="Q310" s="124"/>
      <c r="R310" s="124"/>
      <c r="S310" s="124"/>
      <c r="T310" s="124">
        <f t="shared" si="16"/>
        <v>424000</v>
      </c>
      <c r="U310" s="150">
        <f t="shared" si="18"/>
        <v>7224000</v>
      </c>
      <c r="V310" s="117"/>
      <c r="W310" s="151" t="str">
        <f t="shared" si="19"/>
        <v xml:space="preserve">Cước vận chuyển Cát Lái - ĐỒNG PHÚ, BÌNH PHƯỚC cont: TGBU4906405 </v>
      </c>
    </row>
    <row r="311" spans="1:23" s="152" customFormat="1" ht="60" hidden="1" customHeight="1" x14ac:dyDescent="0.2">
      <c r="A311" s="122">
        <f t="shared" si="17"/>
        <v>295</v>
      </c>
      <c r="B311" s="147">
        <v>45980</v>
      </c>
      <c r="C311" s="117" t="s">
        <v>850</v>
      </c>
      <c r="D311" s="128"/>
      <c r="E311" s="128">
        <v>1</v>
      </c>
      <c r="F311" s="117" t="s">
        <v>859</v>
      </c>
      <c r="G311" s="117" t="s">
        <v>197</v>
      </c>
      <c r="H311" s="212" t="s">
        <v>839</v>
      </c>
      <c r="I311" s="117" t="s">
        <v>840</v>
      </c>
      <c r="J311" s="117" t="s">
        <v>39</v>
      </c>
      <c r="K311" s="117" t="s">
        <v>462</v>
      </c>
      <c r="L311" s="120" t="s">
        <v>860</v>
      </c>
      <c r="M311" s="123">
        <v>1500000</v>
      </c>
      <c r="N311" s="127"/>
      <c r="O311" s="124">
        <v>2800000</v>
      </c>
      <c r="P311" s="124"/>
      <c r="Q311" s="124"/>
      <c r="R311" s="124"/>
      <c r="S311" s="124"/>
      <c r="T311" s="124">
        <f t="shared" si="16"/>
        <v>224000</v>
      </c>
      <c r="U311" s="150">
        <f t="shared" si="18"/>
        <v>4524000</v>
      </c>
      <c r="V311" s="117"/>
      <c r="W311" s="151" t="str">
        <f t="shared" si="19"/>
        <v xml:space="preserve">Cước vận chuyển Cát Lái - Thủ Dầu Một, Bình Dương cont: TCNU3918490 </v>
      </c>
    </row>
    <row r="312" spans="1:23" s="152" customFormat="1" ht="60" hidden="1" customHeight="1" x14ac:dyDescent="0.2">
      <c r="A312" s="122">
        <f t="shared" si="17"/>
        <v>296</v>
      </c>
      <c r="B312" s="147">
        <v>45981</v>
      </c>
      <c r="C312" s="117" t="s">
        <v>861</v>
      </c>
      <c r="D312" s="128"/>
      <c r="E312" s="128">
        <v>1</v>
      </c>
      <c r="F312" s="117" t="s">
        <v>862</v>
      </c>
      <c r="G312" s="117" t="s">
        <v>451</v>
      </c>
      <c r="H312" s="212" t="s">
        <v>867</v>
      </c>
      <c r="I312" s="148" t="s">
        <v>709</v>
      </c>
      <c r="J312" s="117" t="s">
        <v>868</v>
      </c>
      <c r="K312" s="117" t="s">
        <v>39</v>
      </c>
      <c r="L312" s="117">
        <v>145129</v>
      </c>
      <c r="M312" s="123">
        <v>1512000</v>
      </c>
      <c r="N312" s="127"/>
      <c r="O312" s="124">
        <v>4000000</v>
      </c>
      <c r="P312" s="124"/>
      <c r="Q312" s="124"/>
      <c r="R312" s="124"/>
      <c r="S312" s="124"/>
      <c r="T312" s="124">
        <f t="shared" si="16"/>
        <v>320000</v>
      </c>
      <c r="U312" s="150">
        <f t="shared" si="18"/>
        <v>5832000</v>
      </c>
      <c r="V312" s="117" t="s">
        <v>413</v>
      </c>
      <c r="W312" s="151" t="str">
        <f t="shared" si="19"/>
        <v xml:space="preserve">Cước vận chuyển Cát Lái - PHÚ GIAO, BÌNH DƯƠNG cont: CAAU9409370 </v>
      </c>
    </row>
    <row r="313" spans="1:23" s="152" customFormat="1" ht="60" hidden="1" customHeight="1" x14ac:dyDescent="0.2">
      <c r="A313" s="122">
        <f t="shared" si="17"/>
        <v>297</v>
      </c>
      <c r="B313" s="147">
        <v>45981</v>
      </c>
      <c r="C313" s="117" t="s">
        <v>861</v>
      </c>
      <c r="D313" s="128"/>
      <c r="E313" s="128">
        <v>1</v>
      </c>
      <c r="F313" s="117" t="s">
        <v>863</v>
      </c>
      <c r="G313" s="117" t="s">
        <v>183</v>
      </c>
      <c r="H313" s="212" t="s">
        <v>867</v>
      </c>
      <c r="I313" s="148" t="s">
        <v>709</v>
      </c>
      <c r="J313" s="117" t="s">
        <v>868</v>
      </c>
      <c r="K313" s="117" t="s">
        <v>39</v>
      </c>
      <c r="L313" s="117">
        <v>145265</v>
      </c>
      <c r="M313" s="123">
        <v>1512000</v>
      </c>
      <c r="N313" s="127"/>
      <c r="O313" s="124">
        <v>4000000</v>
      </c>
      <c r="P313" s="124"/>
      <c r="Q313" s="124"/>
      <c r="R313" s="124"/>
      <c r="S313" s="124"/>
      <c r="T313" s="124">
        <f t="shared" si="16"/>
        <v>320000</v>
      </c>
      <c r="U313" s="150">
        <f t="shared" si="18"/>
        <v>5832000</v>
      </c>
      <c r="V313" s="117" t="s">
        <v>413</v>
      </c>
      <c r="W313" s="151" t="str">
        <f t="shared" si="19"/>
        <v xml:space="preserve">Cước vận chuyển Cát Lái - PHÚ GIAO, BÌNH DƯƠNG cont: SELU4189845 </v>
      </c>
    </row>
    <row r="314" spans="1:23" s="152" customFormat="1" ht="60" hidden="1" customHeight="1" x14ac:dyDescent="0.2">
      <c r="A314" s="122">
        <f t="shared" si="17"/>
        <v>298</v>
      </c>
      <c r="B314" s="147">
        <v>45981</v>
      </c>
      <c r="C314" s="117" t="s">
        <v>861</v>
      </c>
      <c r="D314" s="128"/>
      <c r="E314" s="128">
        <v>1</v>
      </c>
      <c r="F314" s="117" t="s">
        <v>864</v>
      </c>
      <c r="G314" s="117" t="s">
        <v>185</v>
      </c>
      <c r="H314" s="212" t="s">
        <v>867</v>
      </c>
      <c r="I314" s="148" t="s">
        <v>709</v>
      </c>
      <c r="J314" s="117" t="s">
        <v>868</v>
      </c>
      <c r="K314" s="117" t="s">
        <v>39</v>
      </c>
      <c r="L314" s="117">
        <v>144913</v>
      </c>
      <c r="M314" s="123">
        <v>1512000</v>
      </c>
      <c r="N314" s="127"/>
      <c r="O314" s="124">
        <v>4000000</v>
      </c>
      <c r="P314" s="124"/>
      <c r="Q314" s="124"/>
      <c r="R314" s="124"/>
      <c r="S314" s="124"/>
      <c r="T314" s="124">
        <f t="shared" si="16"/>
        <v>320000</v>
      </c>
      <c r="U314" s="150">
        <f t="shared" si="18"/>
        <v>5832000</v>
      </c>
      <c r="V314" s="117"/>
      <c r="W314" s="151" t="str">
        <f t="shared" si="19"/>
        <v xml:space="preserve">Cước vận chuyển Cát Lái - PHÚ GIAO, BÌNH DƯƠNG cont: CAAU8387786 </v>
      </c>
    </row>
    <row r="315" spans="1:23" s="152" customFormat="1" ht="60" hidden="1" customHeight="1" x14ac:dyDescent="0.2">
      <c r="A315" s="122">
        <f t="shared" si="17"/>
        <v>299</v>
      </c>
      <c r="B315" s="147">
        <v>45981</v>
      </c>
      <c r="C315" s="117" t="s">
        <v>861</v>
      </c>
      <c r="D315" s="128"/>
      <c r="E315" s="128">
        <v>1</v>
      </c>
      <c r="F315" s="128" t="s">
        <v>865</v>
      </c>
      <c r="G315" s="117" t="s">
        <v>184</v>
      </c>
      <c r="H315" s="212" t="s">
        <v>867</v>
      </c>
      <c r="I315" s="148" t="s">
        <v>709</v>
      </c>
      <c r="J315" s="117" t="s">
        <v>868</v>
      </c>
      <c r="K315" s="117" t="s">
        <v>39</v>
      </c>
      <c r="L315" s="117">
        <v>144895</v>
      </c>
      <c r="M315" s="123">
        <v>1512000</v>
      </c>
      <c r="N315" s="127"/>
      <c r="O315" s="124">
        <v>4000000</v>
      </c>
      <c r="P315" s="124"/>
      <c r="Q315" s="124"/>
      <c r="R315" s="124"/>
      <c r="S315" s="124"/>
      <c r="T315" s="124">
        <f t="shared" si="16"/>
        <v>320000</v>
      </c>
      <c r="U315" s="150">
        <f t="shared" si="18"/>
        <v>5832000</v>
      </c>
      <c r="V315" s="117"/>
      <c r="W315" s="151" t="str">
        <f t="shared" si="19"/>
        <v xml:space="preserve">Cước vận chuyển Cát Lái - PHÚ GIAO, BÌNH DƯƠNG cont: CAAU8741082 </v>
      </c>
    </row>
    <row r="316" spans="1:23" s="152" customFormat="1" ht="60" hidden="1" customHeight="1" x14ac:dyDescent="0.2">
      <c r="A316" s="122">
        <f t="shared" si="17"/>
        <v>300</v>
      </c>
      <c r="B316" s="147">
        <v>45981</v>
      </c>
      <c r="C316" s="117" t="s">
        <v>861</v>
      </c>
      <c r="D316" s="128"/>
      <c r="E316" s="128">
        <v>1</v>
      </c>
      <c r="F316" s="117" t="s">
        <v>866</v>
      </c>
      <c r="G316" s="117" t="s">
        <v>192</v>
      </c>
      <c r="H316" s="212" t="s">
        <v>867</v>
      </c>
      <c r="I316" s="148" t="s">
        <v>709</v>
      </c>
      <c r="J316" s="117" t="s">
        <v>868</v>
      </c>
      <c r="K316" s="117" t="s">
        <v>39</v>
      </c>
      <c r="L316" s="117">
        <v>144897</v>
      </c>
      <c r="M316" s="123">
        <v>1512000</v>
      </c>
      <c r="N316" s="127"/>
      <c r="O316" s="124">
        <v>4000000</v>
      </c>
      <c r="P316" s="124"/>
      <c r="Q316" s="124"/>
      <c r="R316" s="124"/>
      <c r="S316" s="124"/>
      <c r="T316" s="124">
        <f t="shared" si="16"/>
        <v>320000</v>
      </c>
      <c r="U316" s="150">
        <f t="shared" si="18"/>
        <v>5832000</v>
      </c>
      <c r="V316" s="117"/>
      <c r="W316" s="151" t="str">
        <f t="shared" si="19"/>
        <v xml:space="preserve">Cước vận chuyển Cát Lái - PHÚ GIAO, BÌNH DƯƠNG cont: CAAU9409196 </v>
      </c>
    </row>
    <row r="317" spans="1:23" s="152" customFormat="1" ht="60" hidden="1" customHeight="1" x14ac:dyDescent="0.2">
      <c r="A317" s="122">
        <f t="shared" si="17"/>
        <v>301</v>
      </c>
      <c r="B317" s="147">
        <v>45981</v>
      </c>
      <c r="C317" s="117">
        <v>7264348370</v>
      </c>
      <c r="D317" s="128"/>
      <c r="E317" s="128">
        <v>1</v>
      </c>
      <c r="F317" s="117" t="s">
        <v>869</v>
      </c>
      <c r="G317" s="117" t="s">
        <v>188</v>
      </c>
      <c r="H317" s="212" t="s">
        <v>176</v>
      </c>
      <c r="I317" s="148" t="s">
        <v>226</v>
      </c>
      <c r="J317" s="148" t="s">
        <v>494</v>
      </c>
      <c r="K317" s="117" t="s">
        <v>39</v>
      </c>
      <c r="L317" s="120" t="s">
        <v>870</v>
      </c>
      <c r="M317" s="123">
        <v>1500000</v>
      </c>
      <c r="N317" s="127"/>
      <c r="O317" s="124">
        <v>4500000</v>
      </c>
      <c r="P317" s="124"/>
      <c r="Q317" s="124"/>
      <c r="R317" s="124"/>
      <c r="S317" s="124"/>
      <c r="T317" s="124">
        <f t="shared" si="16"/>
        <v>360000</v>
      </c>
      <c r="U317" s="150">
        <f t="shared" si="18"/>
        <v>6360000</v>
      </c>
      <c r="V317" s="117"/>
      <c r="W317" s="151" t="str">
        <f t="shared" si="19"/>
        <v xml:space="preserve">Cước vận chuyển Cát Lái - CHƠN THÀNH, BÌNH PHƯỚC cont: FSCU8660247 </v>
      </c>
    </row>
    <row r="318" spans="1:23" s="152" customFormat="1" ht="60" hidden="1" customHeight="1" x14ac:dyDescent="0.2">
      <c r="A318" s="122">
        <f t="shared" si="17"/>
        <v>302</v>
      </c>
      <c r="B318" s="147">
        <v>45981</v>
      </c>
      <c r="C318" s="117" t="s">
        <v>871</v>
      </c>
      <c r="D318" s="128"/>
      <c r="E318" s="128">
        <v>1</v>
      </c>
      <c r="F318" s="117" t="s">
        <v>872</v>
      </c>
      <c r="G318" s="117" t="s">
        <v>459</v>
      </c>
      <c r="H318" s="212" t="s">
        <v>176</v>
      </c>
      <c r="I318" s="148" t="s">
        <v>226</v>
      </c>
      <c r="J318" s="117" t="s">
        <v>39</v>
      </c>
      <c r="K318" s="128" t="s">
        <v>173</v>
      </c>
      <c r="L318" s="120" t="s">
        <v>873</v>
      </c>
      <c r="M318" s="123">
        <v>1566000</v>
      </c>
      <c r="N318" s="127"/>
      <c r="O318" s="124">
        <v>4500000</v>
      </c>
      <c r="P318" s="124"/>
      <c r="Q318" s="124"/>
      <c r="R318" s="124"/>
      <c r="S318" s="124"/>
      <c r="T318" s="124">
        <f t="shared" si="16"/>
        <v>360000</v>
      </c>
      <c r="U318" s="150">
        <f t="shared" si="18"/>
        <v>6426000</v>
      </c>
      <c r="V318" s="117"/>
      <c r="W318" s="151" t="str">
        <f t="shared" si="19"/>
        <v xml:space="preserve">Cước vận chuyển Cát Lái - CHƠN THÀNH, BÌNH PHƯỚC cont: ZCSU6694594 </v>
      </c>
    </row>
    <row r="319" spans="1:23" s="152" customFormat="1" ht="60" hidden="1" customHeight="1" x14ac:dyDescent="0.2">
      <c r="A319" s="122">
        <f t="shared" si="17"/>
        <v>303</v>
      </c>
      <c r="B319" s="147">
        <v>45981</v>
      </c>
      <c r="C319" s="117">
        <v>262055451</v>
      </c>
      <c r="D319" s="128"/>
      <c r="E319" s="128">
        <v>1</v>
      </c>
      <c r="F319" s="117" t="s">
        <v>875</v>
      </c>
      <c r="G319" s="117" t="s">
        <v>187</v>
      </c>
      <c r="H319" s="212" t="s">
        <v>877</v>
      </c>
      <c r="I319" s="148" t="s">
        <v>180</v>
      </c>
      <c r="J319" s="220" t="s">
        <v>444</v>
      </c>
      <c r="K319" s="218" t="s">
        <v>39</v>
      </c>
      <c r="L319" s="227" t="s">
        <v>879</v>
      </c>
      <c r="M319" s="127">
        <v>1450000</v>
      </c>
      <c r="N319" s="127"/>
      <c r="O319" s="124">
        <v>4500000</v>
      </c>
      <c r="P319" s="124"/>
      <c r="Q319" s="124"/>
      <c r="R319" s="124"/>
      <c r="S319" s="124">
        <v>260000</v>
      </c>
      <c r="T319" s="124">
        <f t="shared" si="16"/>
        <v>360000</v>
      </c>
      <c r="U319" s="150">
        <f t="shared" si="18"/>
        <v>6570000</v>
      </c>
      <c r="V319" s="117"/>
      <c r="W319" s="151" t="str">
        <f t="shared" si="19"/>
        <v xml:space="preserve">Cước vận chuyển Cát Lái - HỚN QUẢN, BÌNH PHƯỚC cont: MSKU0798914 </v>
      </c>
    </row>
    <row r="320" spans="1:23" s="152" customFormat="1" ht="60" hidden="1" customHeight="1" x14ac:dyDescent="0.2">
      <c r="A320" s="122">
        <f t="shared" si="17"/>
        <v>304</v>
      </c>
      <c r="B320" s="153">
        <v>45981</v>
      </c>
      <c r="C320" s="205">
        <v>262055451</v>
      </c>
      <c r="D320" s="154"/>
      <c r="E320" s="154">
        <v>1</v>
      </c>
      <c r="F320" s="205" t="s">
        <v>878</v>
      </c>
      <c r="G320" s="205" t="s">
        <v>884</v>
      </c>
      <c r="H320" s="223" t="s">
        <v>877</v>
      </c>
      <c r="I320" s="216" t="s">
        <v>180</v>
      </c>
      <c r="J320" s="225" t="s">
        <v>444</v>
      </c>
      <c r="K320" s="224" t="s">
        <v>39</v>
      </c>
      <c r="L320" s="229" t="s">
        <v>880</v>
      </c>
      <c r="M320" s="146">
        <v>1500000</v>
      </c>
      <c r="N320" s="127"/>
      <c r="O320" s="124">
        <v>4500000</v>
      </c>
      <c r="P320" s="124"/>
      <c r="Q320" s="124"/>
      <c r="R320" s="124"/>
      <c r="S320" s="124">
        <v>260000</v>
      </c>
      <c r="T320" s="124">
        <f t="shared" si="16"/>
        <v>360000</v>
      </c>
      <c r="U320" s="150">
        <f t="shared" si="18"/>
        <v>6620000</v>
      </c>
      <c r="V320" s="117" t="s">
        <v>413</v>
      </c>
      <c r="W320" s="151" t="str">
        <f t="shared" si="19"/>
        <v xml:space="preserve">Cước vận chuyển Cát Lái - HỚN QUẢN, BÌNH PHƯỚC cont: TCKU7317657 </v>
      </c>
    </row>
    <row r="321" spans="1:23" s="152" customFormat="1" ht="60" hidden="1" customHeight="1" x14ac:dyDescent="0.2">
      <c r="A321" s="122">
        <f t="shared" si="17"/>
        <v>305</v>
      </c>
      <c r="B321" s="147">
        <v>45982</v>
      </c>
      <c r="C321" s="117" t="s">
        <v>885</v>
      </c>
      <c r="D321" s="128"/>
      <c r="E321" s="128">
        <v>1</v>
      </c>
      <c r="F321" s="117" t="s">
        <v>886</v>
      </c>
      <c r="G321" s="128" t="s">
        <v>629</v>
      </c>
      <c r="H321" s="128" t="s">
        <v>176</v>
      </c>
      <c r="I321" s="148" t="s">
        <v>226</v>
      </c>
      <c r="J321" s="148" t="s">
        <v>39</v>
      </c>
      <c r="K321" s="117" t="s">
        <v>174</v>
      </c>
      <c r="L321" s="120" t="s">
        <v>980</v>
      </c>
      <c r="M321" s="123">
        <v>1500000</v>
      </c>
      <c r="N321" s="127"/>
      <c r="O321" s="124">
        <v>4500000</v>
      </c>
      <c r="P321" s="124"/>
      <c r="Q321" s="124"/>
      <c r="R321" s="124"/>
      <c r="S321" s="124"/>
      <c r="T321" s="124">
        <f t="shared" si="16"/>
        <v>360000</v>
      </c>
      <c r="U321" s="150">
        <f t="shared" si="18"/>
        <v>6360000</v>
      </c>
      <c r="V321" s="117"/>
      <c r="W321" s="151" t="str">
        <f t="shared" si="19"/>
        <v xml:space="preserve">Cước vận chuyển Cát Lái - CHƠN THÀNH, BÌNH PHƯỚC cont: FCIU7193318 </v>
      </c>
    </row>
    <row r="322" spans="1:23" s="152" customFormat="1" ht="60" hidden="1" customHeight="1" x14ac:dyDescent="0.2">
      <c r="A322" s="122">
        <f t="shared" si="17"/>
        <v>306</v>
      </c>
      <c r="B322" s="147">
        <v>45982</v>
      </c>
      <c r="C322" s="117" t="s">
        <v>885</v>
      </c>
      <c r="D322" s="128"/>
      <c r="E322" s="128">
        <v>1</v>
      </c>
      <c r="F322" s="117" t="s">
        <v>887</v>
      </c>
      <c r="G322" s="117" t="s">
        <v>888</v>
      </c>
      <c r="H322" s="128" t="s">
        <v>176</v>
      </c>
      <c r="I322" s="148" t="s">
        <v>226</v>
      </c>
      <c r="J322" s="148" t="s">
        <v>39</v>
      </c>
      <c r="K322" s="117" t="s">
        <v>174</v>
      </c>
      <c r="L322" s="120" t="s">
        <v>889</v>
      </c>
      <c r="M322" s="123">
        <v>1500000</v>
      </c>
      <c r="N322" s="127"/>
      <c r="O322" s="124">
        <v>4500000</v>
      </c>
      <c r="P322" s="124"/>
      <c r="Q322" s="124"/>
      <c r="R322" s="124"/>
      <c r="S322" s="124"/>
      <c r="T322" s="124">
        <f t="shared" si="16"/>
        <v>360000</v>
      </c>
      <c r="U322" s="150">
        <f t="shared" si="18"/>
        <v>6360000</v>
      </c>
      <c r="V322" s="117" t="s">
        <v>413</v>
      </c>
      <c r="W322" s="151" t="str">
        <f t="shared" si="19"/>
        <v xml:space="preserve">Cước vận chuyển Cát Lái - CHƠN THÀNH, BÌNH PHƯỚC cont: OOLU9787189 </v>
      </c>
    </row>
    <row r="323" spans="1:23" s="152" customFormat="1" ht="60" hidden="1" customHeight="1" x14ac:dyDescent="0.2">
      <c r="A323" s="122">
        <f t="shared" si="17"/>
        <v>307</v>
      </c>
      <c r="B323" s="147">
        <v>45982</v>
      </c>
      <c r="C323" s="128" t="s">
        <v>871</v>
      </c>
      <c r="D323" s="128"/>
      <c r="E323" s="128">
        <v>1</v>
      </c>
      <c r="F323" s="117" t="s">
        <v>1010</v>
      </c>
      <c r="G323" s="117" t="s">
        <v>743</v>
      </c>
      <c r="H323" s="212" t="s">
        <v>176</v>
      </c>
      <c r="I323" s="148" t="s">
        <v>226</v>
      </c>
      <c r="J323" s="117" t="s">
        <v>39</v>
      </c>
      <c r="K323" s="128" t="s">
        <v>173</v>
      </c>
      <c r="L323" s="120" t="s">
        <v>1011</v>
      </c>
      <c r="M323" s="123">
        <v>1566000</v>
      </c>
      <c r="N323" s="127"/>
      <c r="O323" s="124">
        <v>4500000</v>
      </c>
      <c r="P323" s="124"/>
      <c r="Q323" s="124"/>
      <c r="R323" s="124"/>
      <c r="S323" s="124"/>
      <c r="T323" s="124">
        <f t="shared" si="16"/>
        <v>360000</v>
      </c>
      <c r="U323" s="150">
        <f t="shared" si="18"/>
        <v>6426000</v>
      </c>
      <c r="V323" s="117"/>
      <c r="W323" s="151" t="str">
        <f t="shared" si="19"/>
        <v xml:space="preserve">Cước vận chuyển Cát Lái - CHƠN THÀNH, BÌNH PHƯỚC cont: JXLU4682362 </v>
      </c>
    </row>
    <row r="324" spans="1:23" s="152" customFormat="1" ht="60" hidden="1" customHeight="1" x14ac:dyDescent="0.2">
      <c r="A324" s="122">
        <f t="shared" si="17"/>
        <v>308</v>
      </c>
      <c r="B324" s="147">
        <v>45982</v>
      </c>
      <c r="C324" s="128" t="s">
        <v>871</v>
      </c>
      <c r="D324" s="128"/>
      <c r="E324" s="128">
        <v>1</v>
      </c>
      <c r="F324" s="117" t="s">
        <v>890</v>
      </c>
      <c r="G324" s="117" t="s">
        <v>205</v>
      </c>
      <c r="H324" s="128" t="s">
        <v>176</v>
      </c>
      <c r="I324" s="148" t="s">
        <v>226</v>
      </c>
      <c r="J324" s="148" t="s">
        <v>39</v>
      </c>
      <c r="K324" s="128" t="s">
        <v>173</v>
      </c>
      <c r="L324" s="120" t="s">
        <v>893</v>
      </c>
      <c r="M324" s="123">
        <v>1566000</v>
      </c>
      <c r="N324" s="127"/>
      <c r="O324" s="124">
        <v>4500000</v>
      </c>
      <c r="P324" s="124"/>
      <c r="Q324" s="124"/>
      <c r="R324" s="124"/>
      <c r="S324" s="124"/>
      <c r="T324" s="124">
        <f t="shared" si="16"/>
        <v>360000</v>
      </c>
      <c r="U324" s="150">
        <f t="shared" si="18"/>
        <v>6426000</v>
      </c>
      <c r="V324" s="117"/>
      <c r="W324" s="151" t="str">
        <f t="shared" si="19"/>
        <v xml:space="preserve">Cước vận chuyển Cát Lái - CHƠN THÀNH, BÌNH PHƯỚC cont: JXLU6166370 </v>
      </c>
    </row>
    <row r="325" spans="1:23" s="152" customFormat="1" ht="60" hidden="1" customHeight="1" x14ac:dyDescent="0.2">
      <c r="A325" s="122">
        <f t="shared" si="17"/>
        <v>309</v>
      </c>
      <c r="B325" s="147">
        <v>45982</v>
      </c>
      <c r="C325" s="128" t="s">
        <v>871</v>
      </c>
      <c r="D325" s="128"/>
      <c r="E325" s="128">
        <v>1</v>
      </c>
      <c r="F325" s="117" t="s">
        <v>891</v>
      </c>
      <c r="G325" s="117" t="s">
        <v>484</v>
      </c>
      <c r="H325" s="128" t="s">
        <v>176</v>
      </c>
      <c r="I325" s="148" t="s">
        <v>226</v>
      </c>
      <c r="J325" s="148" t="s">
        <v>39</v>
      </c>
      <c r="K325" s="128" t="s">
        <v>173</v>
      </c>
      <c r="L325" s="120" t="s">
        <v>894</v>
      </c>
      <c r="M325" s="123">
        <v>1566000</v>
      </c>
      <c r="N325" s="127"/>
      <c r="O325" s="124">
        <v>4500000</v>
      </c>
      <c r="P325" s="124"/>
      <c r="Q325" s="124"/>
      <c r="R325" s="124"/>
      <c r="S325" s="124"/>
      <c r="T325" s="124">
        <f t="shared" si="16"/>
        <v>360000</v>
      </c>
      <c r="U325" s="150">
        <f t="shared" si="18"/>
        <v>6426000</v>
      </c>
      <c r="V325" s="117"/>
      <c r="W325" s="151" t="str">
        <f t="shared" si="19"/>
        <v xml:space="preserve">Cước vận chuyển Cát Lái - CHƠN THÀNH, BÌNH PHƯỚC cont: FSCU8225996 </v>
      </c>
    </row>
    <row r="326" spans="1:23" s="152" customFormat="1" ht="60" hidden="1" customHeight="1" x14ac:dyDescent="0.2">
      <c r="A326" s="122">
        <f t="shared" si="17"/>
        <v>310</v>
      </c>
      <c r="B326" s="147">
        <v>45982</v>
      </c>
      <c r="C326" s="128" t="s">
        <v>871</v>
      </c>
      <c r="D326" s="128"/>
      <c r="E326" s="128">
        <v>1</v>
      </c>
      <c r="F326" s="117" t="s">
        <v>892</v>
      </c>
      <c r="G326" s="117" t="s">
        <v>215</v>
      </c>
      <c r="H326" s="128" t="s">
        <v>176</v>
      </c>
      <c r="I326" s="148" t="s">
        <v>226</v>
      </c>
      <c r="J326" s="148" t="s">
        <v>39</v>
      </c>
      <c r="K326" s="128" t="s">
        <v>173</v>
      </c>
      <c r="L326" s="120" t="s">
        <v>895</v>
      </c>
      <c r="M326" s="123">
        <v>1566000</v>
      </c>
      <c r="N326" s="127"/>
      <c r="O326" s="124">
        <v>4500000</v>
      </c>
      <c r="P326" s="124"/>
      <c r="Q326" s="124"/>
      <c r="R326" s="124"/>
      <c r="S326" s="124"/>
      <c r="T326" s="124">
        <f t="shared" si="16"/>
        <v>360000</v>
      </c>
      <c r="U326" s="150">
        <f t="shared" si="18"/>
        <v>6426000</v>
      </c>
      <c r="V326" s="117"/>
      <c r="W326" s="151" t="str">
        <f t="shared" si="19"/>
        <v xml:space="preserve">Cước vận chuyển Cát Lái - CHƠN THÀNH, BÌNH PHƯỚC cont: ZCSU6782930 </v>
      </c>
    </row>
    <row r="327" spans="1:23" s="152" customFormat="1" ht="60" hidden="1" customHeight="1" x14ac:dyDescent="0.2">
      <c r="A327" s="122">
        <f t="shared" si="17"/>
        <v>311</v>
      </c>
      <c r="B327" s="147">
        <v>45983</v>
      </c>
      <c r="C327" s="117">
        <v>262065541</v>
      </c>
      <c r="D327" s="128"/>
      <c r="E327" s="128">
        <v>1</v>
      </c>
      <c r="F327" s="117" t="s">
        <v>896</v>
      </c>
      <c r="G327" s="117" t="s">
        <v>202</v>
      </c>
      <c r="H327" s="128" t="s">
        <v>958</v>
      </c>
      <c r="I327" s="148" t="s">
        <v>354</v>
      </c>
      <c r="J327" s="128" t="s">
        <v>444</v>
      </c>
      <c r="K327" s="117" t="s">
        <v>39</v>
      </c>
      <c r="L327" s="120" t="s">
        <v>899</v>
      </c>
      <c r="M327" s="123">
        <v>1500000</v>
      </c>
      <c r="N327" s="127"/>
      <c r="O327" s="124">
        <v>1890000</v>
      </c>
      <c r="P327" s="124"/>
      <c r="Q327" s="124"/>
      <c r="R327" s="124"/>
      <c r="S327" s="124"/>
      <c r="T327" s="124">
        <f t="shared" si="16"/>
        <v>151200</v>
      </c>
      <c r="U327" s="150">
        <f t="shared" si="18"/>
        <v>3541200</v>
      </c>
      <c r="V327" s="117" t="s">
        <v>413</v>
      </c>
      <c r="W327" s="151" t="str">
        <f t="shared" si="19"/>
        <v xml:space="preserve">Cước vận chuyển Cát Lái - THỦ DẦU MỘT, BÌNH DƯƠNG cont: TLLU5340231 </v>
      </c>
    </row>
    <row r="328" spans="1:23" s="152" customFormat="1" ht="60" hidden="1" customHeight="1" x14ac:dyDescent="0.2">
      <c r="A328" s="122">
        <f t="shared" si="17"/>
        <v>312</v>
      </c>
      <c r="B328" s="147">
        <v>45983</v>
      </c>
      <c r="C328" s="117">
        <v>262065541</v>
      </c>
      <c r="D328" s="128"/>
      <c r="E328" s="128">
        <v>1</v>
      </c>
      <c r="F328" s="117" t="s">
        <v>897</v>
      </c>
      <c r="G328" s="117" t="s">
        <v>206</v>
      </c>
      <c r="H328" s="128" t="s">
        <v>353</v>
      </c>
      <c r="I328" s="148" t="s">
        <v>354</v>
      </c>
      <c r="J328" s="128" t="s">
        <v>444</v>
      </c>
      <c r="K328" s="117" t="s">
        <v>39</v>
      </c>
      <c r="L328" s="120" t="s">
        <v>898</v>
      </c>
      <c r="M328" s="123">
        <v>1500000</v>
      </c>
      <c r="N328" s="127"/>
      <c r="O328" s="124">
        <v>2700000</v>
      </c>
      <c r="P328" s="124"/>
      <c r="Q328" s="124"/>
      <c r="R328" s="124"/>
      <c r="S328" s="124"/>
      <c r="T328" s="124">
        <f t="shared" si="16"/>
        <v>216000</v>
      </c>
      <c r="U328" s="150">
        <f t="shared" si="18"/>
        <v>4416000</v>
      </c>
      <c r="V328" s="117"/>
      <c r="W328" s="151" t="str">
        <f t="shared" si="19"/>
        <v xml:space="preserve">Cước vận chuyển Cát Lái - THỦ DẦU MỘT, BÌNH DƯƠNG cont: MSKU1147840 </v>
      </c>
    </row>
    <row r="329" spans="1:23" s="152" customFormat="1" ht="60" hidden="1" customHeight="1" x14ac:dyDescent="0.2">
      <c r="A329" s="122">
        <f t="shared" si="17"/>
        <v>313</v>
      </c>
      <c r="B329" s="147">
        <v>45983</v>
      </c>
      <c r="C329" s="128">
        <v>258420108</v>
      </c>
      <c r="D329" s="128"/>
      <c r="E329" s="128">
        <v>1</v>
      </c>
      <c r="F329" s="117" t="s">
        <v>896</v>
      </c>
      <c r="G329" s="117" t="s">
        <v>202</v>
      </c>
      <c r="H329" s="128" t="s">
        <v>158</v>
      </c>
      <c r="I329" s="148" t="s">
        <v>632</v>
      </c>
      <c r="J329" s="148" t="s">
        <v>39</v>
      </c>
      <c r="K329" s="128" t="s">
        <v>444</v>
      </c>
      <c r="L329" s="120" t="s">
        <v>909</v>
      </c>
      <c r="M329" s="123">
        <v>1500000</v>
      </c>
      <c r="N329" s="127"/>
      <c r="O329" s="124">
        <v>5300000</v>
      </c>
      <c r="P329" s="124"/>
      <c r="Q329" s="124"/>
      <c r="R329" s="124"/>
      <c r="S329" s="124"/>
      <c r="T329" s="124">
        <f t="shared" si="16"/>
        <v>424000</v>
      </c>
      <c r="U329" s="150">
        <f t="shared" si="18"/>
        <v>7224000</v>
      </c>
      <c r="V329" s="117"/>
      <c r="W329" s="151" t="str">
        <f t="shared" si="19"/>
        <v xml:space="preserve">Cước vận chuyển Cát Lái - ĐỒNG PHÚ, BÌNH PHƯỚC cont: TLLU5340231 </v>
      </c>
    </row>
    <row r="330" spans="1:23" s="152" customFormat="1" ht="60" hidden="1" customHeight="1" x14ac:dyDescent="0.2">
      <c r="A330" s="122">
        <f t="shared" si="17"/>
        <v>314</v>
      </c>
      <c r="B330" s="147">
        <v>45983</v>
      </c>
      <c r="C330" s="128">
        <v>258420108</v>
      </c>
      <c r="D330" s="128"/>
      <c r="E330" s="128">
        <v>1</v>
      </c>
      <c r="F330" s="117" t="s">
        <v>900</v>
      </c>
      <c r="G330" s="117" t="s">
        <v>351</v>
      </c>
      <c r="H330" s="128" t="s">
        <v>158</v>
      </c>
      <c r="I330" s="148" t="s">
        <v>632</v>
      </c>
      <c r="J330" s="148" t="s">
        <v>39</v>
      </c>
      <c r="K330" s="128" t="s">
        <v>444</v>
      </c>
      <c r="L330" s="120" t="s">
        <v>908</v>
      </c>
      <c r="M330" s="123">
        <v>1450000</v>
      </c>
      <c r="N330" s="127"/>
      <c r="O330" s="124">
        <v>5300000</v>
      </c>
      <c r="P330" s="124"/>
      <c r="Q330" s="124"/>
      <c r="R330" s="124"/>
      <c r="S330" s="124"/>
      <c r="T330" s="124">
        <f t="shared" si="16"/>
        <v>424000</v>
      </c>
      <c r="U330" s="150">
        <f t="shared" si="18"/>
        <v>7174000</v>
      </c>
      <c r="V330" s="117"/>
      <c r="W330" s="151" t="str">
        <f t="shared" si="19"/>
        <v xml:space="preserve">Cước vận chuyển Cát Lái - ĐỒNG PHÚ, BÌNH PHƯỚC cont: HASU5127592 </v>
      </c>
    </row>
    <row r="331" spans="1:23" s="152" customFormat="1" ht="60" hidden="1" customHeight="1" x14ac:dyDescent="0.2">
      <c r="A331" s="122">
        <f t="shared" si="17"/>
        <v>315</v>
      </c>
      <c r="B331" s="147">
        <v>45983</v>
      </c>
      <c r="C331" s="128">
        <v>258420108</v>
      </c>
      <c r="D331" s="128"/>
      <c r="E331" s="128">
        <v>1</v>
      </c>
      <c r="F331" s="117" t="s">
        <v>901</v>
      </c>
      <c r="G331" s="128" t="s">
        <v>203</v>
      </c>
      <c r="H331" s="128" t="s">
        <v>158</v>
      </c>
      <c r="I331" s="148" t="s">
        <v>632</v>
      </c>
      <c r="J331" s="148" t="s">
        <v>39</v>
      </c>
      <c r="K331" s="128" t="s">
        <v>444</v>
      </c>
      <c r="L331" s="120" t="s">
        <v>911</v>
      </c>
      <c r="M331" s="123">
        <v>1450000</v>
      </c>
      <c r="N331" s="127"/>
      <c r="O331" s="124">
        <v>5300000</v>
      </c>
      <c r="P331" s="124"/>
      <c r="Q331" s="124"/>
      <c r="R331" s="124"/>
      <c r="S331" s="124"/>
      <c r="T331" s="124">
        <f t="shared" si="16"/>
        <v>424000</v>
      </c>
      <c r="U331" s="150">
        <f t="shared" si="18"/>
        <v>7174000</v>
      </c>
      <c r="V331" s="117"/>
      <c r="W331" s="151" t="str">
        <f t="shared" si="19"/>
        <v xml:space="preserve">Cước vận chuyển Cát Lái - ĐỒNG PHÚ, BÌNH PHƯỚC cont: CAAU8937985 </v>
      </c>
    </row>
    <row r="332" spans="1:23" s="152" customFormat="1" ht="60" hidden="1" customHeight="1" x14ac:dyDescent="0.2">
      <c r="A332" s="122">
        <f t="shared" si="17"/>
        <v>316</v>
      </c>
      <c r="B332" s="147">
        <v>45983</v>
      </c>
      <c r="C332" s="128">
        <v>258420108</v>
      </c>
      <c r="D332" s="128"/>
      <c r="E332" s="128">
        <v>1</v>
      </c>
      <c r="F332" s="117" t="s">
        <v>902</v>
      </c>
      <c r="G332" s="128" t="s">
        <v>208</v>
      </c>
      <c r="H332" s="128" t="s">
        <v>158</v>
      </c>
      <c r="I332" s="148" t="s">
        <v>632</v>
      </c>
      <c r="J332" s="148" t="s">
        <v>39</v>
      </c>
      <c r="K332" s="128" t="s">
        <v>444</v>
      </c>
      <c r="L332" s="120" t="s">
        <v>910</v>
      </c>
      <c r="M332" s="123">
        <v>1450000</v>
      </c>
      <c r="N332" s="127"/>
      <c r="O332" s="124">
        <v>5300000</v>
      </c>
      <c r="P332" s="124"/>
      <c r="Q332" s="124"/>
      <c r="R332" s="124"/>
      <c r="S332" s="124"/>
      <c r="T332" s="124">
        <f t="shared" si="16"/>
        <v>424000</v>
      </c>
      <c r="U332" s="150">
        <f t="shared" si="18"/>
        <v>7174000</v>
      </c>
      <c r="V332" s="117"/>
      <c r="W332" s="151" t="str">
        <f t="shared" si="19"/>
        <v xml:space="preserve">Cước vận chuyển Cát Lái - ĐỒNG PHÚ, BÌNH PHƯỚC cont: MRSU4880127 </v>
      </c>
    </row>
    <row r="333" spans="1:23" s="152" customFormat="1" ht="60" hidden="1" customHeight="1" x14ac:dyDescent="0.2">
      <c r="A333" s="122">
        <f t="shared" si="17"/>
        <v>317</v>
      </c>
      <c r="B333" s="147">
        <v>45983</v>
      </c>
      <c r="C333" s="128">
        <v>258420108</v>
      </c>
      <c r="D333" s="128"/>
      <c r="E333" s="128">
        <v>1</v>
      </c>
      <c r="F333" s="117" t="s">
        <v>903</v>
      </c>
      <c r="G333" s="128" t="s">
        <v>209</v>
      </c>
      <c r="H333" s="128" t="s">
        <v>158</v>
      </c>
      <c r="I333" s="148" t="s">
        <v>632</v>
      </c>
      <c r="J333" s="148" t="s">
        <v>39</v>
      </c>
      <c r="K333" s="128" t="s">
        <v>444</v>
      </c>
      <c r="L333" s="120" t="s">
        <v>907</v>
      </c>
      <c r="M333" s="123">
        <v>1450000</v>
      </c>
      <c r="N333" s="127"/>
      <c r="O333" s="124">
        <v>5300000</v>
      </c>
      <c r="P333" s="124"/>
      <c r="Q333" s="124"/>
      <c r="R333" s="124"/>
      <c r="S333" s="124"/>
      <c r="T333" s="124">
        <f t="shared" si="16"/>
        <v>424000</v>
      </c>
      <c r="U333" s="150">
        <f t="shared" si="18"/>
        <v>7174000</v>
      </c>
      <c r="V333" s="117"/>
      <c r="W333" s="151" t="str">
        <f t="shared" si="19"/>
        <v xml:space="preserve">Cước vận chuyển Cát Lái - ĐỒNG PHÚ, BÌNH PHƯỚC cont: FFAU5154418 </v>
      </c>
    </row>
    <row r="334" spans="1:23" s="152" customFormat="1" ht="60" hidden="1" customHeight="1" x14ac:dyDescent="0.2">
      <c r="A334" s="122">
        <f t="shared" si="17"/>
        <v>318</v>
      </c>
      <c r="B334" s="147">
        <v>45983</v>
      </c>
      <c r="C334" s="128">
        <v>258420108</v>
      </c>
      <c r="D334" s="128"/>
      <c r="E334" s="128">
        <v>1</v>
      </c>
      <c r="F334" s="128" t="s">
        <v>904</v>
      </c>
      <c r="G334" s="117" t="s">
        <v>210</v>
      </c>
      <c r="H334" s="128" t="s">
        <v>158</v>
      </c>
      <c r="I334" s="148" t="s">
        <v>632</v>
      </c>
      <c r="J334" s="148" t="s">
        <v>39</v>
      </c>
      <c r="K334" s="128" t="s">
        <v>444</v>
      </c>
      <c r="L334" s="120" t="s">
        <v>999</v>
      </c>
      <c r="M334" s="123">
        <v>1450000</v>
      </c>
      <c r="N334" s="127"/>
      <c r="O334" s="124">
        <v>5300000</v>
      </c>
      <c r="P334" s="124"/>
      <c r="Q334" s="124"/>
      <c r="R334" s="124"/>
      <c r="S334" s="124"/>
      <c r="T334" s="124">
        <f t="shared" si="16"/>
        <v>424000</v>
      </c>
      <c r="U334" s="150">
        <f t="shared" si="18"/>
        <v>7174000</v>
      </c>
      <c r="V334" s="117"/>
      <c r="W334" s="151" t="str">
        <f t="shared" si="19"/>
        <v xml:space="preserve">Cước vận chuyển Cát Lái - ĐỒNG PHÚ, BÌNH PHƯỚC cont: SEKU6920294 </v>
      </c>
    </row>
    <row r="335" spans="1:23" s="152" customFormat="1" ht="60" hidden="1" customHeight="1" x14ac:dyDescent="0.2">
      <c r="A335" s="122">
        <f t="shared" si="17"/>
        <v>319</v>
      </c>
      <c r="B335" s="147">
        <v>45983</v>
      </c>
      <c r="C335" s="128">
        <v>258420108</v>
      </c>
      <c r="D335" s="128"/>
      <c r="E335" s="128">
        <v>1</v>
      </c>
      <c r="F335" s="117" t="s">
        <v>905</v>
      </c>
      <c r="G335" s="117" t="s">
        <v>207</v>
      </c>
      <c r="H335" s="128" t="s">
        <v>158</v>
      </c>
      <c r="I335" s="148" t="s">
        <v>632</v>
      </c>
      <c r="J335" s="148" t="s">
        <v>39</v>
      </c>
      <c r="K335" s="128" t="s">
        <v>444</v>
      </c>
      <c r="L335" s="120" t="s">
        <v>906</v>
      </c>
      <c r="M335" s="123">
        <v>1450000</v>
      </c>
      <c r="N335" s="127"/>
      <c r="O335" s="124">
        <v>5300000</v>
      </c>
      <c r="P335" s="124"/>
      <c r="Q335" s="124"/>
      <c r="R335" s="124"/>
      <c r="S335" s="124"/>
      <c r="T335" s="124">
        <f t="shared" si="16"/>
        <v>424000</v>
      </c>
      <c r="U335" s="150">
        <f t="shared" si="18"/>
        <v>7174000</v>
      </c>
      <c r="V335" s="117"/>
      <c r="W335" s="151" t="str">
        <f t="shared" si="19"/>
        <v xml:space="preserve">Cước vận chuyển Cát Lái - ĐỒNG PHÚ, BÌNH PHƯỚC cont: HASU5203429 </v>
      </c>
    </row>
    <row r="336" spans="1:23" s="152" customFormat="1" ht="60" hidden="1" customHeight="1" x14ac:dyDescent="0.2">
      <c r="A336" s="122">
        <f t="shared" si="17"/>
        <v>320</v>
      </c>
      <c r="B336" s="147">
        <v>45983</v>
      </c>
      <c r="C336" s="117">
        <v>7263969462</v>
      </c>
      <c r="D336" s="128"/>
      <c r="E336" s="128">
        <v>1</v>
      </c>
      <c r="F336" s="117" t="s">
        <v>912</v>
      </c>
      <c r="G336" s="117" t="s">
        <v>205</v>
      </c>
      <c r="H336" s="128" t="s">
        <v>158</v>
      </c>
      <c r="I336" s="148" t="s">
        <v>632</v>
      </c>
      <c r="J336" s="117" t="s">
        <v>494</v>
      </c>
      <c r="K336" s="117" t="s">
        <v>39</v>
      </c>
      <c r="L336" s="227" t="s">
        <v>915</v>
      </c>
      <c r="M336" s="127">
        <v>1500000</v>
      </c>
      <c r="N336" s="127"/>
      <c r="O336" s="124">
        <v>5300000</v>
      </c>
      <c r="P336" s="124"/>
      <c r="Q336" s="124"/>
      <c r="R336" s="124"/>
      <c r="S336" s="124"/>
      <c r="T336" s="124">
        <f t="shared" ref="T336:T375" si="20">O336*0.08</f>
        <v>424000</v>
      </c>
      <c r="U336" s="150">
        <f t="shared" si="18"/>
        <v>7224000</v>
      </c>
      <c r="V336" s="117"/>
      <c r="W336" s="151" t="str">
        <f t="shared" si="19"/>
        <v xml:space="preserve">Cước vận chuyển Cát Lái - ĐỒNG PHÚ, BÌNH PHƯỚC cont: CCLU7603820 </v>
      </c>
    </row>
    <row r="337" spans="1:23" s="152" customFormat="1" ht="60" hidden="1" customHeight="1" x14ac:dyDescent="0.2">
      <c r="A337" s="122">
        <f t="shared" ref="A337:A373" si="21">ROW()-16</f>
        <v>321</v>
      </c>
      <c r="B337" s="147">
        <v>45983</v>
      </c>
      <c r="C337" s="117">
        <v>7263969462</v>
      </c>
      <c r="D337" s="128"/>
      <c r="E337" s="128">
        <v>1</v>
      </c>
      <c r="F337" s="205" t="s">
        <v>913</v>
      </c>
      <c r="G337" s="205" t="s">
        <v>207</v>
      </c>
      <c r="H337" s="154" t="s">
        <v>158</v>
      </c>
      <c r="I337" s="216" t="s">
        <v>632</v>
      </c>
      <c r="J337" s="205" t="s">
        <v>494</v>
      </c>
      <c r="K337" s="205" t="s">
        <v>39</v>
      </c>
      <c r="L337" s="227" t="s">
        <v>914</v>
      </c>
      <c r="M337" s="127">
        <v>1500000</v>
      </c>
      <c r="N337" s="127"/>
      <c r="O337" s="124">
        <v>5300000</v>
      </c>
      <c r="P337" s="124"/>
      <c r="Q337" s="124"/>
      <c r="R337" s="124"/>
      <c r="S337" s="124"/>
      <c r="T337" s="124">
        <f t="shared" si="20"/>
        <v>424000</v>
      </c>
      <c r="U337" s="150">
        <f t="shared" ref="U337:U375" si="22">T337+S337+Q337+O337+M337+N337</f>
        <v>7224000</v>
      </c>
      <c r="V337" s="117"/>
      <c r="W337" s="151" t="str">
        <f t="shared" ref="W337:W373" si="23">"Cước vận chuyển Cát Lái - "&amp;I337&amp;" cont: "&amp;F337&amp;" "</f>
        <v xml:space="preserve">Cước vận chuyển Cát Lái - ĐỒNG PHÚ, BÌNH PHƯỚC cont: TGBU4076355 </v>
      </c>
    </row>
    <row r="338" spans="1:23" s="152" customFormat="1" ht="60" hidden="1" customHeight="1" x14ac:dyDescent="0.2">
      <c r="A338" s="122">
        <f t="shared" si="21"/>
        <v>322</v>
      </c>
      <c r="B338" s="147">
        <v>45983</v>
      </c>
      <c r="C338" s="218" t="s">
        <v>967</v>
      </c>
      <c r="D338" s="156"/>
      <c r="E338" s="128">
        <v>1</v>
      </c>
      <c r="F338" s="205" t="s">
        <v>968</v>
      </c>
      <c r="G338" s="205" t="s">
        <v>969</v>
      </c>
      <c r="H338" s="154" t="s">
        <v>974</v>
      </c>
      <c r="I338" s="216" t="s">
        <v>180</v>
      </c>
      <c r="J338" s="205" t="s">
        <v>39</v>
      </c>
      <c r="K338" s="205" t="s">
        <v>259</v>
      </c>
      <c r="L338" s="227" t="s">
        <v>979</v>
      </c>
      <c r="M338" s="127">
        <v>1500000</v>
      </c>
      <c r="N338" s="127"/>
      <c r="O338" s="124">
        <v>4500000</v>
      </c>
      <c r="P338" s="124"/>
      <c r="Q338" s="124"/>
      <c r="R338" s="124"/>
      <c r="S338" s="124"/>
      <c r="T338" s="124">
        <f t="shared" si="20"/>
        <v>360000</v>
      </c>
      <c r="U338" s="150">
        <f t="shared" si="22"/>
        <v>6360000</v>
      </c>
      <c r="V338" s="117"/>
      <c r="W338" s="151" t="str">
        <f t="shared" si="23"/>
        <v xml:space="preserve">Cước vận chuyển Cát Lái - HỚN QUẢN, BÌNH PHƯỚC cont: TEMU8435746 </v>
      </c>
    </row>
    <row r="339" spans="1:23" s="152" customFormat="1" ht="60" hidden="1" customHeight="1" x14ac:dyDescent="0.2">
      <c r="A339" s="122">
        <f t="shared" si="21"/>
        <v>323</v>
      </c>
      <c r="B339" s="147">
        <v>45983</v>
      </c>
      <c r="C339" s="218" t="s">
        <v>967</v>
      </c>
      <c r="D339" s="156"/>
      <c r="E339" s="128">
        <v>1</v>
      </c>
      <c r="F339" s="205" t="s">
        <v>970</v>
      </c>
      <c r="G339" s="205" t="s">
        <v>803</v>
      </c>
      <c r="H339" s="154" t="s">
        <v>974</v>
      </c>
      <c r="I339" s="216" t="s">
        <v>180</v>
      </c>
      <c r="J339" s="205" t="s">
        <v>39</v>
      </c>
      <c r="K339" s="205" t="s">
        <v>259</v>
      </c>
      <c r="L339" s="227" t="s">
        <v>977</v>
      </c>
      <c r="M339" s="127">
        <v>1500000</v>
      </c>
      <c r="N339" s="127"/>
      <c r="O339" s="124">
        <v>4500000</v>
      </c>
      <c r="P339" s="124"/>
      <c r="Q339" s="124"/>
      <c r="R339" s="124"/>
      <c r="S339" s="124"/>
      <c r="T339" s="124">
        <f t="shared" si="20"/>
        <v>360000</v>
      </c>
      <c r="U339" s="150">
        <f t="shared" si="22"/>
        <v>6360000</v>
      </c>
      <c r="V339" s="117"/>
      <c r="W339" s="151" t="str">
        <f t="shared" si="23"/>
        <v xml:space="preserve">Cước vận chuyển Cát Lái - HỚN QUẢN, BÌNH PHƯỚC cont: TCNU2876472 </v>
      </c>
    </row>
    <row r="340" spans="1:23" s="152" customFormat="1" ht="60" hidden="1" customHeight="1" x14ac:dyDescent="0.2">
      <c r="A340" s="122">
        <f t="shared" si="21"/>
        <v>324</v>
      </c>
      <c r="B340" s="147">
        <v>45983</v>
      </c>
      <c r="C340" s="218" t="s">
        <v>967</v>
      </c>
      <c r="D340" s="156"/>
      <c r="E340" s="128">
        <v>1</v>
      </c>
      <c r="F340" s="205" t="s">
        <v>971</v>
      </c>
      <c r="G340" s="205" t="s">
        <v>221</v>
      </c>
      <c r="H340" s="154" t="s">
        <v>974</v>
      </c>
      <c r="I340" s="216" t="s">
        <v>180</v>
      </c>
      <c r="J340" s="205" t="s">
        <v>39</v>
      </c>
      <c r="K340" s="205" t="s">
        <v>259</v>
      </c>
      <c r="L340" s="227" t="s">
        <v>975</v>
      </c>
      <c r="M340" s="127">
        <v>1500000</v>
      </c>
      <c r="N340" s="127"/>
      <c r="O340" s="124">
        <v>4500000</v>
      </c>
      <c r="P340" s="124"/>
      <c r="Q340" s="124"/>
      <c r="R340" s="124"/>
      <c r="S340" s="124"/>
      <c r="T340" s="124">
        <f t="shared" si="20"/>
        <v>360000</v>
      </c>
      <c r="U340" s="150">
        <f t="shared" si="22"/>
        <v>6360000</v>
      </c>
      <c r="V340" s="117" t="s">
        <v>413</v>
      </c>
      <c r="W340" s="151" t="str">
        <f t="shared" si="23"/>
        <v xml:space="preserve">Cước vận chuyển Cát Lái - HỚN QUẢN, BÌNH PHƯỚC cont: TCLU1870066 </v>
      </c>
    </row>
    <row r="341" spans="1:23" s="152" customFormat="1" ht="60" hidden="1" customHeight="1" x14ac:dyDescent="0.2">
      <c r="A341" s="122">
        <f t="shared" si="21"/>
        <v>325</v>
      </c>
      <c r="B341" s="147">
        <v>45983</v>
      </c>
      <c r="C341" s="218" t="s">
        <v>967</v>
      </c>
      <c r="D341" s="156"/>
      <c r="E341" s="128">
        <v>1</v>
      </c>
      <c r="F341" s="205" t="s">
        <v>972</v>
      </c>
      <c r="G341" s="231" t="s">
        <v>181</v>
      </c>
      <c r="H341" s="154" t="s">
        <v>974</v>
      </c>
      <c r="I341" s="216" t="s">
        <v>180</v>
      </c>
      <c r="J341" s="205" t="s">
        <v>39</v>
      </c>
      <c r="K341" s="205" t="s">
        <v>259</v>
      </c>
      <c r="L341" s="227" t="s">
        <v>978</v>
      </c>
      <c r="M341" s="127">
        <v>1500000</v>
      </c>
      <c r="N341" s="127"/>
      <c r="O341" s="124">
        <v>4500000</v>
      </c>
      <c r="P341" s="124"/>
      <c r="Q341" s="124"/>
      <c r="R341" s="124"/>
      <c r="S341" s="124"/>
      <c r="T341" s="124">
        <f t="shared" si="20"/>
        <v>360000</v>
      </c>
      <c r="U341" s="150">
        <f t="shared" si="22"/>
        <v>6360000</v>
      </c>
      <c r="V341" s="117"/>
      <c r="W341" s="151" t="str">
        <f t="shared" si="23"/>
        <v xml:space="preserve">Cước vận chuyển Cát Lái - HỚN QUẢN, BÌNH PHƯỚC cont: TRHU8916010 </v>
      </c>
    </row>
    <row r="342" spans="1:23" s="152" customFormat="1" ht="60" hidden="1" customHeight="1" x14ac:dyDescent="0.2">
      <c r="A342" s="122">
        <f t="shared" si="21"/>
        <v>326</v>
      </c>
      <c r="B342" s="147">
        <v>45983</v>
      </c>
      <c r="C342" s="218" t="s">
        <v>967</v>
      </c>
      <c r="D342" s="156"/>
      <c r="E342" s="128">
        <v>1</v>
      </c>
      <c r="F342" s="205" t="s">
        <v>973</v>
      </c>
      <c r="G342" s="205" t="s">
        <v>275</v>
      </c>
      <c r="H342" s="154" t="s">
        <v>974</v>
      </c>
      <c r="I342" s="216" t="s">
        <v>180</v>
      </c>
      <c r="J342" s="205" t="s">
        <v>39</v>
      </c>
      <c r="K342" s="205" t="s">
        <v>259</v>
      </c>
      <c r="L342" s="227" t="s">
        <v>976</v>
      </c>
      <c r="M342" s="127">
        <v>1500000</v>
      </c>
      <c r="N342" s="127"/>
      <c r="O342" s="124">
        <v>4500000</v>
      </c>
      <c r="P342" s="124"/>
      <c r="Q342" s="124"/>
      <c r="R342" s="124"/>
      <c r="S342" s="124"/>
      <c r="T342" s="124">
        <f t="shared" si="20"/>
        <v>360000</v>
      </c>
      <c r="U342" s="150">
        <f t="shared" si="22"/>
        <v>6360000</v>
      </c>
      <c r="V342" s="117" t="s">
        <v>413</v>
      </c>
      <c r="W342" s="151" t="str">
        <f t="shared" si="23"/>
        <v xml:space="preserve">Cước vận chuyển Cát Lái - HỚN QUẢN, BÌNH PHƯỚC cont: SEGU4694932 </v>
      </c>
    </row>
    <row r="343" spans="1:23" s="152" customFormat="1" ht="60" hidden="1" customHeight="1" x14ac:dyDescent="0.2">
      <c r="A343" s="122">
        <f t="shared" si="21"/>
        <v>327</v>
      </c>
      <c r="B343" s="217">
        <v>45984</v>
      </c>
      <c r="C343" s="218" t="s">
        <v>916</v>
      </c>
      <c r="D343" s="156"/>
      <c r="E343" s="128">
        <v>1</v>
      </c>
      <c r="F343" s="117" t="s">
        <v>917</v>
      </c>
      <c r="G343" s="128" t="s">
        <v>205</v>
      </c>
      <c r="H343" s="128" t="s">
        <v>158</v>
      </c>
      <c r="I343" s="148" t="s">
        <v>632</v>
      </c>
      <c r="J343" s="117" t="s">
        <v>39</v>
      </c>
      <c r="K343" s="117" t="s">
        <v>259</v>
      </c>
      <c r="L343" s="227" t="s">
        <v>921</v>
      </c>
      <c r="M343" s="127">
        <v>1500000</v>
      </c>
      <c r="N343" s="127"/>
      <c r="O343" s="124">
        <v>5300000</v>
      </c>
      <c r="P343" s="124"/>
      <c r="Q343" s="124"/>
      <c r="R343" s="124"/>
      <c r="S343" s="124"/>
      <c r="T343" s="124">
        <f t="shared" si="20"/>
        <v>424000</v>
      </c>
      <c r="U343" s="150">
        <f t="shared" si="22"/>
        <v>7224000</v>
      </c>
      <c r="V343" s="117" t="s">
        <v>413</v>
      </c>
      <c r="W343" s="151" t="str">
        <f t="shared" si="23"/>
        <v xml:space="preserve">Cước vận chuyển Cát Lái - ĐỒNG PHÚ, BÌNH PHƯỚC cont: CSNU6344087 </v>
      </c>
    </row>
    <row r="344" spans="1:23" s="152" customFormat="1" ht="60" hidden="1" customHeight="1" x14ac:dyDescent="0.2">
      <c r="A344" s="122">
        <f t="shared" si="21"/>
        <v>328</v>
      </c>
      <c r="B344" s="217">
        <v>45984</v>
      </c>
      <c r="C344" s="218" t="s">
        <v>916</v>
      </c>
      <c r="D344" s="156"/>
      <c r="E344" s="128">
        <v>1</v>
      </c>
      <c r="F344" s="117" t="s">
        <v>918</v>
      </c>
      <c r="G344" s="117" t="s">
        <v>206</v>
      </c>
      <c r="H344" s="128" t="s">
        <v>158</v>
      </c>
      <c r="I344" s="148" t="s">
        <v>632</v>
      </c>
      <c r="J344" s="117" t="s">
        <v>39</v>
      </c>
      <c r="K344" s="117" t="s">
        <v>259</v>
      </c>
      <c r="L344" s="227" t="s">
        <v>922</v>
      </c>
      <c r="M344" s="127">
        <v>1500000</v>
      </c>
      <c r="N344" s="127"/>
      <c r="O344" s="124">
        <v>5300000</v>
      </c>
      <c r="P344" s="124"/>
      <c r="Q344" s="124"/>
      <c r="R344" s="124"/>
      <c r="S344" s="124"/>
      <c r="T344" s="124">
        <f t="shared" si="20"/>
        <v>424000</v>
      </c>
      <c r="U344" s="150">
        <f t="shared" si="22"/>
        <v>7224000</v>
      </c>
      <c r="V344" s="117" t="s">
        <v>413</v>
      </c>
      <c r="W344" s="151" t="str">
        <f t="shared" si="23"/>
        <v xml:space="preserve">Cước vận chuyển Cát Lái - ĐỒNG PHÚ, BÌNH PHƯỚC cont: CBHU7083884 </v>
      </c>
    </row>
    <row r="345" spans="1:23" s="152" customFormat="1" ht="60" hidden="1" customHeight="1" x14ac:dyDescent="0.2">
      <c r="A345" s="122">
        <f t="shared" si="21"/>
        <v>329</v>
      </c>
      <c r="B345" s="217">
        <v>45984</v>
      </c>
      <c r="C345" s="218" t="s">
        <v>916</v>
      </c>
      <c r="D345" s="156"/>
      <c r="E345" s="128">
        <v>1</v>
      </c>
      <c r="F345" s="117" t="s">
        <v>919</v>
      </c>
      <c r="G345" s="128" t="s">
        <v>207</v>
      </c>
      <c r="H345" s="128" t="s">
        <v>158</v>
      </c>
      <c r="I345" s="148" t="s">
        <v>632</v>
      </c>
      <c r="J345" s="117" t="s">
        <v>39</v>
      </c>
      <c r="K345" s="117" t="s">
        <v>259</v>
      </c>
      <c r="L345" s="227" t="s">
        <v>920</v>
      </c>
      <c r="M345" s="127">
        <v>1450000</v>
      </c>
      <c r="N345" s="127"/>
      <c r="O345" s="124">
        <v>5300000</v>
      </c>
      <c r="P345" s="124"/>
      <c r="Q345" s="124"/>
      <c r="R345" s="124"/>
      <c r="S345" s="124"/>
      <c r="T345" s="124">
        <f t="shared" si="20"/>
        <v>424000</v>
      </c>
      <c r="U345" s="150">
        <f t="shared" si="22"/>
        <v>7174000</v>
      </c>
      <c r="V345" s="117"/>
      <c r="W345" s="151" t="str">
        <f t="shared" si="23"/>
        <v xml:space="preserve">Cước vận chuyển Cát Lái - ĐỒNG PHÚ, BÌNH PHƯỚC cont: CXDU1047894 </v>
      </c>
    </row>
    <row r="346" spans="1:23" s="152" customFormat="1" ht="60" hidden="1" customHeight="1" x14ac:dyDescent="0.2">
      <c r="A346" s="122">
        <f t="shared" si="21"/>
        <v>330</v>
      </c>
      <c r="B346" s="217">
        <v>45984</v>
      </c>
      <c r="C346" s="128">
        <v>262065541</v>
      </c>
      <c r="D346" s="128"/>
      <c r="E346" s="128">
        <v>1</v>
      </c>
      <c r="F346" s="117" t="s">
        <v>923</v>
      </c>
      <c r="G346" s="117" t="s">
        <v>214</v>
      </c>
      <c r="H346" s="156" t="s">
        <v>353</v>
      </c>
      <c r="I346" s="148" t="s">
        <v>354</v>
      </c>
      <c r="J346" s="156" t="s">
        <v>444</v>
      </c>
      <c r="K346" s="218" t="s">
        <v>39</v>
      </c>
      <c r="L346" s="227" t="s">
        <v>931</v>
      </c>
      <c r="M346" s="127">
        <v>1450000</v>
      </c>
      <c r="N346" s="127"/>
      <c r="O346" s="124">
        <v>2700000</v>
      </c>
      <c r="P346" s="124"/>
      <c r="Q346" s="124"/>
      <c r="R346" s="124"/>
      <c r="S346" s="124"/>
      <c r="T346" s="124">
        <f t="shared" si="20"/>
        <v>216000</v>
      </c>
      <c r="U346" s="150">
        <f t="shared" si="22"/>
        <v>4366000</v>
      </c>
      <c r="V346" s="117"/>
      <c r="W346" s="151" t="str">
        <f t="shared" si="23"/>
        <v xml:space="preserve">Cước vận chuyển Cát Lái - THỦ DẦU MỘT, BÌNH DƯƠNG cont: MSKU1260190 </v>
      </c>
    </row>
    <row r="347" spans="1:23" s="152" customFormat="1" ht="60" hidden="1" customHeight="1" x14ac:dyDescent="0.2">
      <c r="A347" s="122">
        <f t="shared" si="21"/>
        <v>331</v>
      </c>
      <c r="B347" s="217">
        <v>45984</v>
      </c>
      <c r="C347" s="128">
        <v>262065541</v>
      </c>
      <c r="D347" s="128"/>
      <c r="E347" s="128">
        <v>1</v>
      </c>
      <c r="F347" s="128" t="s">
        <v>903</v>
      </c>
      <c r="G347" s="117" t="s">
        <v>209</v>
      </c>
      <c r="H347" s="156" t="s">
        <v>958</v>
      </c>
      <c r="I347" s="148" t="s">
        <v>354</v>
      </c>
      <c r="J347" s="156" t="s">
        <v>444</v>
      </c>
      <c r="K347" s="218" t="s">
        <v>39</v>
      </c>
      <c r="L347" s="227" t="s">
        <v>927</v>
      </c>
      <c r="M347" s="127">
        <v>1450000</v>
      </c>
      <c r="N347" s="127"/>
      <c r="O347" s="124">
        <v>1890000</v>
      </c>
      <c r="P347" s="124"/>
      <c r="Q347" s="124"/>
      <c r="R347" s="124"/>
      <c r="S347" s="124"/>
      <c r="T347" s="124">
        <f t="shared" si="20"/>
        <v>151200</v>
      </c>
      <c r="U347" s="150">
        <f t="shared" si="22"/>
        <v>3491200</v>
      </c>
      <c r="V347" s="117" t="s">
        <v>413</v>
      </c>
      <c r="W347" s="151" t="str">
        <f t="shared" si="23"/>
        <v xml:space="preserve">Cước vận chuyển Cát Lái - THỦ DẦU MỘT, BÌNH DƯƠNG cont: FFAU5154418 </v>
      </c>
    </row>
    <row r="348" spans="1:23" s="152" customFormat="1" ht="60" hidden="1" customHeight="1" x14ac:dyDescent="0.2">
      <c r="A348" s="122">
        <f t="shared" si="21"/>
        <v>332</v>
      </c>
      <c r="B348" s="217">
        <v>45984</v>
      </c>
      <c r="C348" s="128">
        <v>262065541</v>
      </c>
      <c r="D348" s="128"/>
      <c r="E348" s="128">
        <v>1</v>
      </c>
      <c r="F348" s="117" t="s">
        <v>924</v>
      </c>
      <c r="G348" s="117" t="s">
        <v>203</v>
      </c>
      <c r="H348" s="156" t="s">
        <v>353</v>
      </c>
      <c r="I348" s="148" t="s">
        <v>354</v>
      </c>
      <c r="J348" s="156" t="s">
        <v>444</v>
      </c>
      <c r="K348" s="218" t="s">
        <v>39</v>
      </c>
      <c r="L348" s="227" t="s">
        <v>930</v>
      </c>
      <c r="M348" s="127">
        <v>1450000</v>
      </c>
      <c r="N348" s="127"/>
      <c r="O348" s="124">
        <v>2700000</v>
      </c>
      <c r="P348" s="124"/>
      <c r="Q348" s="124"/>
      <c r="R348" s="124"/>
      <c r="S348" s="124"/>
      <c r="T348" s="124">
        <f t="shared" si="20"/>
        <v>216000</v>
      </c>
      <c r="U348" s="150">
        <f t="shared" si="22"/>
        <v>4366000</v>
      </c>
      <c r="V348" s="117"/>
      <c r="W348" s="151" t="str">
        <f t="shared" si="23"/>
        <v xml:space="preserve">Cước vận chuyển Cát Lái - THỦ DẦU MỘT, BÌNH DƯƠNG cont: MSKU8604609 </v>
      </c>
    </row>
    <row r="349" spans="1:23" s="152" customFormat="1" ht="60" hidden="1" customHeight="1" x14ac:dyDescent="0.2">
      <c r="A349" s="122">
        <f t="shared" si="21"/>
        <v>333</v>
      </c>
      <c r="B349" s="147">
        <v>45984</v>
      </c>
      <c r="C349" s="128">
        <v>262065541</v>
      </c>
      <c r="D349" s="128"/>
      <c r="E349" s="128">
        <v>1</v>
      </c>
      <c r="F349" s="117" t="s">
        <v>925</v>
      </c>
      <c r="G349" s="117" t="s">
        <v>210</v>
      </c>
      <c r="H349" s="128" t="s">
        <v>353</v>
      </c>
      <c r="I349" s="148" t="s">
        <v>354</v>
      </c>
      <c r="J349" s="156" t="s">
        <v>444</v>
      </c>
      <c r="K349" s="218" t="s">
        <v>39</v>
      </c>
      <c r="L349" s="227" t="s">
        <v>928</v>
      </c>
      <c r="M349" s="127">
        <v>1450000</v>
      </c>
      <c r="N349" s="127"/>
      <c r="O349" s="124">
        <v>2700000</v>
      </c>
      <c r="P349" s="124"/>
      <c r="Q349" s="124"/>
      <c r="R349" s="124"/>
      <c r="S349" s="124"/>
      <c r="T349" s="124">
        <f t="shared" si="20"/>
        <v>216000</v>
      </c>
      <c r="U349" s="150">
        <f t="shared" si="22"/>
        <v>4366000</v>
      </c>
      <c r="V349" s="117"/>
      <c r="W349" s="151" t="str">
        <f t="shared" si="23"/>
        <v xml:space="preserve">Cước vận chuyển Cát Lái - THỦ DẦU MỘT, BÌNH DƯƠNG cont: HASU4199577 </v>
      </c>
    </row>
    <row r="350" spans="1:23" s="152" customFormat="1" ht="60" hidden="1" customHeight="1" x14ac:dyDescent="0.2">
      <c r="A350" s="122">
        <f t="shared" si="21"/>
        <v>334</v>
      </c>
      <c r="B350" s="147">
        <v>45984</v>
      </c>
      <c r="C350" s="128">
        <v>262065541</v>
      </c>
      <c r="D350" s="128"/>
      <c r="E350" s="128">
        <v>1</v>
      </c>
      <c r="F350" s="117" t="s">
        <v>926</v>
      </c>
      <c r="G350" s="117" t="s">
        <v>208</v>
      </c>
      <c r="H350" s="128" t="s">
        <v>353</v>
      </c>
      <c r="I350" s="148" t="s">
        <v>354</v>
      </c>
      <c r="J350" s="156" t="s">
        <v>444</v>
      </c>
      <c r="K350" s="218" t="s">
        <v>39</v>
      </c>
      <c r="L350" s="227" t="s">
        <v>929</v>
      </c>
      <c r="M350" s="127">
        <v>1450000</v>
      </c>
      <c r="N350" s="127"/>
      <c r="O350" s="124">
        <v>2700000</v>
      </c>
      <c r="P350" s="124"/>
      <c r="Q350" s="124"/>
      <c r="R350" s="124"/>
      <c r="S350" s="124"/>
      <c r="T350" s="124">
        <f t="shared" si="20"/>
        <v>216000</v>
      </c>
      <c r="U350" s="150">
        <f t="shared" si="22"/>
        <v>4366000</v>
      </c>
      <c r="V350" s="117"/>
      <c r="W350" s="151" t="str">
        <f t="shared" si="23"/>
        <v xml:space="preserve">Cước vận chuyển Cát Lái - THỦ DẦU MỘT, BÌNH DƯƠNG cont: MRSU5531963 </v>
      </c>
    </row>
    <row r="351" spans="1:23" s="152" customFormat="1" ht="60" hidden="1" customHeight="1" x14ac:dyDescent="0.2">
      <c r="A351" s="122">
        <f t="shared" si="21"/>
        <v>335</v>
      </c>
      <c r="B351" s="147">
        <v>45984</v>
      </c>
      <c r="C351" s="128">
        <v>258474318</v>
      </c>
      <c r="D351" s="128"/>
      <c r="E351" s="128">
        <v>1</v>
      </c>
      <c r="F351" s="117" t="s">
        <v>932</v>
      </c>
      <c r="G351" s="128" t="s">
        <v>888</v>
      </c>
      <c r="H351" s="128" t="s">
        <v>176</v>
      </c>
      <c r="I351" s="148" t="s">
        <v>226</v>
      </c>
      <c r="J351" s="220" t="s">
        <v>39</v>
      </c>
      <c r="K351" s="218" t="s">
        <v>625</v>
      </c>
      <c r="L351" s="227" t="s">
        <v>933</v>
      </c>
      <c r="M351" s="127">
        <v>1500000</v>
      </c>
      <c r="N351" s="127"/>
      <c r="O351" s="124">
        <v>4500000</v>
      </c>
      <c r="P351" s="124"/>
      <c r="Q351" s="124"/>
      <c r="R351" s="124"/>
      <c r="S351" s="124"/>
      <c r="T351" s="124">
        <f t="shared" si="20"/>
        <v>360000</v>
      </c>
      <c r="U351" s="150">
        <f t="shared" si="22"/>
        <v>6360000</v>
      </c>
      <c r="V351" s="117"/>
      <c r="W351" s="151" t="str">
        <f t="shared" si="23"/>
        <v xml:space="preserve">Cước vận chuyển Cát Lái - CHƠN THÀNH, BÌNH PHƯỚC cont: CAAU5379149 </v>
      </c>
    </row>
    <row r="352" spans="1:23" s="152" customFormat="1" ht="60" hidden="1" customHeight="1" x14ac:dyDescent="0.2">
      <c r="A352" s="122">
        <f t="shared" si="21"/>
        <v>336</v>
      </c>
      <c r="B352" s="217">
        <v>45984</v>
      </c>
      <c r="C352" s="218">
        <v>7263969463</v>
      </c>
      <c r="D352" s="156"/>
      <c r="E352" s="156">
        <v>1</v>
      </c>
      <c r="F352" s="218" t="s">
        <v>934</v>
      </c>
      <c r="G352" s="156" t="s">
        <v>200</v>
      </c>
      <c r="H352" s="117" t="s">
        <v>943</v>
      </c>
      <c r="I352" s="148" t="s">
        <v>633</v>
      </c>
      <c r="J352" s="220" t="s">
        <v>494</v>
      </c>
      <c r="K352" s="218" t="s">
        <v>39</v>
      </c>
      <c r="L352" s="227" t="s">
        <v>937</v>
      </c>
      <c r="M352" s="127">
        <v>1500000</v>
      </c>
      <c r="N352" s="127"/>
      <c r="O352" s="124">
        <v>3300000</v>
      </c>
      <c r="P352" s="124"/>
      <c r="Q352" s="124"/>
      <c r="R352" s="124"/>
      <c r="S352" s="124"/>
      <c r="T352" s="124">
        <f t="shared" si="20"/>
        <v>264000</v>
      </c>
      <c r="U352" s="150">
        <f t="shared" si="22"/>
        <v>5064000</v>
      </c>
      <c r="V352" s="117"/>
      <c r="W352" s="151" t="str">
        <f t="shared" si="23"/>
        <v xml:space="preserve">Cước vận chuyển Cát Lái - BẮC TÂN UYÊN, BÌNH DƯƠNG cont: UETU5221583 </v>
      </c>
    </row>
    <row r="353" spans="1:23" s="152" customFormat="1" ht="60" hidden="1" customHeight="1" x14ac:dyDescent="0.2">
      <c r="A353" s="122">
        <f t="shared" si="21"/>
        <v>337</v>
      </c>
      <c r="B353" s="217">
        <v>45984</v>
      </c>
      <c r="C353" s="218">
        <v>7263969463</v>
      </c>
      <c r="D353" s="128"/>
      <c r="E353" s="128">
        <v>1</v>
      </c>
      <c r="F353" s="196" t="s">
        <v>1002</v>
      </c>
      <c r="G353" s="117" t="s">
        <v>199</v>
      </c>
      <c r="H353" s="117" t="s">
        <v>943</v>
      </c>
      <c r="I353" s="148" t="s">
        <v>633</v>
      </c>
      <c r="J353" s="220" t="s">
        <v>494</v>
      </c>
      <c r="K353" s="218" t="s">
        <v>39</v>
      </c>
      <c r="L353" s="227" t="s">
        <v>942</v>
      </c>
      <c r="M353" s="127">
        <v>1500000</v>
      </c>
      <c r="N353" s="127"/>
      <c r="O353" s="124">
        <v>3300000</v>
      </c>
      <c r="P353" s="124"/>
      <c r="Q353" s="124"/>
      <c r="R353" s="124"/>
      <c r="S353" s="124"/>
      <c r="T353" s="124">
        <f t="shared" si="20"/>
        <v>264000</v>
      </c>
      <c r="U353" s="150">
        <f t="shared" si="22"/>
        <v>5064000</v>
      </c>
      <c r="V353" s="117" t="s">
        <v>413</v>
      </c>
      <c r="W353" s="151" t="str">
        <f t="shared" si="23"/>
        <v xml:space="preserve">Cước vận chuyển Cát Lái - BẮC TÂN UYÊN, BÌNH DƯƠNG cont: CSNU7547350 </v>
      </c>
    </row>
    <row r="354" spans="1:23" s="152" customFormat="1" ht="60" hidden="1" customHeight="1" x14ac:dyDescent="0.2">
      <c r="A354" s="122">
        <f t="shared" si="21"/>
        <v>338</v>
      </c>
      <c r="B354" s="217">
        <v>45984</v>
      </c>
      <c r="C354" s="218">
        <v>7263969463</v>
      </c>
      <c r="D354" s="128"/>
      <c r="E354" s="128">
        <v>1</v>
      </c>
      <c r="F354" s="117" t="s">
        <v>935</v>
      </c>
      <c r="G354" s="128" t="s">
        <v>233</v>
      </c>
      <c r="H354" s="117" t="s">
        <v>943</v>
      </c>
      <c r="I354" s="148" t="s">
        <v>633</v>
      </c>
      <c r="J354" s="220" t="s">
        <v>494</v>
      </c>
      <c r="K354" s="218" t="s">
        <v>39</v>
      </c>
      <c r="L354" s="227" t="s">
        <v>941</v>
      </c>
      <c r="M354" s="127">
        <v>1500000</v>
      </c>
      <c r="N354" s="127"/>
      <c r="O354" s="124">
        <v>3300000</v>
      </c>
      <c r="P354" s="124"/>
      <c r="Q354" s="124"/>
      <c r="R354" s="124"/>
      <c r="S354" s="124"/>
      <c r="T354" s="124">
        <f t="shared" si="20"/>
        <v>264000</v>
      </c>
      <c r="U354" s="150">
        <f t="shared" si="22"/>
        <v>5064000</v>
      </c>
      <c r="V354" s="117"/>
      <c r="W354" s="151" t="str">
        <f t="shared" si="23"/>
        <v xml:space="preserve">Cước vận chuyển Cát Lái - BẮC TÂN UYÊN, BÌNH DƯƠNG cont: FFAU2046739 </v>
      </c>
    </row>
    <row r="355" spans="1:23" s="152" customFormat="1" ht="60" hidden="1" customHeight="1" x14ac:dyDescent="0.2">
      <c r="A355" s="122">
        <f t="shared" si="21"/>
        <v>339</v>
      </c>
      <c r="B355" s="217">
        <v>45984</v>
      </c>
      <c r="C355" s="218">
        <v>7263969463</v>
      </c>
      <c r="D355" s="128"/>
      <c r="E355" s="128">
        <v>1</v>
      </c>
      <c r="F355" s="117" t="s">
        <v>938</v>
      </c>
      <c r="G355" s="117" t="s">
        <v>211</v>
      </c>
      <c r="H355" s="117" t="s">
        <v>943</v>
      </c>
      <c r="I355" s="148" t="s">
        <v>633</v>
      </c>
      <c r="J355" s="220" t="s">
        <v>494</v>
      </c>
      <c r="K355" s="218" t="s">
        <v>39</v>
      </c>
      <c r="L355" s="227" t="s">
        <v>939</v>
      </c>
      <c r="M355" s="127">
        <v>1500000</v>
      </c>
      <c r="N355" s="127"/>
      <c r="O355" s="124">
        <v>3300000</v>
      </c>
      <c r="P355" s="124"/>
      <c r="Q355" s="124"/>
      <c r="R355" s="124"/>
      <c r="S355" s="124"/>
      <c r="T355" s="124">
        <f t="shared" si="20"/>
        <v>264000</v>
      </c>
      <c r="U355" s="150">
        <f t="shared" si="22"/>
        <v>5064000</v>
      </c>
      <c r="V355" s="117"/>
      <c r="W355" s="151" t="str">
        <f t="shared" si="23"/>
        <v xml:space="preserve">Cước vận chuyển Cát Lái - BẮC TÂN UYÊN, BÌNH DƯƠNG cont: CSNU7244950 </v>
      </c>
    </row>
    <row r="356" spans="1:23" s="152" customFormat="1" ht="60" hidden="1" customHeight="1" x14ac:dyDescent="0.2">
      <c r="A356" s="122">
        <f t="shared" si="21"/>
        <v>340</v>
      </c>
      <c r="B356" s="217">
        <v>45984</v>
      </c>
      <c r="C356" s="218">
        <v>7263969463</v>
      </c>
      <c r="D356" s="154"/>
      <c r="E356" s="154">
        <v>1</v>
      </c>
      <c r="F356" s="205" t="s">
        <v>936</v>
      </c>
      <c r="G356" s="205" t="s">
        <v>198</v>
      </c>
      <c r="H356" s="205" t="s">
        <v>943</v>
      </c>
      <c r="I356" s="148" t="s">
        <v>633</v>
      </c>
      <c r="J356" s="220" t="s">
        <v>494</v>
      </c>
      <c r="K356" s="218" t="s">
        <v>39</v>
      </c>
      <c r="L356" s="227" t="s">
        <v>940</v>
      </c>
      <c r="M356" s="127">
        <v>1500000</v>
      </c>
      <c r="N356" s="127"/>
      <c r="O356" s="124">
        <v>3300000</v>
      </c>
      <c r="P356" s="124"/>
      <c r="Q356" s="124"/>
      <c r="R356" s="124"/>
      <c r="S356" s="124"/>
      <c r="T356" s="124">
        <f t="shared" si="20"/>
        <v>264000</v>
      </c>
      <c r="U356" s="150">
        <f t="shared" si="22"/>
        <v>5064000</v>
      </c>
      <c r="V356" s="117" t="s">
        <v>413</v>
      </c>
      <c r="W356" s="151" t="str">
        <f t="shared" si="23"/>
        <v xml:space="preserve">Cước vận chuyển Cát Lái - BẮC TÂN UYÊN, BÌNH DƯƠNG cont: FFAU3442360 </v>
      </c>
    </row>
    <row r="357" spans="1:23" s="152" customFormat="1" ht="60" hidden="1" customHeight="1" x14ac:dyDescent="0.2">
      <c r="A357" s="122">
        <f t="shared" si="21"/>
        <v>341</v>
      </c>
      <c r="B357" s="217">
        <v>45984</v>
      </c>
      <c r="C357" s="117">
        <v>7263994220</v>
      </c>
      <c r="D357" s="198"/>
      <c r="E357" s="128">
        <v>1</v>
      </c>
      <c r="F357" s="221" t="s">
        <v>944</v>
      </c>
      <c r="G357" s="128" t="s">
        <v>945</v>
      </c>
      <c r="H357" s="128" t="s">
        <v>158</v>
      </c>
      <c r="I357" s="148" t="s">
        <v>632</v>
      </c>
      <c r="J357" s="220" t="s">
        <v>494</v>
      </c>
      <c r="K357" s="218" t="s">
        <v>39</v>
      </c>
      <c r="L357" s="227" t="s">
        <v>946</v>
      </c>
      <c r="M357" s="127">
        <v>1500000</v>
      </c>
      <c r="N357" s="127"/>
      <c r="O357" s="124">
        <v>5300000</v>
      </c>
      <c r="P357" s="124"/>
      <c r="Q357" s="124"/>
      <c r="R357" s="124"/>
      <c r="S357" s="124"/>
      <c r="T357" s="124">
        <f t="shared" si="20"/>
        <v>424000</v>
      </c>
      <c r="U357" s="150">
        <f t="shared" si="22"/>
        <v>7224000</v>
      </c>
      <c r="V357" s="117" t="s">
        <v>413</v>
      </c>
      <c r="W357" s="151" t="str">
        <f t="shared" si="23"/>
        <v xml:space="preserve">Cước vận chuyển Cát Lái - ĐỒNG PHÚ, BÌNH PHƯỚC cont: MAGU5587087 </v>
      </c>
    </row>
    <row r="358" spans="1:23" s="152" customFormat="1" ht="60" hidden="1" customHeight="1" x14ac:dyDescent="0.2">
      <c r="A358" s="122">
        <f t="shared" si="21"/>
        <v>342</v>
      </c>
      <c r="B358" s="217">
        <v>45984</v>
      </c>
      <c r="C358" s="148" t="s">
        <v>949</v>
      </c>
      <c r="D358" s="148"/>
      <c r="E358" s="148">
        <v>1</v>
      </c>
      <c r="F358" s="117" t="s">
        <v>1000</v>
      </c>
      <c r="G358" s="117" t="s">
        <v>325</v>
      </c>
      <c r="H358" s="148" t="s">
        <v>176</v>
      </c>
      <c r="I358" s="148" t="s">
        <v>226</v>
      </c>
      <c r="J358" s="117" t="s">
        <v>39</v>
      </c>
      <c r="K358" s="122" t="s">
        <v>694</v>
      </c>
      <c r="L358" s="193" t="s">
        <v>1001</v>
      </c>
      <c r="M358" s="194">
        <v>1512000</v>
      </c>
      <c r="N358" s="194"/>
      <c r="O358" s="124">
        <v>4500000</v>
      </c>
      <c r="P358" s="124"/>
      <c r="Q358" s="124"/>
      <c r="R358" s="124"/>
      <c r="S358" s="124"/>
      <c r="T358" s="124">
        <f t="shared" si="20"/>
        <v>360000</v>
      </c>
      <c r="U358" s="150">
        <f t="shared" si="22"/>
        <v>6372000</v>
      </c>
      <c r="V358" s="117"/>
      <c r="W358" s="151" t="str">
        <f t="shared" si="23"/>
        <v xml:space="preserve">Cước vận chuyển Cát Lái - CHƠN THÀNH, BÌNH PHƯỚC cont: TGBU8853875 </v>
      </c>
    </row>
    <row r="359" spans="1:23" s="152" customFormat="1" ht="60" hidden="1" customHeight="1" x14ac:dyDescent="0.2">
      <c r="A359" s="122">
        <f t="shared" si="21"/>
        <v>343</v>
      </c>
      <c r="B359" s="217">
        <v>45984</v>
      </c>
      <c r="C359" s="128" t="s">
        <v>949</v>
      </c>
      <c r="D359" s="128"/>
      <c r="E359" s="128">
        <v>1</v>
      </c>
      <c r="F359" s="117" t="s">
        <v>950</v>
      </c>
      <c r="G359" s="117" t="s">
        <v>951</v>
      </c>
      <c r="H359" s="117" t="s">
        <v>176</v>
      </c>
      <c r="I359" s="148" t="s">
        <v>226</v>
      </c>
      <c r="J359" s="220" t="s">
        <v>39</v>
      </c>
      <c r="K359" s="218" t="s">
        <v>694</v>
      </c>
      <c r="L359" s="227" t="s">
        <v>963</v>
      </c>
      <c r="M359" s="127">
        <v>1512000</v>
      </c>
      <c r="N359" s="127"/>
      <c r="O359" s="124">
        <v>4500000</v>
      </c>
      <c r="P359" s="124"/>
      <c r="Q359" s="124"/>
      <c r="R359" s="124"/>
      <c r="S359" s="124"/>
      <c r="T359" s="124">
        <f t="shared" si="20"/>
        <v>360000</v>
      </c>
      <c r="U359" s="150">
        <f t="shared" si="22"/>
        <v>6372000</v>
      </c>
      <c r="V359" s="117"/>
      <c r="W359" s="151" t="str">
        <f t="shared" si="23"/>
        <v xml:space="preserve">Cước vận chuyển Cát Lái - CHƠN THÀNH, BÌNH PHƯỚC cont: OOLU9408140 </v>
      </c>
    </row>
    <row r="360" spans="1:23" s="152" customFormat="1" ht="60" hidden="1" customHeight="1" x14ac:dyDescent="0.2">
      <c r="A360" s="122">
        <f t="shared" si="21"/>
        <v>344</v>
      </c>
      <c r="B360" s="217">
        <v>45984</v>
      </c>
      <c r="C360" s="128" t="s">
        <v>949</v>
      </c>
      <c r="D360" s="128"/>
      <c r="E360" s="128">
        <v>1</v>
      </c>
      <c r="F360" s="117" t="s">
        <v>959</v>
      </c>
      <c r="G360" s="117" t="s">
        <v>279</v>
      </c>
      <c r="H360" s="117" t="s">
        <v>176</v>
      </c>
      <c r="I360" s="148" t="s">
        <v>226</v>
      </c>
      <c r="J360" s="220" t="s">
        <v>39</v>
      </c>
      <c r="K360" s="218" t="s">
        <v>694</v>
      </c>
      <c r="L360" s="227" t="s">
        <v>965</v>
      </c>
      <c r="M360" s="127">
        <v>1512000</v>
      </c>
      <c r="N360" s="127"/>
      <c r="O360" s="124">
        <v>4500000</v>
      </c>
      <c r="P360" s="124"/>
      <c r="Q360" s="124"/>
      <c r="R360" s="124"/>
      <c r="S360" s="124"/>
      <c r="T360" s="124">
        <f t="shared" si="20"/>
        <v>360000</v>
      </c>
      <c r="U360" s="150">
        <f t="shared" si="22"/>
        <v>6372000</v>
      </c>
      <c r="V360" s="117" t="s">
        <v>413</v>
      </c>
      <c r="W360" s="151" t="str">
        <f t="shared" si="23"/>
        <v xml:space="preserve">Cước vận chuyển Cát Lái - CHƠN THÀNH, BÌNH PHƯỚC cont: TGHU6413483 </v>
      </c>
    </row>
    <row r="361" spans="1:23" s="152" customFormat="1" ht="60" hidden="1" customHeight="1" x14ac:dyDescent="0.2">
      <c r="A361" s="122">
        <f t="shared" si="21"/>
        <v>345</v>
      </c>
      <c r="B361" s="217">
        <v>45984</v>
      </c>
      <c r="C361" s="128" t="s">
        <v>949</v>
      </c>
      <c r="D361" s="128"/>
      <c r="E361" s="128">
        <v>1</v>
      </c>
      <c r="F361" s="196" t="s">
        <v>960</v>
      </c>
      <c r="G361" s="117" t="s">
        <v>961</v>
      </c>
      <c r="H361" s="117" t="s">
        <v>176</v>
      </c>
      <c r="I361" s="148" t="s">
        <v>226</v>
      </c>
      <c r="J361" s="220" t="s">
        <v>39</v>
      </c>
      <c r="K361" s="218" t="s">
        <v>694</v>
      </c>
      <c r="L361" s="227" t="s">
        <v>966</v>
      </c>
      <c r="M361" s="127">
        <v>1500000</v>
      </c>
      <c r="N361" s="127"/>
      <c r="O361" s="124">
        <v>4500000</v>
      </c>
      <c r="P361" s="124"/>
      <c r="Q361" s="124"/>
      <c r="R361" s="124"/>
      <c r="S361" s="124"/>
      <c r="T361" s="124">
        <f t="shared" si="20"/>
        <v>360000</v>
      </c>
      <c r="U361" s="150">
        <f t="shared" si="22"/>
        <v>6360000</v>
      </c>
      <c r="V361" s="117"/>
      <c r="W361" s="151" t="str">
        <f t="shared" si="23"/>
        <v xml:space="preserve">Cước vận chuyển Cát Lái - CHƠN THÀNH, BÌNH PHƯỚC cont: CBHU8969347 </v>
      </c>
    </row>
    <row r="362" spans="1:23" s="152" customFormat="1" ht="60" hidden="1" customHeight="1" x14ac:dyDescent="0.2">
      <c r="A362" s="122">
        <f t="shared" si="21"/>
        <v>346</v>
      </c>
      <c r="B362" s="217">
        <v>45984</v>
      </c>
      <c r="C362" s="128" t="s">
        <v>949</v>
      </c>
      <c r="D362" s="128"/>
      <c r="E362" s="128">
        <v>1</v>
      </c>
      <c r="F362" s="117" t="s">
        <v>962</v>
      </c>
      <c r="G362" s="199" t="s">
        <v>552</v>
      </c>
      <c r="H362" s="117" t="s">
        <v>176</v>
      </c>
      <c r="I362" s="148" t="s">
        <v>226</v>
      </c>
      <c r="J362" s="220" t="s">
        <v>39</v>
      </c>
      <c r="K362" s="218" t="s">
        <v>694</v>
      </c>
      <c r="L362" s="227" t="s">
        <v>964</v>
      </c>
      <c r="M362" s="127">
        <v>1512000</v>
      </c>
      <c r="N362" s="127"/>
      <c r="O362" s="124">
        <v>4500000</v>
      </c>
      <c r="P362" s="124"/>
      <c r="Q362" s="124"/>
      <c r="R362" s="124"/>
      <c r="S362" s="124"/>
      <c r="T362" s="124">
        <f t="shared" si="20"/>
        <v>360000</v>
      </c>
      <c r="U362" s="150">
        <f t="shared" si="22"/>
        <v>6372000</v>
      </c>
      <c r="V362" s="117" t="s">
        <v>413</v>
      </c>
      <c r="W362" s="151" t="str">
        <f t="shared" si="23"/>
        <v xml:space="preserve">Cước vận chuyển Cát Lái - CHƠN THÀNH, BÌNH PHƯỚC cont: CSLU6168381 </v>
      </c>
    </row>
    <row r="363" spans="1:23" s="152" customFormat="1" ht="60" hidden="1" customHeight="1" x14ac:dyDescent="0.2">
      <c r="A363" s="122">
        <f t="shared" si="21"/>
        <v>347</v>
      </c>
      <c r="B363" s="217">
        <v>45984</v>
      </c>
      <c r="C363" s="128">
        <v>260181210</v>
      </c>
      <c r="D363" s="128"/>
      <c r="E363" s="128">
        <v>1</v>
      </c>
      <c r="F363" s="117" t="s">
        <v>947</v>
      </c>
      <c r="G363" s="117" t="s">
        <v>202</v>
      </c>
      <c r="H363" s="218" t="s">
        <v>158</v>
      </c>
      <c r="I363" s="148" t="s">
        <v>632</v>
      </c>
      <c r="J363" s="220" t="s">
        <v>604</v>
      </c>
      <c r="K363" s="220" t="s">
        <v>948</v>
      </c>
      <c r="L363" s="227" t="s">
        <v>986</v>
      </c>
      <c r="M363" s="127">
        <v>1512000</v>
      </c>
      <c r="N363" s="127"/>
      <c r="O363" s="124">
        <v>5300000</v>
      </c>
      <c r="P363" s="124"/>
      <c r="Q363" s="124"/>
      <c r="R363" s="124"/>
      <c r="S363" s="124">
        <v>260000</v>
      </c>
      <c r="T363" s="124">
        <f t="shared" si="20"/>
        <v>424000</v>
      </c>
      <c r="U363" s="150">
        <f t="shared" si="22"/>
        <v>7496000</v>
      </c>
      <c r="V363" s="117"/>
      <c r="W363" s="151" t="str">
        <f t="shared" si="23"/>
        <v xml:space="preserve">Cước vận chuyển Cát Lái - ĐỒNG PHÚ, BÌNH PHƯỚC cont: CAAU6930913 </v>
      </c>
    </row>
    <row r="364" spans="1:23" s="152" customFormat="1" ht="60" hidden="1" customHeight="1" x14ac:dyDescent="0.2">
      <c r="A364" s="122">
        <f t="shared" si="21"/>
        <v>348</v>
      </c>
      <c r="B364" s="217">
        <v>45985</v>
      </c>
      <c r="C364" s="117">
        <v>262065541</v>
      </c>
      <c r="D364" s="128"/>
      <c r="E364" s="128">
        <v>1</v>
      </c>
      <c r="F364" s="117" t="s">
        <v>952</v>
      </c>
      <c r="G364" s="117" t="s">
        <v>210</v>
      </c>
      <c r="H364" s="218" t="s">
        <v>353</v>
      </c>
      <c r="I364" s="148" t="s">
        <v>354</v>
      </c>
      <c r="J364" s="220" t="s">
        <v>954</v>
      </c>
      <c r="K364" s="218" t="s">
        <v>39</v>
      </c>
      <c r="L364" s="227" t="s">
        <v>956</v>
      </c>
      <c r="M364" s="127">
        <v>1450000</v>
      </c>
      <c r="N364" s="127"/>
      <c r="O364" s="124">
        <v>2700000</v>
      </c>
      <c r="P364" s="124"/>
      <c r="Q364" s="124"/>
      <c r="R364" s="124"/>
      <c r="S364" s="124"/>
      <c r="T364" s="124">
        <f t="shared" si="20"/>
        <v>216000</v>
      </c>
      <c r="U364" s="150">
        <f t="shared" si="22"/>
        <v>4366000</v>
      </c>
      <c r="V364" s="117"/>
      <c r="W364" s="151" t="str">
        <f t="shared" si="23"/>
        <v xml:space="preserve">Cước vận chuyển Cát Lái - THỦ DẦU MỘT, BÌNH DƯƠNG cont: TCNU3461486 </v>
      </c>
    </row>
    <row r="365" spans="1:23" s="152" customFormat="1" ht="60" hidden="1" customHeight="1" x14ac:dyDescent="0.2">
      <c r="A365" s="122">
        <f t="shared" si="21"/>
        <v>349</v>
      </c>
      <c r="B365" s="217">
        <v>45985</v>
      </c>
      <c r="C365" s="117">
        <v>262065541</v>
      </c>
      <c r="D365" s="128"/>
      <c r="E365" s="128">
        <v>1</v>
      </c>
      <c r="F365" s="128" t="s">
        <v>953</v>
      </c>
      <c r="G365" s="117" t="s">
        <v>207</v>
      </c>
      <c r="H365" s="218" t="s">
        <v>353</v>
      </c>
      <c r="I365" s="148" t="s">
        <v>354</v>
      </c>
      <c r="J365" s="220" t="s">
        <v>954</v>
      </c>
      <c r="K365" s="218" t="s">
        <v>39</v>
      </c>
      <c r="L365" s="227" t="s">
        <v>955</v>
      </c>
      <c r="M365" s="127">
        <v>1450000</v>
      </c>
      <c r="N365" s="127"/>
      <c r="O365" s="124">
        <v>2700000</v>
      </c>
      <c r="P365" s="124"/>
      <c r="Q365" s="124"/>
      <c r="R365" s="124"/>
      <c r="S365" s="124"/>
      <c r="T365" s="124">
        <f t="shared" si="20"/>
        <v>216000</v>
      </c>
      <c r="U365" s="150">
        <f t="shared" si="22"/>
        <v>4366000</v>
      </c>
      <c r="V365" s="117"/>
      <c r="W365" s="151" t="str">
        <f t="shared" si="23"/>
        <v xml:space="preserve">Cước vận chuyển Cát Lái - THỦ DẦU MỘT, BÌNH DƯƠNG cont: HASU4415526 </v>
      </c>
    </row>
    <row r="366" spans="1:23" s="152" customFormat="1" ht="60" hidden="1" customHeight="1" x14ac:dyDescent="0.2">
      <c r="A366" s="122">
        <f t="shared" si="21"/>
        <v>350</v>
      </c>
      <c r="B366" s="217">
        <v>45985</v>
      </c>
      <c r="C366" s="117">
        <v>262065541</v>
      </c>
      <c r="D366" s="128"/>
      <c r="E366" s="128">
        <v>1</v>
      </c>
      <c r="F366" s="117" t="s">
        <v>902</v>
      </c>
      <c r="G366" s="117" t="s">
        <v>208</v>
      </c>
      <c r="H366" s="156" t="s">
        <v>806</v>
      </c>
      <c r="I366" s="148" t="s">
        <v>354</v>
      </c>
      <c r="J366" s="220" t="s">
        <v>444</v>
      </c>
      <c r="K366" s="218" t="s">
        <v>39</v>
      </c>
      <c r="L366" s="227" t="s">
        <v>957</v>
      </c>
      <c r="M366" s="127">
        <v>1450000</v>
      </c>
      <c r="N366" s="127"/>
      <c r="O366" s="124">
        <v>1890000</v>
      </c>
      <c r="P366" s="124"/>
      <c r="Q366" s="124"/>
      <c r="R366" s="124"/>
      <c r="S366" s="124"/>
      <c r="T366" s="124">
        <f t="shared" si="20"/>
        <v>151200</v>
      </c>
      <c r="U366" s="150">
        <f t="shared" si="22"/>
        <v>3491200</v>
      </c>
      <c r="V366" s="117"/>
      <c r="W366" s="151" t="str">
        <f t="shared" si="23"/>
        <v xml:space="preserve">Cước vận chuyển Cát Lái - THỦ DẦU MỘT, BÌNH DƯƠNG cont: MRSU4880127 </v>
      </c>
    </row>
    <row r="367" spans="1:23" s="152" customFormat="1" ht="60" hidden="1" customHeight="1" x14ac:dyDescent="0.2">
      <c r="A367" s="122">
        <f t="shared" si="21"/>
        <v>351</v>
      </c>
      <c r="B367" s="147">
        <v>45986</v>
      </c>
      <c r="C367" s="128" t="s">
        <v>981</v>
      </c>
      <c r="D367" s="128"/>
      <c r="E367" s="128">
        <v>1</v>
      </c>
      <c r="F367" s="117" t="s">
        <v>982</v>
      </c>
      <c r="G367" s="128" t="s">
        <v>271</v>
      </c>
      <c r="H367" s="218" t="s">
        <v>983</v>
      </c>
      <c r="I367" s="220" t="s">
        <v>226</v>
      </c>
      <c r="J367" s="220" t="s">
        <v>39</v>
      </c>
      <c r="K367" s="218" t="s">
        <v>984</v>
      </c>
      <c r="L367" s="227" t="s">
        <v>985</v>
      </c>
      <c r="M367" s="127">
        <v>1500000</v>
      </c>
      <c r="N367" s="127"/>
      <c r="O367" s="124">
        <v>4400000</v>
      </c>
      <c r="P367" s="124"/>
      <c r="Q367" s="124"/>
      <c r="R367" s="124"/>
      <c r="S367" s="124"/>
      <c r="T367" s="124">
        <f t="shared" si="20"/>
        <v>352000</v>
      </c>
      <c r="U367" s="150">
        <f t="shared" si="22"/>
        <v>6252000</v>
      </c>
      <c r="V367" s="117"/>
      <c r="W367" s="151" t="str">
        <f t="shared" si="23"/>
        <v xml:space="preserve">Cước vận chuyển Cát Lái - CHƠN THÀNH, BÌNH PHƯỚC cont: TCNU4696649 </v>
      </c>
    </row>
    <row r="368" spans="1:23" s="152" customFormat="1" ht="60" hidden="1" customHeight="1" x14ac:dyDescent="0.2">
      <c r="A368" s="122">
        <f t="shared" si="21"/>
        <v>352</v>
      </c>
      <c r="B368" s="217">
        <v>45986</v>
      </c>
      <c r="C368" s="128">
        <v>259662273</v>
      </c>
      <c r="D368" s="128"/>
      <c r="E368" s="128">
        <v>1</v>
      </c>
      <c r="F368" s="117" t="s">
        <v>987</v>
      </c>
      <c r="G368" s="128" t="s">
        <v>212</v>
      </c>
      <c r="H368" s="218" t="s">
        <v>158</v>
      </c>
      <c r="I368" s="220" t="s">
        <v>632</v>
      </c>
      <c r="J368" s="220" t="s">
        <v>39</v>
      </c>
      <c r="K368" s="156" t="s">
        <v>993</v>
      </c>
      <c r="L368" s="227">
        <v>14561</v>
      </c>
      <c r="M368" s="127">
        <v>1500000</v>
      </c>
      <c r="N368" s="127"/>
      <c r="O368" s="124">
        <v>5300000</v>
      </c>
      <c r="P368" s="124"/>
      <c r="Q368" s="124"/>
      <c r="R368" s="124"/>
      <c r="S368" s="124"/>
      <c r="T368" s="124">
        <f t="shared" si="20"/>
        <v>424000</v>
      </c>
      <c r="U368" s="150">
        <f t="shared" si="22"/>
        <v>7224000</v>
      </c>
      <c r="V368" s="117"/>
      <c r="W368" s="151" t="str">
        <f t="shared" si="23"/>
        <v xml:space="preserve">Cước vận chuyển Cát Lái - ĐỒNG PHÚ, BÌNH PHƯỚC cont: HASU4284489 </v>
      </c>
    </row>
    <row r="369" spans="1:23" s="152" customFormat="1" ht="60" hidden="1" customHeight="1" x14ac:dyDescent="0.2">
      <c r="A369" s="122">
        <f t="shared" si="21"/>
        <v>353</v>
      </c>
      <c r="B369" s="217">
        <v>45986</v>
      </c>
      <c r="C369" s="128">
        <v>259662273</v>
      </c>
      <c r="D369" s="128"/>
      <c r="E369" s="128">
        <v>1</v>
      </c>
      <c r="F369" s="117" t="s">
        <v>988</v>
      </c>
      <c r="G369" s="128" t="s">
        <v>214</v>
      </c>
      <c r="H369" s="218" t="s">
        <v>158</v>
      </c>
      <c r="I369" s="220" t="s">
        <v>632</v>
      </c>
      <c r="J369" s="220" t="s">
        <v>39</v>
      </c>
      <c r="K369" s="156" t="s">
        <v>993</v>
      </c>
      <c r="L369" s="227" t="s">
        <v>998</v>
      </c>
      <c r="M369" s="127">
        <v>1450000</v>
      </c>
      <c r="N369" s="127"/>
      <c r="O369" s="124">
        <v>5300000</v>
      </c>
      <c r="P369" s="124"/>
      <c r="Q369" s="124"/>
      <c r="R369" s="124"/>
      <c r="S369" s="124"/>
      <c r="T369" s="124">
        <f t="shared" si="20"/>
        <v>424000</v>
      </c>
      <c r="U369" s="150">
        <f t="shared" si="22"/>
        <v>7174000</v>
      </c>
      <c r="V369" s="117"/>
      <c r="W369" s="151" t="str">
        <f t="shared" si="23"/>
        <v xml:space="preserve">Cước vận chuyển Cát Lái - ĐỒNG PHÚ, BÌNH PHƯỚC cont: GAOU7118357 </v>
      </c>
    </row>
    <row r="370" spans="1:23" s="152" customFormat="1" ht="60" hidden="1" customHeight="1" x14ac:dyDescent="0.2">
      <c r="A370" s="122">
        <f t="shared" si="21"/>
        <v>354</v>
      </c>
      <c r="B370" s="217">
        <v>45986</v>
      </c>
      <c r="C370" s="128">
        <v>259662273</v>
      </c>
      <c r="D370" s="128"/>
      <c r="E370" s="128">
        <v>1</v>
      </c>
      <c r="F370" s="117" t="s">
        <v>989</v>
      </c>
      <c r="G370" s="128" t="s">
        <v>206</v>
      </c>
      <c r="H370" s="218" t="s">
        <v>158</v>
      </c>
      <c r="I370" s="220" t="s">
        <v>632</v>
      </c>
      <c r="J370" s="220" t="s">
        <v>39</v>
      </c>
      <c r="K370" s="156" t="s">
        <v>993</v>
      </c>
      <c r="L370" s="227" t="s">
        <v>996</v>
      </c>
      <c r="M370" s="127">
        <v>1450000</v>
      </c>
      <c r="N370" s="127"/>
      <c r="O370" s="124">
        <v>5300000</v>
      </c>
      <c r="P370" s="124"/>
      <c r="Q370" s="124"/>
      <c r="R370" s="124"/>
      <c r="S370" s="124"/>
      <c r="T370" s="124">
        <f t="shared" si="20"/>
        <v>424000</v>
      </c>
      <c r="U370" s="150">
        <f t="shared" si="22"/>
        <v>7174000</v>
      </c>
      <c r="V370" s="117" t="s">
        <v>413</v>
      </c>
      <c r="W370" s="151" t="str">
        <f t="shared" si="23"/>
        <v xml:space="preserve">Cước vận chuyển Cát Lái - ĐỒNG PHÚ, BÌNH PHƯỚC cont: FCLU9600989 </v>
      </c>
    </row>
    <row r="371" spans="1:23" s="152" customFormat="1" ht="60" hidden="1" customHeight="1" x14ac:dyDescent="0.2">
      <c r="A371" s="122">
        <f t="shared" si="21"/>
        <v>355</v>
      </c>
      <c r="B371" s="217">
        <v>45986</v>
      </c>
      <c r="C371" s="128">
        <v>259662273</v>
      </c>
      <c r="D371" s="128"/>
      <c r="E371" s="128">
        <v>1</v>
      </c>
      <c r="F371" s="117" t="s">
        <v>990</v>
      </c>
      <c r="G371" s="128" t="s">
        <v>338</v>
      </c>
      <c r="H371" s="218" t="s">
        <v>158</v>
      </c>
      <c r="I371" s="220" t="s">
        <v>632</v>
      </c>
      <c r="J371" s="220" t="s">
        <v>39</v>
      </c>
      <c r="K371" s="156" t="s">
        <v>993</v>
      </c>
      <c r="L371" s="227" t="s">
        <v>997</v>
      </c>
      <c r="M371" s="127">
        <v>1450000</v>
      </c>
      <c r="N371" s="127"/>
      <c r="O371" s="124">
        <v>5300000</v>
      </c>
      <c r="P371" s="124"/>
      <c r="Q371" s="124"/>
      <c r="R371" s="124"/>
      <c r="S371" s="124"/>
      <c r="T371" s="124">
        <f t="shared" si="20"/>
        <v>424000</v>
      </c>
      <c r="U371" s="150">
        <f t="shared" si="22"/>
        <v>7174000</v>
      </c>
      <c r="V371" s="117"/>
      <c r="W371" s="151" t="str">
        <f t="shared" si="23"/>
        <v xml:space="preserve">Cước vận chuyển Cát Lái - ĐỒNG PHÚ, BÌNH PHƯỚC cont: MRKU3869060 </v>
      </c>
    </row>
    <row r="372" spans="1:23" s="152" customFormat="1" ht="60" hidden="1" customHeight="1" x14ac:dyDescent="0.2">
      <c r="A372" s="122">
        <f t="shared" si="21"/>
        <v>356</v>
      </c>
      <c r="B372" s="217">
        <v>45986</v>
      </c>
      <c r="C372" s="128">
        <v>259662273</v>
      </c>
      <c r="D372" s="128"/>
      <c r="E372" s="128">
        <v>1</v>
      </c>
      <c r="F372" s="117" t="s">
        <v>991</v>
      </c>
      <c r="G372" s="128" t="s">
        <v>200</v>
      </c>
      <c r="H372" s="218" t="s">
        <v>158</v>
      </c>
      <c r="I372" s="220" t="s">
        <v>632</v>
      </c>
      <c r="J372" s="220" t="s">
        <v>39</v>
      </c>
      <c r="K372" s="156" t="s">
        <v>993</v>
      </c>
      <c r="L372" s="227" t="s">
        <v>994</v>
      </c>
      <c r="M372" s="127">
        <v>1450000</v>
      </c>
      <c r="N372" s="127"/>
      <c r="O372" s="124">
        <v>5300000</v>
      </c>
      <c r="P372" s="124"/>
      <c r="Q372" s="124"/>
      <c r="R372" s="124"/>
      <c r="S372" s="124"/>
      <c r="T372" s="124">
        <f t="shared" si="20"/>
        <v>424000</v>
      </c>
      <c r="U372" s="150">
        <f t="shared" si="22"/>
        <v>7174000</v>
      </c>
      <c r="V372" s="117"/>
      <c r="W372" s="151" t="str">
        <f t="shared" si="23"/>
        <v xml:space="preserve">Cước vận chuyển Cát Lái - ĐỒNG PHÚ, BÌNH PHƯỚC cont: MRSU4814974 </v>
      </c>
    </row>
    <row r="373" spans="1:23" s="152" customFormat="1" ht="60" hidden="1" customHeight="1" thickBot="1" x14ac:dyDescent="0.2">
      <c r="A373" s="122">
        <f t="shared" si="21"/>
        <v>357</v>
      </c>
      <c r="B373" s="217">
        <v>45986</v>
      </c>
      <c r="C373" s="128">
        <v>259662273</v>
      </c>
      <c r="D373" s="128"/>
      <c r="E373" s="128">
        <v>1</v>
      </c>
      <c r="F373" s="117" t="s">
        <v>992</v>
      </c>
      <c r="G373" s="128" t="s">
        <v>198</v>
      </c>
      <c r="H373" s="218" t="s">
        <v>158</v>
      </c>
      <c r="I373" s="220" t="s">
        <v>632</v>
      </c>
      <c r="J373" s="220" t="s">
        <v>39</v>
      </c>
      <c r="K373" s="156" t="s">
        <v>993</v>
      </c>
      <c r="L373" s="227" t="s">
        <v>995</v>
      </c>
      <c r="M373" s="127">
        <v>1450000</v>
      </c>
      <c r="N373" s="127"/>
      <c r="O373" s="124">
        <v>5300000</v>
      </c>
      <c r="P373" s="124"/>
      <c r="Q373" s="124"/>
      <c r="R373" s="124"/>
      <c r="S373" s="124"/>
      <c r="T373" s="124">
        <f t="shared" si="20"/>
        <v>424000</v>
      </c>
      <c r="U373" s="150">
        <f t="shared" si="22"/>
        <v>7174000</v>
      </c>
      <c r="V373" s="117"/>
      <c r="W373" s="151" t="str">
        <f t="shared" si="23"/>
        <v xml:space="preserve">Cước vận chuyển Cát Lái - ĐỒNG PHÚ, BÌNH PHƯỚC cont: CIPU5085409 </v>
      </c>
    </row>
    <row r="374" spans="1:23" s="152" customFormat="1" ht="60" hidden="1" customHeight="1" thickBot="1" x14ac:dyDescent="0.25">
      <c r="A374" s="122"/>
      <c r="B374" s="254" t="s">
        <v>1015</v>
      </c>
      <c r="C374" s="254" t="s">
        <v>1016</v>
      </c>
      <c r="D374" s="254"/>
      <c r="E374" s="255"/>
      <c r="F374" s="256" t="s">
        <v>1017</v>
      </c>
      <c r="G374" s="260" t="s">
        <v>1018</v>
      </c>
      <c r="H374" s="259" t="s">
        <v>1020</v>
      </c>
      <c r="I374" s="128" t="s">
        <v>1021</v>
      </c>
      <c r="J374" s="220"/>
      <c r="K374" s="156"/>
      <c r="L374" s="227"/>
      <c r="M374" s="127">
        <v>0</v>
      </c>
      <c r="N374" s="127"/>
      <c r="O374" s="124">
        <v>3200000</v>
      </c>
      <c r="P374" s="124"/>
      <c r="Q374" s="124"/>
      <c r="R374" s="124"/>
      <c r="S374" s="124"/>
      <c r="T374" s="124">
        <f t="shared" si="20"/>
        <v>256000</v>
      </c>
      <c r="U374" s="150">
        <f t="shared" si="22"/>
        <v>3456000</v>
      </c>
      <c r="V374" s="117"/>
      <c r="W374" s="264" t="s">
        <v>1025</v>
      </c>
    </row>
    <row r="375" spans="1:23" s="152" customFormat="1" ht="60" hidden="1" customHeight="1" thickBot="1" x14ac:dyDescent="0.25">
      <c r="A375" s="122"/>
      <c r="B375" s="257" t="s">
        <v>1015</v>
      </c>
      <c r="C375" s="257" t="s">
        <v>1016</v>
      </c>
      <c r="D375" s="254"/>
      <c r="E375" s="255"/>
      <c r="F375" s="258" t="s">
        <v>1017</v>
      </c>
      <c r="G375" s="128" t="s">
        <v>1019</v>
      </c>
      <c r="H375" s="259" t="s">
        <v>1020</v>
      </c>
      <c r="I375" s="128" t="s">
        <v>1021</v>
      </c>
      <c r="J375" s="220"/>
      <c r="K375" s="156"/>
      <c r="L375" s="227"/>
      <c r="M375" s="127">
        <v>0</v>
      </c>
      <c r="N375" s="127"/>
      <c r="O375" s="124">
        <v>3200000</v>
      </c>
      <c r="P375" s="124"/>
      <c r="Q375" s="124"/>
      <c r="R375" s="124"/>
      <c r="S375" s="124"/>
      <c r="T375" s="124">
        <f t="shared" si="20"/>
        <v>256000</v>
      </c>
      <c r="U375" s="150">
        <f t="shared" si="22"/>
        <v>3456000</v>
      </c>
      <c r="V375" s="117"/>
      <c r="W375" s="264" t="s">
        <v>1025</v>
      </c>
    </row>
    <row r="376" spans="1:23" ht="60" hidden="1" customHeight="1" x14ac:dyDescent="0.2">
      <c r="A376" s="304" t="s">
        <v>52</v>
      </c>
      <c r="B376" s="304"/>
      <c r="C376" s="305"/>
      <c r="D376" s="233">
        <f>SUM(D18:D101)</f>
        <v>0</v>
      </c>
      <c r="E376" s="233">
        <f>SUM(E17:E373)</f>
        <v>357</v>
      </c>
      <c r="F376" s="233"/>
      <c r="G376" s="234"/>
      <c r="H376" s="235"/>
      <c r="I376" s="232"/>
      <c r="J376" s="148"/>
      <c r="K376" s="232"/>
      <c r="L376" s="188"/>
      <c r="M376" s="189">
        <f>SUM(M17:M375)</f>
        <v>529527200</v>
      </c>
      <c r="N376" s="189">
        <f>SUM(N17:N373)</f>
        <v>56800000</v>
      </c>
      <c r="O376" s="189">
        <f>SUM(O17:O375)</f>
        <v>1512780000</v>
      </c>
      <c r="P376" s="189">
        <f>SUM(P17:P375)</f>
        <v>9000000</v>
      </c>
      <c r="Q376" s="189">
        <f>SUM(Q17:Q373)</f>
        <v>0</v>
      </c>
      <c r="R376" s="189">
        <f>SUM(R18:R101)</f>
        <v>0</v>
      </c>
      <c r="S376" s="189">
        <f>SUM(S17:S375)</f>
        <v>4420000</v>
      </c>
      <c r="T376" s="189">
        <f>SUM(T17:T375)</f>
        <v>121022400</v>
      </c>
      <c r="U376" s="189">
        <f>SUM(U17:U375)</f>
        <v>2224549600</v>
      </c>
      <c r="V376" s="117"/>
      <c r="W376" s="262"/>
    </row>
    <row r="377" spans="1:23" ht="48" hidden="1" customHeight="1" x14ac:dyDescent="0.2">
      <c r="A377" s="296" t="s">
        <v>1012</v>
      </c>
      <c r="B377" s="297"/>
      <c r="C377" s="298"/>
      <c r="D377" s="205"/>
      <c r="E377" s="205"/>
      <c r="F377" s="205"/>
      <c r="G377" s="205"/>
      <c r="H377" s="154"/>
      <c r="I377" s="206"/>
      <c r="J377" s="216"/>
      <c r="K377" s="206"/>
      <c r="L377" s="236"/>
      <c r="M377" s="237"/>
      <c r="N377" s="237"/>
      <c r="O377" s="238"/>
      <c r="P377" s="238"/>
      <c r="Q377" s="206"/>
      <c r="R377" s="206"/>
      <c r="S377" s="237"/>
      <c r="T377" s="206"/>
      <c r="U377" s="206"/>
      <c r="V377" s="205"/>
    </row>
    <row r="378" spans="1:23" s="244" customFormat="1" ht="28.5" hidden="1" customHeight="1" x14ac:dyDescent="0.2">
      <c r="A378" s="203"/>
      <c r="B378" s="239"/>
      <c r="C378" s="203" t="s">
        <v>29</v>
      </c>
      <c r="D378" s="240"/>
      <c r="E378" s="240"/>
      <c r="F378" s="240">
        <f>O376+T376</f>
        <v>1633802400</v>
      </c>
      <c r="G378" s="240" t="s">
        <v>217</v>
      </c>
      <c r="H378" s="241"/>
      <c r="I378" s="165"/>
      <c r="J378" s="165"/>
      <c r="K378" s="165"/>
      <c r="L378" s="242"/>
      <c r="M378" s="243"/>
      <c r="N378" s="243"/>
      <c r="O378" s="165"/>
      <c r="P378" s="165"/>
      <c r="Q378" s="165"/>
      <c r="R378" s="165"/>
      <c r="S378" s="243"/>
      <c r="T378" s="165"/>
      <c r="U378" s="165"/>
      <c r="V378" s="196"/>
    </row>
    <row r="379" spans="1:23" ht="28.5" hidden="1" customHeight="1" x14ac:dyDescent="0.2">
      <c r="A379" s="157"/>
      <c r="B379" s="166"/>
      <c r="C379" s="165" t="s">
        <v>54</v>
      </c>
      <c r="D379" s="157"/>
      <c r="E379" s="157"/>
      <c r="F379" s="245">
        <f>M376</f>
        <v>529527200</v>
      </c>
      <c r="G379" s="245"/>
      <c r="H379" s="160"/>
      <c r="I379" s="157"/>
      <c r="J379" s="157"/>
      <c r="K379" s="157"/>
      <c r="L379" s="167"/>
      <c r="M379" s="246"/>
      <c r="N379" s="246"/>
      <c r="O379" s="157"/>
      <c r="P379" s="157"/>
      <c r="Q379" s="157"/>
      <c r="R379" s="157"/>
      <c r="S379" s="246"/>
      <c r="T379" s="157"/>
      <c r="U379" s="157"/>
      <c r="V379" s="196"/>
    </row>
    <row r="380" spans="1:23" ht="28.5" hidden="1" customHeight="1" x14ac:dyDescent="0.2">
      <c r="A380" s="157"/>
      <c r="B380" s="166"/>
      <c r="C380" s="165" t="s">
        <v>55</v>
      </c>
      <c r="D380" s="157"/>
      <c r="E380" s="157"/>
      <c r="F380" s="245">
        <f>N376</f>
        <v>56800000</v>
      </c>
      <c r="G380" s="245"/>
      <c r="H380" s="160"/>
      <c r="I380" s="157"/>
      <c r="J380" s="157"/>
      <c r="K380" s="157"/>
      <c r="L380" s="167"/>
      <c r="M380" s="246"/>
      <c r="N380" s="246"/>
      <c r="O380" s="157"/>
      <c r="P380" s="157"/>
      <c r="Q380" s="157"/>
      <c r="R380" s="157"/>
      <c r="S380" s="246"/>
      <c r="T380" s="157"/>
      <c r="U380" s="157"/>
      <c r="V380" s="196"/>
    </row>
    <row r="381" spans="1:23" ht="28.5" hidden="1" customHeight="1" x14ac:dyDescent="0.2">
      <c r="A381" s="157"/>
      <c r="B381" s="166"/>
      <c r="C381" s="165" t="s">
        <v>1024</v>
      </c>
      <c r="D381" s="157"/>
      <c r="E381" s="157"/>
      <c r="F381" s="245">
        <v>9000000</v>
      </c>
      <c r="G381" s="245"/>
      <c r="H381" s="160"/>
      <c r="I381" s="157"/>
      <c r="J381" s="157"/>
      <c r="K381" s="157"/>
      <c r="L381" s="167"/>
      <c r="M381" s="246"/>
      <c r="N381" s="246"/>
      <c r="O381" s="157"/>
      <c r="P381" s="157"/>
      <c r="Q381" s="157"/>
      <c r="R381" s="157"/>
      <c r="S381" s="246"/>
      <c r="T381" s="157"/>
      <c r="U381" s="157"/>
      <c r="V381" s="196"/>
    </row>
    <row r="382" spans="1:23" ht="28.5" hidden="1" customHeight="1" x14ac:dyDescent="0.2">
      <c r="A382" s="157"/>
      <c r="B382" s="166"/>
      <c r="C382" s="165" t="s">
        <v>604</v>
      </c>
      <c r="D382" s="157"/>
      <c r="E382" s="157"/>
      <c r="F382" s="245">
        <f>S376</f>
        <v>4420000</v>
      </c>
      <c r="G382" s="245"/>
      <c r="H382" s="160"/>
      <c r="I382" s="157"/>
      <c r="J382" s="157"/>
      <c r="K382" s="157"/>
      <c r="L382" s="167"/>
      <c r="M382" s="246"/>
      <c r="N382" s="246"/>
      <c r="O382" s="157"/>
      <c r="P382" s="157"/>
      <c r="Q382" s="157"/>
      <c r="R382" s="157"/>
      <c r="S382" s="246"/>
      <c r="T382" s="157"/>
      <c r="U382" s="157"/>
      <c r="V382" s="263"/>
    </row>
    <row r="383" spans="1:23" ht="28.5" hidden="1" customHeight="1" x14ac:dyDescent="0.2">
      <c r="A383" s="157"/>
      <c r="B383" s="166"/>
      <c r="C383" s="165" t="s">
        <v>52</v>
      </c>
      <c r="D383" s="157"/>
      <c r="E383" s="157"/>
      <c r="F383" s="245">
        <f>SUM(F378:F382)</f>
        <v>2233549600</v>
      </c>
      <c r="G383" s="245"/>
      <c r="H383" s="160"/>
      <c r="I383" s="157"/>
      <c r="J383" s="157"/>
      <c r="K383" s="157"/>
      <c r="L383" s="167"/>
      <c r="M383" s="246"/>
      <c r="N383" s="246"/>
      <c r="O383" s="157"/>
      <c r="P383" s="157"/>
      <c r="Q383" s="157"/>
      <c r="R383" s="157"/>
      <c r="S383" s="246"/>
      <c r="T383" s="157"/>
      <c r="U383" s="157"/>
      <c r="V383" s="196"/>
    </row>
    <row r="384" spans="1:23" ht="78" hidden="1" customHeight="1" x14ac:dyDescent="0.2">
      <c r="A384" s="157"/>
      <c r="B384" s="166"/>
      <c r="C384" s="261" t="s">
        <v>1022</v>
      </c>
      <c r="D384" s="157"/>
      <c r="E384" s="157"/>
      <c r="F384" s="245">
        <v>864000</v>
      </c>
      <c r="G384" s="245"/>
      <c r="H384" s="160"/>
      <c r="I384" s="157"/>
      <c r="J384" s="157"/>
      <c r="K384" s="157"/>
      <c r="L384" s="167"/>
      <c r="M384" s="246"/>
      <c r="N384" s="246"/>
      <c r="O384" s="157"/>
      <c r="P384" s="157"/>
      <c r="Q384" s="157"/>
      <c r="R384" s="157"/>
      <c r="S384" s="246"/>
      <c r="T384" s="157"/>
      <c r="U384" s="157"/>
      <c r="V384" s="196"/>
    </row>
    <row r="385" spans="1:22" ht="39.75" hidden="1" customHeight="1" x14ac:dyDescent="0.2">
      <c r="A385" s="157"/>
      <c r="B385" s="166"/>
      <c r="C385" s="165" t="s">
        <v>160</v>
      </c>
      <c r="D385" s="157"/>
      <c r="E385" s="157"/>
      <c r="F385" s="245">
        <f>F383-F384</f>
        <v>2232685600</v>
      </c>
      <c r="G385" s="245"/>
      <c r="H385" s="160"/>
      <c r="I385" s="157"/>
      <c r="J385" s="157"/>
      <c r="K385" s="157"/>
      <c r="L385" s="167"/>
      <c r="M385" s="246"/>
      <c r="N385" s="246"/>
      <c r="O385" s="157"/>
      <c r="P385" s="157"/>
      <c r="Q385" s="157"/>
      <c r="R385" s="157"/>
      <c r="S385" s="246"/>
      <c r="T385" s="157"/>
      <c r="U385" s="157"/>
      <c r="V385" s="196"/>
    </row>
    <row r="386" spans="1:22" ht="28.5" hidden="1" customHeight="1" x14ac:dyDescent="0.2">
      <c r="A386" s="289" t="s">
        <v>56</v>
      </c>
      <c r="B386" s="289"/>
      <c r="C386" s="289"/>
      <c r="D386" s="289"/>
      <c r="E386" s="289"/>
      <c r="F386" s="289"/>
      <c r="G386" s="165"/>
      <c r="H386" s="247"/>
      <c r="I386" s="248"/>
      <c r="J386" s="248"/>
      <c r="K386" s="196"/>
      <c r="L386" s="165"/>
      <c r="M386" s="165"/>
      <c r="N386" s="165"/>
      <c r="O386" s="165"/>
      <c r="P386" s="165"/>
      <c r="Q386" s="165" t="s">
        <v>57</v>
      </c>
      <c r="R386" s="165"/>
      <c r="S386" s="165"/>
      <c r="T386" s="165"/>
      <c r="U386" s="165"/>
      <c r="V386" s="196"/>
    </row>
    <row r="387" spans="1:22" ht="60" customHeight="1" x14ac:dyDescent="0.2">
      <c r="A387" s="196"/>
      <c r="B387" s="196"/>
      <c r="C387" s="196"/>
      <c r="D387" s="196"/>
      <c r="E387" s="196"/>
      <c r="F387" s="196"/>
      <c r="G387" s="196"/>
      <c r="H387" s="249"/>
      <c r="I387" s="196"/>
      <c r="J387" s="196"/>
      <c r="K387" s="196"/>
      <c r="L387" s="250"/>
      <c r="M387" s="168"/>
      <c r="N387" s="168"/>
      <c r="O387" s="196"/>
      <c r="P387" s="196"/>
      <c r="Q387" s="196"/>
      <c r="R387" s="196"/>
      <c r="S387" s="168"/>
      <c r="T387" s="196"/>
      <c r="U387" s="196"/>
      <c r="V387" s="196"/>
    </row>
    <row r="388" spans="1:22" ht="60" customHeight="1" x14ac:dyDescent="0.2">
      <c r="A388" s="196"/>
      <c r="B388" s="196"/>
      <c r="C388" s="196"/>
      <c r="D388" s="196"/>
      <c r="E388" s="196"/>
      <c r="F388" s="196"/>
      <c r="G388" s="196"/>
      <c r="H388" s="249"/>
      <c r="I388" s="196"/>
      <c r="J388" s="196"/>
      <c r="K388" s="196"/>
      <c r="L388" s="250"/>
      <c r="M388" s="168"/>
      <c r="N388" s="168"/>
      <c r="O388" s="196"/>
      <c r="P388" s="196"/>
      <c r="Q388" s="196"/>
      <c r="R388" s="196"/>
      <c r="S388" s="168"/>
      <c r="T388" s="196"/>
      <c r="U388" s="196"/>
      <c r="V388" s="196"/>
    </row>
    <row r="389" spans="1:22" ht="60" customHeight="1" x14ac:dyDescent="0.2">
      <c r="A389" s="196"/>
      <c r="B389" s="196"/>
      <c r="C389" s="196"/>
      <c r="D389" s="196"/>
      <c r="E389" s="196"/>
      <c r="F389" s="196"/>
      <c r="G389" s="196"/>
      <c r="H389" s="249"/>
      <c r="I389" s="196"/>
      <c r="J389" s="196"/>
      <c r="K389" s="196"/>
      <c r="L389" s="250"/>
      <c r="M389" s="168"/>
      <c r="N389" s="168"/>
      <c r="O389" s="196"/>
      <c r="P389" s="196"/>
      <c r="Q389" s="196"/>
      <c r="R389" s="196"/>
      <c r="S389" s="168"/>
      <c r="T389" s="196"/>
      <c r="U389" s="196"/>
      <c r="V389" s="196"/>
    </row>
    <row r="390" spans="1:22" ht="60" customHeight="1" x14ac:dyDescent="0.2">
      <c r="A390" s="196"/>
      <c r="B390" s="196"/>
      <c r="C390" s="196"/>
      <c r="D390" s="196"/>
      <c r="E390" s="196"/>
      <c r="F390" s="196"/>
      <c r="G390" s="196"/>
      <c r="H390" s="249"/>
      <c r="I390" s="196"/>
      <c r="J390" s="196"/>
      <c r="K390" s="196"/>
      <c r="L390" s="250"/>
      <c r="M390" s="168"/>
      <c r="N390" s="168"/>
      <c r="O390" s="196"/>
      <c r="P390" s="196"/>
      <c r="Q390" s="196"/>
      <c r="R390" s="196"/>
      <c r="S390" s="168"/>
      <c r="T390" s="196"/>
      <c r="U390" s="196"/>
      <c r="V390" s="196"/>
    </row>
    <row r="391" spans="1:22" ht="60" customHeight="1" x14ac:dyDescent="0.2">
      <c r="A391" s="196"/>
      <c r="B391" s="196"/>
      <c r="C391" s="196"/>
      <c r="D391" s="196"/>
      <c r="E391" s="196"/>
      <c r="F391" s="196"/>
      <c r="G391" s="196"/>
      <c r="H391" s="249"/>
      <c r="I391" s="196"/>
      <c r="J391" s="196"/>
      <c r="K391" s="196"/>
      <c r="L391" s="250"/>
      <c r="M391" s="168"/>
      <c r="N391" s="168"/>
      <c r="O391" s="196"/>
      <c r="P391" s="196"/>
      <c r="Q391" s="196"/>
      <c r="R391" s="196"/>
      <c r="S391" s="168"/>
      <c r="T391" s="196"/>
      <c r="U391" s="196"/>
      <c r="V391" s="196"/>
    </row>
    <row r="392" spans="1:22" ht="60" customHeight="1" x14ac:dyDescent="0.2">
      <c r="A392" s="196"/>
      <c r="B392" s="196"/>
      <c r="C392" s="196"/>
      <c r="D392" s="196"/>
      <c r="E392" s="196"/>
      <c r="F392" s="196"/>
      <c r="G392" s="196"/>
      <c r="H392" s="249"/>
      <c r="I392" s="196"/>
      <c r="J392" s="196"/>
      <c r="K392" s="196"/>
      <c r="L392" s="250"/>
      <c r="M392" s="168"/>
      <c r="N392" s="168"/>
      <c r="O392" s="196"/>
      <c r="P392" s="196"/>
      <c r="Q392" s="196"/>
      <c r="R392" s="196"/>
      <c r="S392" s="168"/>
      <c r="T392" s="196"/>
      <c r="U392" s="196"/>
      <c r="V392" s="196"/>
    </row>
    <row r="393" spans="1:22" ht="60" customHeight="1" x14ac:dyDescent="0.2">
      <c r="H393" s="251"/>
      <c r="J393" s="234"/>
    </row>
    <row r="394" spans="1:22" ht="60" customHeight="1" x14ac:dyDescent="0.2">
      <c r="H394" s="251"/>
      <c r="J394" s="234"/>
    </row>
    <row r="395" spans="1:22" ht="60" customHeight="1" x14ac:dyDescent="0.2">
      <c r="H395" s="251"/>
      <c r="J395" s="234"/>
    </row>
    <row r="396" spans="1:22" ht="60" customHeight="1" x14ac:dyDescent="0.2">
      <c r="H396" s="251"/>
      <c r="J396" s="234"/>
    </row>
    <row r="397" spans="1:22" ht="60" customHeight="1" x14ac:dyDescent="0.2">
      <c r="H397" s="251"/>
      <c r="J397" s="234"/>
    </row>
    <row r="398" spans="1:22" ht="60" customHeight="1" x14ac:dyDescent="0.2">
      <c r="H398" s="251"/>
      <c r="J398" s="234"/>
    </row>
    <row r="399" spans="1:22" ht="60" customHeight="1" x14ac:dyDescent="0.2">
      <c r="H399" s="251"/>
      <c r="J399" s="234"/>
    </row>
    <row r="400" spans="1:22" ht="60" customHeight="1" x14ac:dyDescent="0.2">
      <c r="H400" s="251"/>
      <c r="J400" s="234"/>
    </row>
    <row r="401" spans="8:10" ht="60" customHeight="1" x14ac:dyDescent="0.2">
      <c r="H401" s="251"/>
      <c r="J401" s="234"/>
    </row>
    <row r="402" spans="8:10" ht="60" customHeight="1" x14ac:dyDescent="0.2">
      <c r="H402" s="251"/>
      <c r="J402" s="234"/>
    </row>
    <row r="403" spans="8:10" ht="60" customHeight="1" x14ac:dyDescent="0.2">
      <c r="H403" s="251"/>
      <c r="J403" s="234"/>
    </row>
    <row r="404" spans="8:10" ht="60" customHeight="1" x14ac:dyDescent="0.2">
      <c r="H404" s="251"/>
      <c r="J404" s="234"/>
    </row>
    <row r="405" spans="8:10" ht="60" customHeight="1" x14ac:dyDescent="0.2">
      <c r="H405" s="251"/>
      <c r="J405" s="234"/>
    </row>
    <row r="406" spans="8:10" ht="60" customHeight="1" x14ac:dyDescent="0.2">
      <c r="H406" s="251"/>
      <c r="J406" s="234"/>
    </row>
    <row r="407" spans="8:10" ht="60" customHeight="1" x14ac:dyDescent="0.2">
      <c r="H407" s="251"/>
      <c r="J407" s="234"/>
    </row>
    <row r="408" spans="8:10" ht="60" customHeight="1" x14ac:dyDescent="0.2">
      <c r="H408" s="251"/>
      <c r="J408" s="234"/>
    </row>
    <row r="409" spans="8:10" ht="60" customHeight="1" x14ac:dyDescent="0.2">
      <c r="H409" s="251"/>
      <c r="J409" s="234"/>
    </row>
    <row r="410" spans="8:10" ht="60" customHeight="1" x14ac:dyDescent="0.2">
      <c r="H410" s="251"/>
      <c r="J410" s="234"/>
    </row>
    <row r="411" spans="8:10" ht="60" customHeight="1" x14ac:dyDescent="0.2">
      <c r="H411" s="251"/>
      <c r="J411" s="234"/>
    </row>
    <row r="412" spans="8:10" ht="60" customHeight="1" x14ac:dyDescent="0.2">
      <c r="H412" s="251"/>
      <c r="J412" s="234"/>
    </row>
    <row r="413" spans="8:10" ht="60" customHeight="1" x14ac:dyDescent="0.2">
      <c r="H413" s="251"/>
      <c r="J413" s="234"/>
    </row>
    <row r="414" spans="8:10" ht="60" customHeight="1" x14ac:dyDescent="0.2">
      <c r="H414" s="251"/>
      <c r="J414" s="234"/>
    </row>
    <row r="415" spans="8:10" ht="60" customHeight="1" x14ac:dyDescent="0.2">
      <c r="H415" s="251"/>
      <c r="J415" s="234"/>
    </row>
    <row r="416" spans="8:10" ht="60" customHeight="1" x14ac:dyDescent="0.2">
      <c r="H416" s="251"/>
      <c r="J416" s="234"/>
    </row>
    <row r="417" spans="8:10" ht="60" customHeight="1" x14ac:dyDescent="0.2">
      <c r="H417" s="251"/>
      <c r="J417" s="234"/>
    </row>
    <row r="418" spans="8:10" ht="60" customHeight="1" x14ac:dyDescent="0.2">
      <c r="H418" s="251"/>
      <c r="J418" s="234"/>
    </row>
    <row r="419" spans="8:10" ht="60" customHeight="1" x14ac:dyDescent="0.2">
      <c r="H419" s="251"/>
      <c r="J419" s="234"/>
    </row>
    <row r="420" spans="8:10" ht="60" customHeight="1" x14ac:dyDescent="0.2">
      <c r="H420" s="251"/>
      <c r="J420" s="234"/>
    </row>
    <row r="421" spans="8:10" ht="60" customHeight="1" x14ac:dyDescent="0.2">
      <c r="H421" s="251"/>
      <c r="J421" s="234"/>
    </row>
    <row r="422" spans="8:10" ht="60" customHeight="1" x14ac:dyDescent="0.2">
      <c r="H422" s="251"/>
      <c r="J422" s="234"/>
    </row>
    <row r="423" spans="8:10" ht="60" customHeight="1" x14ac:dyDescent="0.2">
      <c r="H423" s="251"/>
      <c r="J423" s="234"/>
    </row>
    <row r="424" spans="8:10" ht="60" customHeight="1" x14ac:dyDescent="0.2">
      <c r="H424" s="251"/>
      <c r="J424" s="234"/>
    </row>
    <row r="425" spans="8:10" ht="60" customHeight="1" x14ac:dyDescent="0.2">
      <c r="H425" s="251"/>
      <c r="J425" s="234"/>
    </row>
    <row r="426" spans="8:10" ht="60" customHeight="1" x14ac:dyDescent="0.2">
      <c r="H426" s="251"/>
      <c r="J426" s="234"/>
    </row>
    <row r="427" spans="8:10" ht="60" customHeight="1" x14ac:dyDescent="0.2">
      <c r="H427" s="251"/>
      <c r="J427" s="234"/>
    </row>
  </sheetData>
  <autoFilter ref="A15:V386" xr:uid="{00000000-0001-0000-0400-000000000000}">
    <filterColumn colId="3" showButton="0"/>
    <filterColumn colId="5">
      <filters>
        <filter val="MRSU3828567"/>
      </filters>
    </filterColumn>
    <filterColumn colId="14" showButton="0"/>
    <filterColumn colId="15" showButton="0"/>
    <filterColumn colId="16" showButton="0"/>
    <filterColumn colId="17" showButton="0"/>
    <filterColumn colId="18" showButton="0"/>
  </autoFilter>
  <mergeCells count="28">
    <mergeCell ref="U15:U16"/>
    <mergeCell ref="D15:E15"/>
    <mergeCell ref="O15:T15"/>
    <mergeCell ref="A376:C376"/>
    <mergeCell ref="N15:N16"/>
    <mergeCell ref="L15:L16"/>
    <mergeCell ref="M15:M16"/>
    <mergeCell ref="G15:G16"/>
    <mergeCell ref="H15:H16"/>
    <mergeCell ref="I15:I16"/>
    <mergeCell ref="J15:J16"/>
    <mergeCell ref="K15:K16"/>
    <mergeCell ref="A9:I9"/>
    <mergeCell ref="A8:F8"/>
    <mergeCell ref="A11:H11"/>
    <mergeCell ref="A12:K12"/>
    <mergeCell ref="A13:F13"/>
    <mergeCell ref="A2:U2"/>
    <mergeCell ref="A3:U3"/>
    <mergeCell ref="A4:U4"/>
    <mergeCell ref="A6:H6"/>
    <mergeCell ref="A7:K7"/>
    <mergeCell ref="A386:F386"/>
    <mergeCell ref="A15:A16"/>
    <mergeCell ref="B15:B16"/>
    <mergeCell ref="C15:C16"/>
    <mergeCell ref="F15:F16"/>
    <mergeCell ref="A377:C377"/>
  </mergeCells>
  <phoneticPr fontId="11" type="noConversion"/>
  <conditionalFormatting sqref="F374:F375">
    <cfRule type="duplicateValues" dxfId="5" priority="1"/>
    <cfRule type="duplicateValues" dxfId="4" priority="2"/>
  </conditionalFormatting>
  <conditionalFormatting sqref="F376:F1048576 F1:F373">
    <cfRule type="duplicateValues" dxfId="3" priority="3"/>
    <cfRule type="duplicateValues" dxfId="2" priority="6"/>
  </conditionalFormatting>
  <conditionalFormatting sqref="L1:L1048576">
    <cfRule type="duplicateValues" dxfId="1" priority="4"/>
    <cfRule type="duplicateValues" dxfId="0" priority="5"/>
  </conditionalFormatting>
  <pageMargins left="0.2" right="0.2" top="0.32" bottom="0.32" header="0.2" footer="0.2"/>
  <pageSetup paperSize="9" scale="36" fitToHeight="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EDEA-27F1-42AC-A193-164D1BDB6686}">
  <dimension ref="A1:X164"/>
  <sheetViews>
    <sheetView topLeftCell="A106" workbookViewId="0">
      <selection activeCell="B136" sqref="B136:B164"/>
    </sheetView>
  </sheetViews>
  <sheetFormatPr baseColWidth="10" defaultColWidth="8.83203125" defaultRowHeight="15" x14ac:dyDescent="0.2"/>
  <cols>
    <col min="1" max="1" width="13.6640625" customWidth="1"/>
    <col min="2" max="2" width="13.83203125" customWidth="1"/>
    <col min="3" max="3" width="12.1640625" customWidth="1"/>
    <col min="5" max="5" width="7.33203125" customWidth="1"/>
    <col min="6" max="6" width="17.83203125" customWidth="1"/>
    <col min="7" max="7" width="26.83203125" customWidth="1"/>
    <col min="8" max="8" width="7.5" customWidth="1"/>
    <col min="9" max="9" width="12.5" customWidth="1"/>
    <col min="10" max="10" width="17.1640625" customWidth="1"/>
    <col min="11" max="11" width="16.83203125" customWidth="1"/>
    <col min="12" max="12" width="19.83203125" customWidth="1"/>
    <col min="13" max="13" width="34.1640625" customWidth="1"/>
    <col min="14" max="14" width="13.5" customWidth="1"/>
    <col min="15" max="15" width="27.33203125" customWidth="1"/>
    <col min="16" max="16" width="24" customWidth="1"/>
    <col min="17" max="17" width="21.1640625" customWidth="1"/>
    <col min="18" max="18" width="23.5" customWidth="1"/>
    <col min="19" max="19" width="24.33203125" customWidth="1"/>
    <col min="23" max="23" width="18.1640625" customWidth="1"/>
    <col min="24" max="24" width="17.1640625" customWidth="1"/>
  </cols>
  <sheetData>
    <row r="1" spans="1:9" ht="17" x14ac:dyDescent="0.2">
      <c r="A1" s="131"/>
      <c r="B1" s="132"/>
      <c r="C1" s="132"/>
      <c r="D1" s="132"/>
      <c r="E1" s="133"/>
      <c r="F1" s="134"/>
      <c r="G1" s="132"/>
      <c r="H1" s="132"/>
      <c r="I1" s="135"/>
    </row>
    <row r="2" spans="1:9" ht="17" x14ac:dyDescent="0.2">
      <c r="A2" s="136"/>
      <c r="B2" s="137"/>
      <c r="C2" s="137"/>
      <c r="D2" s="137"/>
      <c r="E2" s="138"/>
      <c r="F2" s="139"/>
      <c r="G2" s="137"/>
      <c r="H2" s="137"/>
      <c r="I2" s="140"/>
    </row>
    <row r="3" spans="1:9" ht="17" x14ac:dyDescent="0.2">
      <c r="A3" s="136"/>
      <c r="B3" s="137"/>
      <c r="C3" s="137"/>
      <c r="D3" s="137"/>
      <c r="E3" s="138"/>
      <c r="F3" s="139"/>
      <c r="G3" s="137"/>
      <c r="H3" s="137"/>
      <c r="I3" s="140"/>
    </row>
    <row r="7" spans="1:9" ht="17" x14ac:dyDescent="0.2">
      <c r="A7" s="121" t="s">
        <v>273</v>
      </c>
      <c r="B7" t="str">
        <f>RIGHT(A7,3)&amp;"-"&amp;LEFT(A7,5)</f>
        <v>450-50H-2</v>
      </c>
    </row>
    <row r="8" spans="1:9" ht="17" x14ac:dyDescent="0.2">
      <c r="A8" s="121" t="s">
        <v>205</v>
      </c>
      <c r="B8" t="str">
        <f t="shared" ref="B8:B71" si="0">RIGHT(A8,3)&amp;"-"&amp;LEFT(A8,5)</f>
        <v>51D-14187</v>
      </c>
    </row>
    <row r="9" spans="1:9" ht="17" x14ac:dyDescent="0.2">
      <c r="A9" s="121" t="s">
        <v>177</v>
      </c>
      <c r="B9" t="str">
        <f t="shared" si="0"/>
        <v>641-51C-3</v>
      </c>
    </row>
    <row r="10" spans="1:9" ht="17" x14ac:dyDescent="0.2">
      <c r="A10" s="121" t="s">
        <v>190</v>
      </c>
      <c r="B10" t="str">
        <f t="shared" si="0"/>
        <v>237-51C-4</v>
      </c>
    </row>
    <row r="11" spans="1:9" ht="17" x14ac:dyDescent="0.2">
      <c r="A11" s="121" t="s">
        <v>484</v>
      </c>
      <c r="B11" t="str">
        <f t="shared" si="0"/>
        <v>513-50H-2</v>
      </c>
    </row>
    <row r="12" spans="1:9" ht="17" x14ac:dyDescent="0.2">
      <c r="A12" s="121" t="s">
        <v>214</v>
      </c>
      <c r="B12" t="str">
        <f t="shared" si="0"/>
        <v>51C-64390</v>
      </c>
    </row>
    <row r="13" spans="1:9" ht="17" x14ac:dyDescent="0.2">
      <c r="A13" s="121" t="s">
        <v>206</v>
      </c>
      <c r="B13" t="str">
        <f t="shared" si="0"/>
        <v>50E-31965</v>
      </c>
    </row>
    <row r="14" spans="1:9" ht="17" x14ac:dyDescent="0.2">
      <c r="A14" s="121" t="s">
        <v>203</v>
      </c>
      <c r="B14" t="str">
        <f t="shared" si="0"/>
        <v>50H-61118</v>
      </c>
    </row>
    <row r="15" spans="1:9" ht="17" x14ac:dyDescent="0.2">
      <c r="A15" s="121" t="s">
        <v>207</v>
      </c>
      <c r="B15" t="str">
        <f t="shared" si="0"/>
        <v>50H-05239</v>
      </c>
    </row>
    <row r="16" spans="1:9" ht="17" x14ac:dyDescent="0.2">
      <c r="A16" s="126" t="s">
        <v>212</v>
      </c>
      <c r="B16" t="str">
        <f t="shared" si="0"/>
        <v>51C-69603</v>
      </c>
    </row>
    <row r="17" spans="1:2" ht="17" x14ac:dyDescent="0.2">
      <c r="A17" s="126" t="s">
        <v>214</v>
      </c>
      <c r="B17" t="str">
        <f t="shared" si="0"/>
        <v>51C-64390</v>
      </c>
    </row>
    <row r="18" spans="1:2" ht="17" x14ac:dyDescent="0.2">
      <c r="A18" s="121" t="s">
        <v>201</v>
      </c>
      <c r="B18" t="str">
        <f t="shared" si="0"/>
        <v>50E-33511</v>
      </c>
    </row>
    <row r="19" spans="1:2" ht="17" x14ac:dyDescent="0.2">
      <c r="A19" s="121" t="s">
        <v>199</v>
      </c>
      <c r="B19" t="str">
        <f t="shared" si="0"/>
        <v>51D-11470</v>
      </c>
    </row>
    <row r="20" spans="1:2" ht="17" x14ac:dyDescent="0.2">
      <c r="A20" s="121" t="s">
        <v>210</v>
      </c>
      <c r="B20" t="str">
        <f t="shared" si="0"/>
        <v>50H-60825</v>
      </c>
    </row>
    <row r="21" spans="1:2" ht="17" x14ac:dyDescent="0.2">
      <c r="A21" s="121" t="s">
        <v>200</v>
      </c>
      <c r="B21" t="str">
        <f t="shared" si="0"/>
        <v>50H-02426</v>
      </c>
    </row>
    <row r="22" spans="1:2" ht="17" x14ac:dyDescent="0.2">
      <c r="A22" s="121" t="s">
        <v>209</v>
      </c>
      <c r="B22" t="str">
        <f t="shared" si="0"/>
        <v>50E-32983</v>
      </c>
    </row>
    <row r="23" spans="1:2" ht="17" x14ac:dyDescent="0.2">
      <c r="A23" s="121" t="s">
        <v>202</v>
      </c>
      <c r="B23" t="str">
        <f t="shared" si="0"/>
        <v>51C-59687</v>
      </c>
    </row>
    <row r="24" spans="1:2" ht="17" x14ac:dyDescent="0.2">
      <c r="A24" s="121" t="s">
        <v>209</v>
      </c>
      <c r="B24" t="str">
        <f t="shared" si="0"/>
        <v>50E-32983</v>
      </c>
    </row>
    <row r="25" spans="1:2" ht="18" x14ac:dyDescent="0.2">
      <c r="A25" s="141" t="s">
        <v>199</v>
      </c>
      <c r="B25" t="str">
        <f t="shared" si="0"/>
        <v>51D-11470</v>
      </c>
    </row>
    <row r="26" spans="1:2" ht="17" x14ac:dyDescent="0.2">
      <c r="A26" s="121" t="s">
        <v>205</v>
      </c>
      <c r="B26" t="str">
        <f t="shared" si="0"/>
        <v>51D-14187</v>
      </c>
    </row>
    <row r="27" spans="1:2" ht="17" x14ac:dyDescent="0.2">
      <c r="A27" s="121" t="s">
        <v>203</v>
      </c>
      <c r="B27" t="str">
        <f t="shared" si="0"/>
        <v>50H-61118</v>
      </c>
    </row>
    <row r="28" spans="1:2" ht="17" x14ac:dyDescent="0.2">
      <c r="A28" s="121" t="s">
        <v>200</v>
      </c>
      <c r="B28" t="str">
        <f t="shared" si="0"/>
        <v>50H-02426</v>
      </c>
    </row>
    <row r="29" spans="1:2" ht="18" x14ac:dyDescent="0.2">
      <c r="A29" s="141" t="s">
        <v>210</v>
      </c>
      <c r="B29" t="str">
        <f t="shared" si="0"/>
        <v>50H-60825</v>
      </c>
    </row>
    <row r="30" spans="1:2" ht="17" x14ac:dyDescent="0.2">
      <c r="A30" s="121" t="s">
        <v>207</v>
      </c>
      <c r="B30" t="str">
        <f t="shared" si="0"/>
        <v>50H-05239</v>
      </c>
    </row>
    <row r="31" spans="1:2" ht="17" x14ac:dyDescent="0.2">
      <c r="A31" s="121" t="s">
        <v>198</v>
      </c>
      <c r="B31" t="str">
        <f t="shared" si="0"/>
        <v>51D-14138</v>
      </c>
    </row>
    <row r="32" spans="1:2" ht="17" x14ac:dyDescent="0.2">
      <c r="A32" s="121" t="s">
        <v>209</v>
      </c>
      <c r="B32" t="str">
        <f t="shared" si="0"/>
        <v>50E-32983</v>
      </c>
    </row>
    <row r="33" spans="1:24" ht="17" x14ac:dyDescent="0.2">
      <c r="A33" s="121" t="s">
        <v>210</v>
      </c>
      <c r="B33" t="str">
        <f t="shared" si="0"/>
        <v>50H-60825</v>
      </c>
    </row>
    <row r="34" spans="1:24" ht="17" x14ac:dyDescent="0.2">
      <c r="A34" s="121" t="s">
        <v>199</v>
      </c>
      <c r="B34" t="str">
        <f t="shared" si="0"/>
        <v>51D-11470</v>
      </c>
    </row>
    <row r="35" spans="1:24" ht="17" x14ac:dyDescent="0.2">
      <c r="A35" s="121" t="s">
        <v>203</v>
      </c>
      <c r="B35" t="str">
        <f t="shared" si="0"/>
        <v>50H-61118</v>
      </c>
    </row>
    <row r="36" spans="1:24" ht="17" x14ac:dyDescent="0.2">
      <c r="A36" s="121" t="s">
        <v>208</v>
      </c>
      <c r="B36" t="str">
        <f t="shared" si="0"/>
        <v>50H-61025</v>
      </c>
    </row>
    <row r="37" spans="1:24" ht="17" x14ac:dyDescent="0.2">
      <c r="A37" s="121" t="s">
        <v>233</v>
      </c>
      <c r="B37" t="str">
        <f t="shared" si="0"/>
        <v>51C-49237</v>
      </c>
    </row>
    <row r="38" spans="1:24" ht="67.5" customHeight="1" x14ac:dyDescent="0.2">
      <c r="A38" s="121" t="s">
        <v>207</v>
      </c>
      <c r="B38" t="str">
        <f t="shared" si="0"/>
        <v>50H-05239</v>
      </c>
      <c r="E38" s="122"/>
      <c r="F38" s="125"/>
      <c r="G38" s="121"/>
      <c r="H38" s="115"/>
      <c r="I38" s="119"/>
      <c r="J38" s="121"/>
      <c r="K38" s="121"/>
      <c r="L38" s="117"/>
      <c r="M38" s="116"/>
      <c r="N38" s="128"/>
      <c r="O38" s="121"/>
      <c r="P38" s="120"/>
      <c r="Q38" s="123"/>
      <c r="R38" s="127"/>
      <c r="S38" s="124"/>
      <c r="T38" s="130"/>
      <c r="U38" s="130"/>
      <c r="V38" s="129"/>
      <c r="W38" s="118"/>
      <c r="X38" s="143"/>
    </row>
    <row r="39" spans="1:24" ht="67.5" customHeight="1" x14ac:dyDescent="0.2">
      <c r="A39" s="121" t="s">
        <v>208</v>
      </c>
      <c r="B39" t="str">
        <f t="shared" si="0"/>
        <v>50H-61025</v>
      </c>
      <c r="E39" s="122"/>
      <c r="F39" s="125"/>
      <c r="G39" s="121"/>
      <c r="H39" s="115"/>
      <c r="I39" s="119"/>
      <c r="J39" s="121"/>
      <c r="K39" s="121"/>
      <c r="L39" s="117"/>
      <c r="M39" s="116"/>
      <c r="N39" s="128"/>
      <c r="O39" s="121"/>
      <c r="P39" s="120"/>
      <c r="Q39" s="123"/>
      <c r="R39" s="127"/>
      <c r="S39" s="124"/>
      <c r="T39" s="130"/>
      <c r="U39" s="130"/>
      <c r="V39" s="129"/>
      <c r="W39" s="118"/>
      <c r="X39" s="143"/>
    </row>
    <row r="40" spans="1:24" ht="67.5" customHeight="1" x14ac:dyDescent="0.2">
      <c r="A40" s="121" t="s">
        <v>210</v>
      </c>
      <c r="B40" t="str">
        <f t="shared" si="0"/>
        <v>50H-60825</v>
      </c>
      <c r="E40" s="122"/>
      <c r="F40" s="125"/>
      <c r="G40" s="121"/>
      <c r="H40" s="115"/>
      <c r="I40" s="119"/>
      <c r="J40" s="121"/>
      <c r="K40" s="121"/>
      <c r="L40" s="117"/>
      <c r="M40" s="116"/>
      <c r="N40" s="128"/>
      <c r="O40" s="121"/>
      <c r="P40" s="120"/>
      <c r="Q40" s="123"/>
      <c r="R40" s="127"/>
      <c r="S40" s="124"/>
      <c r="T40" s="130"/>
      <c r="U40" s="130"/>
      <c r="V40" s="129"/>
      <c r="W40" s="118"/>
      <c r="X40" s="143"/>
    </row>
    <row r="41" spans="1:24" ht="17" x14ac:dyDescent="0.2">
      <c r="A41" s="126" t="s">
        <v>211</v>
      </c>
      <c r="B41" t="str">
        <f t="shared" si="0"/>
        <v>50H-61485</v>
      </c>
    </row>
    <row r="42" spans="1:24" ht="17" x14ac:dyDescent="0.2">
      <c r="A42" s="121" t="s">
        <v>213</v>
      </c>
      <c r="B42" t="str">
        <f t="shared" si="0"/>
        <v>51C-54560</v>
      </c>
    </row>
    <row r="43" spans="1:24" ht="17" x14ac:dyDescent="0.2">
      <c r="A43" s="121" t="s">
        <v>199</v>
      </c>
      <c r="B43" t="str">
        <f t="shared" si="0"/>
        <v>51D-11470</v>
      </c>
    </row>
    <row r="44" spans="1:24" ht="17" x14ac:dyDescent="0.2">
      <c r="A44" s="121" t="s">
        <v>209</v>
      </c>
      <c r="B44" t="str">
        <f t="shared" si="0"/>
        <v>50E-32983</v>
      </c>
    </row>
    <row r="45" spans="1:24" ht="17" x14ac:dyDescent="0.2">
      <c r="A45" s="121" t="s">
        <v>201</v>
      </c>
      <c r="B45" t="str">
        <f t="shared" si="0"/>
        <v>50E-33511</v>
      </c>
    </row>
    <row r="46" spans="1:24" ht="17" x14ac:dyDescent="0.2">
      <c r="A46" s="121" t="s">
        <v>233</v>
      </c>
      <c r="B46" t="str">
        <f t="shared" si="0"/>
        <v>51C-49237</v>
      </c>
    </row>
    <row r="47" spans="1:24" ht="17" x14ac:dyDescent="0.2">
      <c r="A47" s="126" t="s">
        <v>214</v>
      </c>
      <c r="B47" t="str">
        <f t="shared" si="0"/>
        <v>51C-64390</v>
      </c>
    </row>
    <row r="48" spans="1:24" ht="17" x14ac:dyDescent="0.2">
      <c r="A48" s="121" t="s">
        <v>206</v>
      </c>
      <c r="B48" t="str">
        <f t="shared" si="0"/>
        <v>50E-31965</v>
      </c>
    </row>
    <row r="49" spans="1:6" ht="17" x14ac:dyDescent="0.2">
      <c r="A49" s="121" t="s">
        <v>205</v>
      </c>
      <c r="B49" t="str">
        <f t="shared" si="0"/>
        <v>51D-14187</v>
      </c>
    </row>
    <row r="50" spans="1:6" ht="18" x14ac:dyDescent="0.2">
      <c r="A50" s="144" t="s">
        <v>198</v>
      </c>
      <c r="B50" t="str">
        <f t="shared" si="0"/>
        <v>51D-14138</v>
      </c>
    </row>
    <row r="51" spans="1:6" ht="17" x14ac:dyDescent="0.2">
      <c r="A51" s="126" t="s">
        <v>258</v>
      </c>
      <c r="B51" t="str">
        <f t="shared" si="0"/>
        <v>50E-32702</v>
      </c>
    </row>
    <row r="52" spans="1:6" ht="17" x14ac:dyDescent="0.2">
      <c r="A52" s="121" t="s">
        <v>258</v>
      </c>
      <c r="B52" t="str">
        <f t="shared" si="0"/>
        <v>50E-32702</v>
      </c>
    </row>
    <row r="53" spans="1:6" ht="17" x14ac:dyDescent="0.2">
      <c r="A53" s="121" t="s">
        <v>213</v>
      </c>
      <c r="B53" t="str">
        <f t="shared" si="0"/>
        <v>51C-54560</v>
      </c>
    </row>
    <row r="54" spans="1:6" ht="17" x14ac:dyDescent="0.2">
      <c r="A54" s="121" t="s">
        <v>203</v>
      </c>
      <c r="B54" t="str">
        <f t="shared" si="0"/>
        <v>50H-61118</v>
      </c>
    </row>
    <row r="55" spans="1:6" ht="17" x14ac:dyDescent="0.2">
      <c r="A55" s="121" t="s">
        <v>206</v>
      </c>
      <c r="B55" t="str">
        <f t="shared" si="0"/>
        <v>50E-31965</v>
      </c>
    </row>
    <row r="56" spans="1:6" ht="17" x14ac:dyDescent="0.2">
      <c r="A56" s="121" t="s">
        <v>207</v>
      </c>
      <c r="B56" t="str">
        <f t="shared" si="0"/>
        <v>50H-05239</v>
      </c>
    </row>
    <row r="57" spans="1:6" ht="17" x14ac:dyDescent="0.2">
      <c r="A57" s="121" t="s">
        <v>199</v>
      </c>
      <c r="B57" t="str">
        <f t="shared" si="0"/>
        <v>51D-11470</v>
      </c>
    </row>
    <row r="58" spans="1:6" ht="17" x14ac:dyDescent="0.2">
      <c r="A58" s="121" t="s">
        <v>258</v>
      </c>
      <c r="B58" t="str">
        <f t="shared" si="0"/>
        <v>50E-32702</v>
      </c>
    </row>
    <row r="59" spans="1:6" ht="17" x14ac:dyDescent="0.2">
      <c r="A59" s="121" t="s">
        <v>211</v>
      </c>
      <c r="B59" t="str">
        <f t="shared" si="0"/>
        <v>50H-61485</v>
      </c>
    </row>
    <row r="60" spans="1:6" ht="17" x14ac:dyDescent="0.2">
      <c r="A60" s="121" t="s">
        <v>209</v>
      </c>
      <c r="B60" t="str">
        <f t="shared" si="0"/>
        <v>50E-32983</v>
      </c>
    </row>
    <row r="61" spans="1:6" ht="17" x14ac:dyDescent="0.2">
      <c r="A61" s="121" t="s">
        <v>212</v>
      </c>
      <c r="B61" t="str">
        <f t="shared" si="0"/>
        <v>51C-69603</v>
      </c>
      <c r="F61" t="s">
        <v>571</v>
      </c>
    </row>
    <row r="62" spans="1:6" ht="17" x14ac:dyDescent="0.2">
      <c r="A62" s="121" t="s">
        <v>203</v>
      </c>
      <c r="B62" t="str">
        <f t="shared" si="0"/>
        <v>50H-61118</v>
      </c>
    </row>
    <row r="63" spans="1:6" ht="17" x14ac:dyDescent="0.2">
      <c r="A63" s="121" t="s">
        <v>213</v>
      </c>
      <c r="B63" t="str">
        <f t="shared" si="0"/>
        <v>51C-54560</v>
      </c>
    </row>
    <row r="64" spans="1:6" ht="17" x14ac:dyDescent="0.2">
      <c r="A64" s="121" t="s">
        <v>209</v>
      </c>
      <c r="B64" t="str">
        <f t="shared" si="0"/>
        <v>50E-32983</v>
      </c>
    </row>
    <row r="65" spans="1:2" ht="17" x14ac:dyDescent="0.2">
      <c r="A65" s="121" t="s">
        <v>210</v>
      </c>
      <c r="B65" t="str">
        <f t="shared" si="0"/>
        <v>50H-60825</v>
      </c>
    </row>
    <row r="66" spans="1:2" ht="17" x14ac:dyDescent="0.2">
      <c r="A66" s="121" t="s">
        <v>214</v>
      </c>
      <c r="B66" t="str">
        <f t="shared" si="0"/>
        <v>51C-64390</v>
      </c>
    </row>
    <row r="67" spans="1:2" ht="17" x14ac:dyDescent="0.2">
      <c r="A67" s="121" t="s">
        <v>206</v>
      </c>
      <c r="B67" t="str">
        <f t="shared" si="0"/>
        <v>50E-31965</v>
      </c>
    </row>
    <row r="68" spans="1:2" ht="17" x14ac:dyDescent="0.2">
      <c r="A68" s="121" t="s">
        <v>214</v>
      </c>
      <c r="B68" t="str">
        <f t="shared" si="0"/>
        <v>51C-64390</v>
      </c>
    </row>
    <row r="69" spans="1:2" ht="17" x14ac:dyDescent="0.2">
      <c r="A69" s="121" t="s">
        <v>258</v>
      </c>
      <c r="B69" t="str">
        <f t="shared" si="0"/>
        <v>50E-32702</v>
      </c>
    </row>
    <row r="70" spans="1:2" ht="17" x14ac:dyDescent="0.2">
      <c r="A70" s="121" t="s">
        <v>629</v>
      </c>
      <c r="B70" t="str">
        <f t="shared" si="0"/>
        <v>50H-03900</v>
      </c>
    </row>
    <row r="71" spans="1:2" ht="18" x14ac:dyDescent="0.2">
      <c r="A71" s="141" t="s">
        <v>199</v>
      </c>
      <c r="B71" t="str">
        <f t="shared" si="0"/>
        <v>51D-11470</v>
      </c>
    </row>
    <row r="72" spans="1:2" ht="17" x14ac:dyDescent="0.2">
      <c r="A72" s="121" t="s">
        <v>200</v>
      </c>
      <c r="B72" t="str">
        <f t="shared" ref="B72:B135" si="1">RIGHT(A72,3)&amp;"-"&amp;LEFT(A72,5)</f>
        <v>50H-02426</v>
      </c>
    </row>
    <row r="73" spans="1:2" ht="17" x14ac:dyDescent="0.2">
      <c r="A73" s="121" t="s">
        <v>209</v>
      </c>
      <c r="B73" t="str">
        <f t="shared" si="1"/>
        <v>50E-32983</v>
      </c>
    </row>
    <row r="74" spans="1:2" ht="17" x14ac:dyDescent="0.2">
      <c r="A74" s="121" t="s">
        <v>205</v>
      </c>
      <c r="B74" t="str">
        <f t="shared" si="1"/>
        <v>51D-14187</v>
      </c>
    </row>
    <row r="75" spans="1:2" ht="17" x14ac:dyDescent="0.2">
      <c r="A75" s="121" t="s">
        <v>212</v>
      </c>
      <c r="B75" t="str">
        <f t="shared" si="1"/>
        <v>51C-69603</v>
      </c>
    </row>
    <row r="76" spans="1:2" ht="17" x14ac:dyDescent="0.2">
      <c r="A76" s="121" t="s">
        <v>201</v>
      </c>
      <c r="B76" t="str">
        <f t="shared" si="1"/>
        <v>50E-33511</v>
      </c>
    </row>
    <row r="77" spans="1:2" ht="17" x14ac:dyDescent="0.2">
      <c r="A77" s="121" t="s">
        <v>214</v>
      </c>
      <c r="B77" t="str">
        <f t="shared" si="1"/>
        <v>51C-64390</v>
      </c>
    </row>
    <row r="78" spans="1:2" ht="17" x14ac:dyDescent="0.2">
      <c r="A78" s="121" t="s">
        <v>206</v>
      </c>
      <c r="B78" t="str">
        <f t="shared" si="1"/>
        <v>50E-31965</v>
      </c>
    </row>
    <row r="79" spans="1:2" ht="17" x14ac:dyDescent="0.2">
      <c r="A79" s="121" t="s">
        <v>210</v>
      </c>
      <c r="B79" t="str">
        <f t="shared" si="1"/>
        <v>50H-60825</v>
      </c>
    </row>
    <row r="80" spans="1:2" ht="17" x14ac:dyDescent="0.2">
      <c r="A80" s="121" t="s">
        <v>258</v>
      </c>
      <c r="B80" t="str">
        <f t="shared" si="1"/>
        <v>50E-32702</v>
      </c>
    </row>
    <row r="81" spans="1:2" ht="17" x14ac:dyDescent="0.2">
      <c r="A81" s="121" t="s">
        <v>203</v>
      </c>
      <c r="B81" t="str">
        <f t="shared" si="1"/>
        <v>50H-61118</v>
      </c>
    </row>
    <row r="82" spans="1:2" ht="17" x14ac:dyDescent="0.2">
      <c r="A82" s="121" t="s">
        <v>200</v>
      </c>
      <c r="B82" t="str">
        <f t="shared" si="1"/>
        <v>50H-02426</v>
      </c>
    </row>
    <row r="83" spans="1:2" ht="17" x14ac:dyDescent="0.2">
      <c r="A83" s="121" t="s">
        <v>207</v>
      </c>
      <c r="B83" t="str">
        <f t="shared" si="1"/>
        <v>50H-05239</v>
      </c>
    </row>
    <row r="84" spans="1:2" ht="18" x14ac:dyDescent="0.2">
      <c r="A84" s="141" t="s">
        <v>212</v>
      </c>
      <c r="B84" t="str">
        <f t="shared" si="1"/>
        <v>51C-69603</v>
      </c>
    </row>
    <row r="85" spans="1:2" ht="17" x14ac:dyDescent="0.2">
      <c r="A85" s="121" t="s">
        <v>208</v>
      </c>
      <c r="B85" t="str">
        <f t="shared" si="1"/>
        <v>50H-61025</v>
      </c>
    </row>
    <row r="86" spans="1:2" ht="18" x14ac:dyDescent="0.2">
      <c r="A86" s="141" t="s">
        <v>209</v>
      </c>
      <c r="B86" t="str">
        <f t="shared" si="1"/>
        <v>50E-32983</v>
      </c>
    </row>
    <row r="87" spans="1:2" ht="17" x14ac:dyDescent="0.2">
      <c r="A87" s="121" t="s">
        <v>200</v>
      </c>
      <c r="B87" t="str">
        <f t="shared" si="1"/>
        <v>50H-02426</v>
      </c>
    </row>
    <row r="88" spans="1:2" ht="18" x14ac:dyDescent="0.2">
      <c r="A88" s="141" t="s">
        <v>212</v>
      </c>
      <c r="B88" t="str">
        <f t="shared" si="1"/>
        <v>51C-69603</v>
      </c>
    </row>
    <row r="89" spans="1:2" ht="17" x14ac:dyDescent="0.2">
      <c r="A89" s="121" t="s">
        <v>207</v>
      </c>
      <c r="B89" t="str">
        <f t="shared" si="1"/>
        <v>50H-05239</v>
      </c>
    </row>
    <row r="90" spans="1:2" ht="18" x14ac:dyDescent="0.2">
      <c r="A90" s="141" t="s">
        <v>209</v>
      </c>
      <c r="B90" t="str">
        <f t="shared" si="1"/>
        <v>50E-32983</v>
      </c>
    </row>
    <row r="91" spans="1:2" ht="17" x14ac:dyDescent="0.2">
      <c r="A91" s="126" t="s">
        <v>208</v>
      </c>
      <c r="B91" t="str">
        <f t="shared" si="1"/>
        <v>50H-61025</v>
      </c>
    </row>
    <row r="92" spans="1:2" ht="17" x14ac:dyDescent="0.2">
      <c r="A92" s="121" t="s">
        <v>203</v>
      </c>
      <c r="B92" t="str">
        <f t="shared" si="1"/>
        <v>50H-61118</v>
      </c>
    </row>
    <row r="93" spans="1:2" ht="17" x14ac:dyDescent="0.2">
      <c r="A93" s="121" t="s">
        <v>201</v>
      </c>
      <c r="B93" t="str">
        <f t="shared" si="1"/>
        <v>50E-33511</v>
      </c>
    </row>
    <row r="94" spans="1:2" ht="18" x14ac:dyDescent="0.2">
      <c r="A94" s="141" t="s">
        <v>205</v>
      </c>
      <c r="B94" t="str">
        <f t="shared" si="1"/>
        <v>51D-14187</v>
      </c>
    </row>
    <row r="95" spans="1:2" ht="17" x14ac:dyDescent="0.2">
      <c r="A95" s="121" t="s">
        <v>215</v>
      </c>
      <c r="B95" t="str">
        <f t="shared" si="1"/>
        <v>51D-63673</v>
      </c>
    </row>
    <row r="96" spans="1:2" ht="17" x14ac:dyDescent="0.2">
      <c r="A96" s="121" t="s">
        <v>214</v>
      </c>
      <c r="B96" t="str">
        <f t="shared" si="1"/>
        <v>51C-64390</v>
      </c>
    </row>
    <row r="97" spans="1:2" ht="18" x14ac:dyDescent="0.2">
      <c r="A97" s="141" t="s">
        <v>351</v>
      </c>
      <c r="B97" t="str">
        <f t="shared" si="1"/>
        <v>51C-59658</v>
      </c>
    </row>
    <row r="98" spans="1:2" ht="17" x14ac:dyDescent="0.2">
      <c r="A98" s="121" t="s">
        <v>233</v>
      </c>
      <c r="B98" t="str">
        <f t="shared" si="1"/>
        <v>51C-49237</v>
      </c>
    </row>
    <row r="99" spans="1:2" ht="17" x14ac:dyDescent="0.2">
      <c r="A99" s="121" t="s">
        <v>213</v>
      </c>
      <c r="B99" t="str">
        <f t="shared" si="1"/>
        <v>51C-54560</v>
      </c>
    </row>
    <row r="100" spans="1:2" ht="17" x14ac:dyDescent="0.2">
      <c r="A100" s="121" t="s">
        <v>198</v>
      </c>
      <c r="B100" t="str">
        <f t="shared" si="1"/>
        <v>51D-14138</v>
      </c>
    </row>
    <row r="101" spans="1:2" ht="17" x14ac:dyDescent="0.2">
      <c r="A101" s="121" t="s">
        <v>210</v>
      </c>
      <c r="B101" t="str">
        <f t="shared" si="1"/>
        <v>50H-60825</v>
      </c>
    </row>
    <row r="102" spans="1:2" ht="17" x14ac:dyDescent="0.2">
      <c r="A102" s="121" t="s">
        <v>200</v>
      </c>
      <c r="B102" t="str">
        <f t="shared" si="1"/>
        <v>50H-02426</v>
      </c>
    </row>
    <row r="103" spans="1:2" ht="18" x14ac:dyDescent="0.2">
      <c r="A103" s="141" t="s">
        <v>258</v>
      </c>
      <c r="B103" t="str">
        <f t="shared" si="1"/>
        <v>50E-32702</v>
      </c>
    </row>
    <row r="104" spans="1:2" ht="17" x14ac:dyDescent="0.2">
      <c r="A104" s="121" t="s">
        <v>206</v>
      </c>
      <c r="B104" t="str">
        <f t="shared" si="1"/>
        <v>50E-31965</v>
      </c>
    </row>
    <row r="105" spans="1:2" ht="17" x14ac:dyDescent="0.2">
      <c r="A105" s="126" t="s">
        <v>629</v>
      </c>
      <c r="B105" t="str">
        <f t="shared" si="1"/>
        <v>50H-03900</v>
      </c>
    </row>
    <row r="106" spans="1:2" ht="18" x14ac:dyDescent="0.2">
      <c r="A106" s="141" t="s">
        <v>212</v>
      </c>
      <c r="B106" t="str">
        <f t="shared" si="1"/>
        <v>51C-69603</v>
      </c>
    </row>
    <row r="107" spans="1:2" ht="17" x14ac:dyDescent="0.2">
      <c r="A107" s="121" t="s">
        <v>202</v>
      </c>
      <c r="B107" t="str">
        <f t="shared" si="1"/>
        <v>51C-59687</v>
      </c>
    </row>
    <row r="108" spans="1:2" ht="17" x14ac:dyDescent="0.2">
      <c r="A108" s="121" t="s">
        <v>215</v>
      </c>
      <c r="B108" t="str">
        <f t="shared" si="1"/>
        <v>51D-63673</v>
      </c>
    </row>
    <row r="109" spans="1:2" ht="17" x14ac:dyDescent="0.2">
      <c r="A109" s="121" t="s">
        <v>214</v>
      </c>
      <c r="B109" t="str">
        <f t="shared" si="1"/>
        <v>51C-64390</v>
      </c>
    </row>
    <row r="110" spans="1:2" ht="17" x14ac:dyDescent="0.2">
      <c r="A110" s="121" t="s">
        <v>202</v>
      </c>
      <c r="B110" t="str">
        <f t="shared" si="1"/>
        <v>51C-59687</v>
      </c>
    </row>
    <row r="111" spans="1:2" ht="17" x14ac:dyDescent="0.2">
      <c r="A111" s="121" t="s">
        <v>214</v>
      </c>
      <c r="B111" t="str">
        <f t="shared" si="1"/>
        <v>51C-64390</v>
      </c>
    </row>
    <row r="112" spans="1:2" ht="17" x14ac:dyDescent="0.2">
      <c r="A112" s="121" t="s">
        <v>215</v>
      </c>
      <c r="B112" t="str">
        <f t="shared" si="1"/>
        <v>51D-63673</v>
      </c>
    </row>
    <row r="113" spans="1:2" ht="17" x14ac:dyDescent="0.2">
      <c r="A113" s="121" t="s">
        <v>258</v>
      </c>
      <c r="B113" t="str">
        <f t="shared" si="1"/>
        <v>50E-32702</v>
      </c>
    </row>
    <row r="114" spans="1:2" ht="17" x14ac:dyDescent="0.2">
      <c r="A114" s="121" t="s">
        <v>629</v>
      </c>
      <c r="B114" t="str">
        <f t="shared" si="1"/>
        <v>50H-03900</v>
      </c>
    </row>
    <row r="115" spans="1:2" ht="18" x14ac:dyDescent="0.2">
      <c r="A115" s="141" t="s">
        <v>212</v>
      </c>
      <c r="B115" t="str">
        <f t="shared" si="1"/>
        <v>51C-69603</v>
      </c>
    </row>
    <row r="116" spans="1:2" ht="17" x14ac:dyDescent="0.2">
      <c r="A116" s="121" t="s">
        <v>202</v>
      </c>
      <c r="B116" t="str">
        <f t="shared" si="1"/>
        <v>51C-59687</v>
      </c>
    </row>
    <row r="117" spans="1:2" ht="17" x14ac:dyDescent="0.2">
      <c r="A117" s="121" t="s">
        <v>215</v>
      </c>
      <c r="B117" t="str">
        <f t="shared" si="1"/>
        <v>51D-63673</v>
      </c>
    </row>
    <row r="118" spans="1:2" ht="17" x14ac:dyDescent="0.2">
      <c r="A118" s="121" t="s">
        <v>214</v>
      </c>
      <c r="B118" t="str">
        <f t="shared" si="1"/>
        <v>51C-64390</v>
      </c>
    </row>
    <row r="119" spans="1:2" ht="17" x14ac:dyDescent="0.2">
      <c r="A119" s="121" t="s">
        <v>202</v>
      </c>
      <c r="B119" t="str">
        <f t="shared" si="1"/>
        <v>51C-59687</v>
      </c>
    </row>
    <row r="120" spans="1:2" ht="17" x14ac:dyDescent="0.2">
      <c r="A120" s="121" t="s">
        <v>214</v>
      </c>
      <c r="B120" t="str">
        <f t="shared" si="1"/>
        <v>51C-64390</v>
      </c>
    </row>
    <row r="121" spans="1:2" ht="17" x14ac:dyDescent="0.2">
      <c r="A121" s="121" t="s">
        <v>215</v>
      </c>
      <c r="B121" t="str">
        <f t="shared" si="1"/>
        <v>51D-63673</v>
      </c>
    </row>
    <row r="122" spans="1:2" ht="17" x14ac:dyDescent="0.2">
      <c r="A122" s="121" t="s">
        <v>258</v>
      </c>
      <c r="B122" t="str">
        <f t="shared" si="1"/>
        <v>50E-32702</v>
      </c>
    </row>
    <row r="123" spans="1:2" ht="17" x14ac:dyDescent="0.2">
      <c r="A123" s="121" t="s">
        <v>629</v>
      </c>
      <c r="B123" t="str">
        <f t="shared" si="1"/>
        <v>50H-03900</v>
      </c>
    </row>
    <row r="124" spans="1:2" ht="17" x14ac:dyDescent="0.2">
      <c r="A124" s="121" t="s">
        <v>725</v>
      </c>
      <c r="B124" t="str">
        <f t="shared" si="1"/>
        <v>191-51D-0</v>
      </c>
    </row>
    <row r="125" spans="1:2" ht="17" x14ac:dyDescent="0.2">
      <c r="A125" s="145" t="s">
        <v>727</v>
      </c>
      <c r="B125" t="str">
        <f t="shared" si="1"/>
        <v>877-50E-3</v>
      </c>
    </row>
    <row r="126" spans="1:2" ht="17" x14ac:dyDescent="0.2">
      <c r="A126" s="142" t="s">
        <v>212</v>
      </c>
      <c r="B126" t="str">
        <f t="shared" si="1"/>
        <v>51C-69603</v>
      </c>
    </row>
    <row r="127" spans="1:2" ht="17" x14ac:dyDescent="0.2">
      <c r="A127" s="121" t="s">
        <v>206</v>
      </c>
      <c r="B127" t="str">
        <f t="shared" si="1"/>
        <v>50E-31965</v>
      </c>
    </row>
    <row r="128" spans="1:2" ht="17" x14ac:dyDescent="0.2">
      <c r="A128" s="121" t="s">
        <v>213</v>
      </c>
      <c r="B128" t="str">
        <f t="shared" si="1"/>
        <v>51C-54560</v>
      </c>
    </row>
    <row r="129" spans="1:2" ht="17" x14ac:dyDescent="0.2">
      <c r="A129" s="121" t="s">
        <v>214</v>
      </c>
      <c r="B129" t="str">
        <f t="shared" si="1"/>
        <v>51C-64390</v>
      </c>
    </row>
    <row r="130" spans="1:2" ht="18" x14ac:dyDescent="0.2">
      <c r="A130" s="141" t="s">
        <v>200</v>
      </c>
      <c r="B130" t="str">
        <f t="shared" si="1"/>
        <v>50H-02426</v>
      </c>
    </row>
    <row r="131" spans="1:2" ht="17" x14ac:dyDescent="0.2">
      <c r="A131" s="121" t="s">
        <v>221</v>
      </c>
      <c r="B131" t="str">
        <f t="shared" si="1"/>
        <v>51C-47877</v>
      </c>
    </row>
    <row r="132" spans="1:2" ht="17" x14ac:dyDescent="0.2">
      <c r="A132" s="121" t="s">
        <v>206</v>
      </c>
      <c r="B132" t="str">
        <f t="shared" si="1"/>
        <v>50E-31965</v>
      </c>
    </row>
    <row r="133" spans="1:2" ht="17" x14ac:dyDescent="0.2">
      <c r="A133" s="121" t="s">
        <v>205</v>
      </c>
      <c r="B133" t="str">
        <f t="shared" si="1"/>
        <v>51D-14187</v>
      </c>
    </row>
    <row r="134" spans="1:2" ht="17" x14ac:dyDescent="0.2">
      <c r="A134" s="121" t="s">
        <v>198</v>
      </c>
      <c r="B134" t="str">
        <f t="shared" si="1"/>
        <v>51D-14138</v>
      </c>
    </row>
    <row r="135" spans="1:2" ht="17" x14ac:dyDescent="0.2">
      <c r="A135" s="121" t="s">
        <v>202</v>
      </c>
      <c r="B135" t="str">
        <f t="shared" si="1"/>
        <v>51C-59687</v>
      </c>
    </row>
    <row r="136" spans="1:2" ht="18" x14ac:dyDescent="0.2">
      <c r="A136" s="141" t="s">
        <v>200</v>
      </c>
      <c r="B136" t="str">
        <f t="shared" ref="B136:B164" si="2">RIGHT(A136,3)&amp;"-"&amp;LEFT(A136,5)</f>
        <v>50H-02426</v>
      </c>
    </row>
    <row r="137" spans="1:2" ht="18" x14ac:dyDescent="0.2">
      <c r="A137" s="144" t="s">
        <v>209</v>
      </c>
      <c r="B137" t="str">
        <f t="shared" si="2"/>
        <v>50E-32983</v>
      </c>
    </row>
    <row r="138" spans="1:2" ht="18" x14ac:dyDescent="0.2">
      <c r="A138" s="141" t="s">
        <v>208</v>
      </c>
      <c r="B138" t="str">
        <f t="shared" si="2"/>
        <v>50H-61025</v>
      </c>
    </row>
    <row r="139" spans="1:2" ht="17" x14ac:dyDescent="0.2">
      <c r="A139" s="121" t="s">
        <v>207</v>
      </c>
      <c r="B139" t="str">
        <f t="shared" si="2"/>
        <v>50H-05239</v>
      </c>
    </row>
    <row r="140" spans="1:2" ht="18" x14ac:dyDescent="0.2">
      <c r="A140" s="144" t="s">
        <v>233</v>
      </c>
      <c r="B140" t="str">
        <f t="shared" si="2"/>
        <v>51C-49237</v>
      </c>
    </row>
    <row r="141" spans="1:2" ht="17" x14ac:dyDescent="0.2">
      <c r="A141" s="121" t="s">
        <v>200</v>
      </c>
      <c r="B141" t="str">
        <f t="shared" si="2"/>
        <v>50H-02426</v>
      </c>
    </row>
    <row r="142" spans="1:2" ht="17" x14ac:dyDescent="0.2">
      <c r="A142" s="121" t="s">
        <v>198</v>
      </c>
      <c r="B142" t="str">
        <f t="shared" si="2"/>
        <v>51D-14138</v>
      </c>
    </row>
    <row r="143" spans="1:2" ht="17" x14ac:dyDescent="0.2">
      <c r="A143" s="121" t="s">
        <v>203</v>
      </c>
      <c r="B143" t="str">
        <f t="shared" si="2"/>
        <v>50H-61118</v>
      </c>
    </row>
    <row r="144" spans="1:2" ht="17" x14ac:dyDescent="0.2">
      <c r="A144" s="121" t="s">
        <v>351</v>
      </c>
      <c r="B144" t="str">
        <f t="shared" si="2"/>
        <v>51C-59658</v>
      </c>
    </row>
    <row r="145" spans="1:2" ht="17" x14ac:dyDescent="0.2">
      <c r="A145" s="121" t="s">
        <v>338</v>
      </c>
      <c r="B145" t="str">
        <f t="shared" si="2"/>
        <v>50H-60254</v>
      </c>
    </row>
    <row r="146" spans="1:2" ht="17" x14ac:dyDescent="0.2">
      <c r="A146" s="121" t="s">
        <v>215</v>
      </c>
      <c r="B146" t="str">
        <f t="shared" si="2"/>
        <v>51D-63673</v>
      </c>
    </row>
    <row r="147" spans="1:2" ht="17" x14ac:dyDescent="0.2">
      <c r="A147" s="121" t="s">
        <v>206</v>
      </c>
      <c r="B147" t="str">
        <f t="shared" si="2"/>
        <v>50E-31965</v>
      </c>
    </row>
    <row r="148" spans="1:2" ht="17" x14ac:dyDescent="0.2">
      <c r="A148" s="121" t="s">
        <v>629</v>
      </c>
      <c r="B148" t="str">
        <f t="shared" si="2"/>
        <v>50H-03900</v>
      </c>
    </row>
    <row r="149" spans="1:2" ht="17" x14ac:dyDescent="0.2">
      <c r="A149" s="121" t="s">
        <v>212</v>
      </c>
      <c r="B149" t="str">
        <f t="shared" si="2"/>
        <v>51C-69603</v>
      </c>
    </row>
    <row r="150" spans="1:2" ht="17" x14ac:dyDescent="0.2">
      <c r="A150" s="121" t="s">
        <v>207</v>
      </c>
      <c r="B150" t="str">
        <f t="shared" si="2"/>
        <v>50H-05239</v>
      </c>
    </row>
    <row r="151" spans="1:2" ht="17" x14ac:dyDescent="0.2">
      <c r="A151" s="121" t="s">
        <v>208</v>
      </c>
      <c r="B151" t="str">
        <f t="shared" si="2"/>
        <v>50H-61025</v>
      </c>
    </row>
    <row r="152" spans="1:2" ht="18" x14ac:dyDescent="0.2">
      <c r="A152" s="141" t="s">
        <v>206</v>
      </c>
      <c r="B152" t="str">
        <f t="shared" si="2"/>
        <v>50E-31965</v>
      </c>
    </row>
    <row r="153" spans="1:2" ht="17" x14ac:dyDescent="0.2">
      <c r="A153" s="121" t="s">
        <v>212</v>
      </c>
      <c r="B153" t="str">
        <f t="shared" si="2"/>
        <v>51C-69603</v>
      </c>
    </row>
    <row r="154" spans="1:2" ht="17" x14ac:dyDescent="0.2">
      <c r="A154" s="121" t="s">
        <v>214</v>
      </c>
      <c r="B154" t="str">
        <f t="shared" si="2"/>
        <v>51C-64390</v>
      </c>
    </row>
    <row r="155" spans="1:2" ht="17" x14ac:dyDescent="0.2">
      <c r="A155" s="121" t="s">
        <v>202</v>
      </c>
      <c r="B155" t="str">
        <f t="shared" si="2"/>
        <v>51C-59687</v>
      </c>
    </row>
    <row r="156" spans="1:2" ht="17" x14ac:dyDescent="0.2">
      <c r="A156" s="121" t="s">
        <v>258</v>
      </c>
      <c r="B156" t="str">
        <f t="shared" si="2"/>
        <v>50E-32702</v>
      </c>
    </row>
    <row r="157" spans="1:2" ht="17" x14ac:dyDescent="0.2">
      <c r="A157" s="121" t="s">
        <v>338</v>
      </c>
      <c r="B157" t="str">
        <f t="shared" si="2"/>
        <v>50H-60254</v>
      </c>
    </row>
    <row r="158" spans="1:2" ht="17" x14ac:dyDescent="0.2">
      <c r="A158" s="121" t="s">
        <v>213</v>
      </c>
      <c r="B158" t="str">
        <f t="shared" si="2"/>
        <v>51C-54560</v>
      </c>
    </row>
    <row r="159" spans="1:2" ht="17" x14ac:dyDescent="0.2">
      <c r="A159" s="121" t="s">
        <v>351</v>
      </c>
      <c r="B159" t="str">
        <f t="shared" si="2"/>
        <v>51C-59658</v>
      </c>
    </row>
    <row r="160" spans="1:2" ht="17" x14ac:dyDescent="0.2">
      <c r="A160" s="121" t="s">
        <v>215</v>
      </c>
      <c r="B160" t="str">
        <f t="shared" si="2"/>
        <v>51D-63673</v>
      </c>
    </row>
    <row r="161" spans="1:2" ht="17" x14ac:dyDescent="0.2">
      <c r="A161" s="121" t="s">
        <v>200</v>
      </c>
      <c r="B161" t="str">
        <f t="shared" si="2"/>
        <v>50H-02426</v>
      </c>
    </row>
    <row r="162" spans="1:2" ht="17" x14ac:dyDescent="0.2">
      <c r="A162" s="121" t="s">
        <v>206</v>
      </c>
      <c r="B162" t="str">
        <f t="shared" si="2"/>
        <v>50E-31965</v>
      </c>
    </row>
    <row r="163" spans="1:2" ht="18" x14ac:dyDescent="0.2">
      <c r="A163" s="141" t="s">
        <v>203</v>
      </c>
      <c r="B163" t="str">
        <f t="shared" si="2"/>
        <v>50H-61118</v>
      </c>
    </row>
    <row r="164" spans="1:2" ht="17" x14ac:dyDescent="0.2">
      <c r="A164" s="121" t="s">
        <v>876</v>
      </c>
      <c r="B164" t="str">
        <f t="shared" si="2"/>
        <v>51C-54417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6cont</vt:lpstr>
      <vt:lpstr>17 cont</vt:lpstr>
      <vt:lpstr>20 cont</vt:lpstr>
      <vt:lpstr>BK T4 NPL</vt:lpstr>
      <vt:lpstr>T11</vt:lpstr>
      <vt:lpstr>Sheet1</vt:lpstr>
      <vt:lpstr>'17 cont'!Print_Area</vt:lpstr>
      <vt:lpstr>'20 cont'!Print_Area</vt:lpstr>
      <vt:lpstr>'6cont'!Print_Area</vt:lpstr>
      <vt:lpstr>'BK T4 NPL'!Print_Area</vt:lpstr>
      <vt:lpstr>'T11'!Print_Area</vt:lpstr>
      <vt:lpstr>'17 cont'!Print_Titles</vt:lpstr>
      <vt:lpstr>'20 cont'!Print_Titles</vt:lpstr>
      <vt:lpstr>'6cont'!Print_Titles</vt:lpstr>
      <vt:lpstr>'BK T4 NPL'!Print_Titles</vt:lpstr>
      <vt:lpstr>'T11'!Print_Titles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kinhdoanh_05</dc:creator>
  <cp:lastModifiedBy>Vu Pham</cp:lastModifiedBy>
  <cp:lastPrinted>2025-11-12T03:04:14Z</cp:lastPrinted>
  <dcterms:created xsi:type="dcterms:W3CDTF">2021-03-15T06:11:00Z</dcterms:created>
  <dcterms:modified xsi:type="dcterms:W3CDTF">2025-12-07T05:49:12Z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237B330BCB3B450E90038D3209B9A680_12</vt:lpwstr>
  </property>
  <property fmtid="{D5CDD505-2E9C-101B-9397-08002B2CF9AE}" pid="3" name="KSOProductBuildVer">
    <vt:lpwstr>1033-12.2.0.13110</vt:lpwstr>
  </property>
</Properties>
</file>