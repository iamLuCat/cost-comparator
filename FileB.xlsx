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vupham/Downloads/"/>
    </mc:Choice>
  </mc:AlternateContent>
  <xr:revisionPtr revIDLastSave="0" documentId="13_ncr:1_{157A3BCD-2401-9F4B-8588-198D65A9885B}" xr6:coauthVersionLast="47" xr6:coauthVersionMax="47" xr10:uidLastSave="{00000000-0000-0000-0000-000000000000}"/>
  <bookViews>
    <workbookView xWindow="0" yWindow="660" windowWidth="34560" windowHeight="20520" activeTab="4" xr2:uid="{00000000-000D-0000-FFFF-FFFF00000000}"/>
  </bookViews>
  <sheets>
    <sheet name="6cont" sheetId="19" state="hidden" r:id="rId1"/>
    <sheet name="17 cont" sheetId="18" state="hidden" r:id="rId2"/>
    <sheet name="20 cont" sheetId="17" state="hidden" r:id="rId3"/>
    <sheet name="BK T4 NPL" sheetId="14" state="hidden" r:id="rId4"/>
    <sheet name="26.10-25.11" sheetId="15" r:id="rId5"/>
    <sheet name="Sheet1" sheetId="22" state="hidden" r:id="rId6"/>
    <sheet name="26.10-25.11 TĐ" sheetId="23" state="hidden" r:id="rId7"/>
    <sheet name="26.11-30.11" sheetId="28" r:id="rId8"/>
    <sheet name="01-30.11-GUI KH" sheetId="24" state="hidden" r:id="rId9"/>
    <sheet name="npl" sheetId="26" r:id="rId10"/>
  </sheets>
  <definedNames>
    <definedName name="_xlnm._FilterDatabase" localSheetId="8" hidden="1">'01-30.11-GUI KH'!$A$15:$T$427</definedName>
    <definedName name="_xlnm._FilterDatabase" localSheetId="1" hidden="1">'17 cont'!$A$16:$S$39</definedName>
    <definedName name="_xlnm._FilterDatabase" localSheetId="2" hidden="1">'20 cont'!$A$16:$S$42</definedName>
    <definedName name="_xlnm._FilterDatabase" localSheetId="4" hidden="1">'26.10-25.11'!$A$15:$U$386</definedName>
    <definedName name="_xlnm._FilterDatabase" localSheetId="6" hidden="1">'26.10-25.11 TĐ'!$A$15:$U$438</definedName>
    <definedName name="_xlnm._FilterDatabase" localSheetId="7" hidden="1">'26.11-30.11'!$A$15:$T$150</definedName>
    <definedName name="_xlnm._FilterDatabase" localSheetId="0" hidden="1">'6cont'!$A$16:$T$28</definedName>
    <definedName name="_xlnm._FilterDatabase" localSheetId="3" hidden="1">'BK T4 NPL'!$A$16:$S$67</definedName>
    <definedName name="_xlnm.Print_Area" localSheetId="8">'01-30.11-GUI KH'!$A$1:$T$16</definedName>
    <definedName name="_xlnm.Print_Area" localSheetId="1">'17 cont'!$A$1:$S$46</definedName>
    <definedName name="_xlnm.Print_Area" localSheetId="2">'20 cont'!$A$1:$S$49</definedName>
    <definedName name="_xlnm.Print_Area" localSheetId="4">'26.10-25.11'!$A$1:$U$101</definedName>
    <definedName name="_xlnm.Print_Area" localSheetId="6">'26.10-25.11 TĐ'!$A$1:$U$101</definedName>
    <definedName name="_xlnm.Print_Area" localSheetId="7">'26.11-30.11'!$A$1:$T$16</definedName>
    <definedName name="_xlnm.Print_Area" localSheetId="0">'6cont'!$A$1:$T$35</definedName>
    <definedName name="_xlnm.Print_Area" localSheetId="3">'BK T4 NPL'!$A$1:$S$74</definedName>
    <definedName name="_xlnm.Print_Titles" localSheetId="8">'01-30.11-GUI KH'!$15:$16</definedName>
    <definedName name="_xlnm.Print_Titles" localSheetId="1">'17 cont'!$15:$16</definedName>
    <definedName name="_xlnm.Print_Titles" localSheetId="2">'20 cont'!$15:$16</definedName>
    <definedName name="_xlnm.Print_Titles" localSheetId="4">'26.10-25.11'!$15:$16</definedName>
    <definedName name="_xlnm.Print_Titles" localSheetId="6">'26.10-25.11 TĐ'!$15:$16</definedName>
    <definedName name="_xlnm.Print_Titles" localSheetId="7">'26.11-30.11'!$15:$16</definedName>
    <definedName name="_xlnm.Print_Titles" localSheetId="0">'6cont'!$15:$16</definedName>
    <definedName name="_xlnm.Print_Titles" localSheetId="3">'BK T4 NPL'!$15:$16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83" i="15" l="1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U41" i="15"/>
  <c r="U227" i="15"/>
  <c r="U228" i="15"/>
  <c r="U229" i="15"/>
  <c r="U230" i="15"/>
  <c r="U231" i="15"/>
  <c r="U309" i="15"/>
  <c r="O74" i="28"/>
  <c r="Q82" i="28" s="1"/>
  <c r="M74" i="28"/>
  <c r="Q83" i="28" s="1"/>
  <c r="H14" i="26" l="1"/>
  <c r="U386" i="15"/>
  <c r="U385" i="15"/>
  <c r="U384" i="15"/>
  <c r="L349" i="24" l="1"/>
  <c r="R349" i="24"/>
  <c r="P358" i="24"/>
  <c r="N377" i="15"/>
  <c r="R388" i="15" s="1"/>
  <c r="N378" i="15"/>
  <c r="M378" i="15"/>
  <c r="M377" i="15" l="1"/>
  <c r="T379" i="15"/>
  <c r="S379" i="15"/>
  <c r="R379" i="15"/>
  <c r="P379" i="15"/>
  <c r="M379" i="15"/>
  <c r="T378" i="15"/>
  <c r="S378" i="15"/>
  <c r="R378" i="15"/>
  <c r="P378" i="15"/>
  <c r="T74" i="28"/>
  <c r="Q76" i="28" s="1"/>
  <c r="S74" i="28"/>
  <c r="Q84" i="28" s="1"/>
  <c r="R74" i="28"/>
  <c r="Q74" i="28"/>
  <c r="A17" i="28"/>
  <c r="T377" i="15"/>
  <c r="R390" i="15" s="1"/>
  <c r="S377" i="15"/>
  <c r="R387" i="15" s="1"/>
  <c r="R377" i="15"/>
  <c r="P377" i="15"/>
  <c r="R391" i="15" s="1"/>
  <c r="Q77" i="28" l="1"/>
  <c r="Q78" i="28" s="1"/>
  <c r="Q81" i="28"/>
  <c r="Q80" i="28" s="1"/>
  <c r="L74" i="28"/>
  <c r="U379" i="15"/>
  <c r="L379" i="15" s="1"/>
  <c r="S80" i="28" l="1"/>
  <c r="R353" i="24" s="1"/>
  <c r="Q85" i="28"/>
  <c r="T349" i="24"/>
  <c r="Q349" i="24"/>
  <c r="P349" i="24"/>
  <c r="N349" i="24"/>
  <c r="M349" i="24"/>
  <c r="S224" i="24" l="1"/>
  <c r="S146" i="24"/>
  <c r="S145" i="24"/>
  <c r="S144" i="24"/>
  <c r="S143" i="24"/>
  <c r="S142" i="24"/>
  <c r="P361" i="24"/>
  <c r="P359" i="24"/>
  <c r="S349" i="24" l="1"/>
  <c r="P357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E349" i="24"/>
  <c r="R386" i="15"/>
  <c r="E377" i="15"/>
  <c r="E431" i="23"/>
  <c r="A368" i="23"/>
  <c r="A369" i="23"/>
  <c r="A370" i="23"/>
  <c r="A371" i="23"/>
  <c r="A372" i="23"/>
  <c r="A373" i="23"/>
  <c r="A374" i="23"/>
  <c r="A375" i="23"/>
  <c r="A376" i="23"/>
  <c r="A377" i="23"/>
  <c r="A378" i="23"/>
  <c r="A379" i="23"/>
  <c r="A380" i="23"/>
  <c r="A381" i="23"/>
  <c r="A382" i="23"/>
  <c r="A383" i="23"/>
  <c r="A384" i="23"/>
  <c r="A385" i="23"/>
  <c r="A386" i="23"/>
  <c r="A387" i="23"/>
  <c r="A388" i="23"/>
  <c r="A389" i="23"/>
  <c r="A390" i="23"/>
  <c r="A391" i="23"/>
  <c r="A392" i="23"/>
  <c r="A393" i="23"/>
  <c r="A394" i="23"/>
  <c r="A395" i="23"/>
  <c r="A396" i="23"/>
  <c r="A397" i="23"/>
  <c r="A398" i="23"/>
  <c r="A399" i="23"/>
  <c r="A400" i="23"/>
  <c r="A401" i="23"/>
  <c r="A402" i="23"/>
  <c r="A403" i="23"/>
  <c r="A404" i="23"/>
  <c r="A405" i="23"/>
  <c r="A406" i="23"/>
  <c r="A407" i="23"/>
  <c r="A408" i="23"/>
  <c r="A409" i="23"/>
  <c r="A410" i="23"/>
  <c r="A411" i="23"/>
  <c r="A412" i="23"/>
  <c r="A413" i="23"/>
  <c r="A414" i="23"/>
  <c r="A415" i="23"/>
  <c r="A416" i="23"/>
  <c r="A417" i="23"/>
  <c r="A418" i="23"/>
  <c r="A419" i="23"/>
  <c r="A420" i="23"/>
  <c r="A421" i="23"/>
  <c r="A422" i="23"/>
  <c r="A423" i="23"/>
  <c r="A424" i="23"/>
  <c r="A425" i="23"/>
  <c r="A426" i="23"/>
  <c r="A427" i="23"/>
  <c r="A428" i="23"/>
  <c r="A429" i="23"/>
  <c r="A430" i="23"/>
  <c r="R431" i="23"/>
  <c r="Q431" i="23"/>
  <c r="P431" i="23"/>
  <c r="N439" i="23" s="1"/>
  <c r="N431" i="23"/>
  <c r="N438" i="23" s="1"/>
  <c r="D431" i="23"/>
  <c r="S367" i="23"/>
  <c r="T367" i="23" s="1"/>
  <c r="A367" i="23"/>
  <c r="S366" i="23"/>
  <c r="T366" i="23" s="1"/>
  <c r="A366" i="23"/>
  <c r="S365" i="23"/>
  <c r="T365" i="23" s="1"/>
  <c r="A365" i="23"/>
  <c r="S364" i="23"/>
  <c r="T364" i="23" s="1"/>
  <c r="A364" i="23"/>
  <c r="S363" i="23"/>
  <c r="T363" i="23" s="1"/>
  <c r="A363" i="23"/>
  <c r="S362" i="23"/>
  <c r="T362" i="23" s="1"/>
  <c r="A362" i="23"/>
  <c r="S361" i="23"/>
  <c r="T361" i="23" s="1"/>
  <c r="A361" i="23"/>
  <c r="S360" i="23"/>
  <c r="T360" i="23" s="1"/>
  <c r="A360" i="23"/>
  <c r="S359" i="23"/>
  <c r="T359" i="23" s="1"/>
  <c r="A359" i="23"/>
  <c r="S358" i="23"/>
  <c r="T358" i="23" s="1"/>
  <c r="A358" i="23"/>
  <c r="O357" i="23"/>
  <c r="S357" i="23" s="1"/>
  <c r="T357" i="23" s="1"/>
  <c r="A357" i="23"/>
  <c r="S356" i="23"/>
  <c r="T356" i="23" s="1"/>
  <c r="A356" i="23"/>
  <c r="S355" i="23"/>
  <c r="T355" i="23" s="1"/>
  <c r="A355" i="23"/>
  <c r="S354" i="23"/>
  <c r="T354" i="23" s="1"/>
  <c r="A354" i="23"/>
  <c r="S353" i="23"/>
  <c r="T353" i="23" s="1"/>
  <c r="A353" i="23"/>
  <c r="S352" i="23"/>
  <c r="T352" i="23" s="1"/>
  <c r="A352" i="23"/>
  <c r="S351" i="23"/>
  <c r="T351" i="23" s="1"/>
  <c r="A351" i="23"/>
  <c r="S350" i="23"/>
  <c r="T350" i="23" s="1"/>
  <c r="A350" i="23"/>
  <c r="S349" i="23"/>
  <c r="T349" i="23" s="1"/>
  <c r="A349" i="23"/>
  <c r="S348" i="23"/>
  <c r="T348" i="23" s="1"/>
  <c r="A348" i="23"/>
  <c r="S347" i="23"/>
  <c r="T347" i="23" s="1"/>
  <c r="A347" i="23"/>
  <c r="S346" i="23"/>
  <c r="T346" i="23" s="1"/>
  <c r="A346" i="23"/>
  <c r="S345" i="23"/>
  <c r="T345" i="23" s="1"/>
  <c r="A345" i="23"/>
  <c r="S344" i="23"/>
  <c r="T344" i="23" s="1"/>
  <c r="A344" i="23"/>
  <c r="S343" i="23"/>
  <c r="T343" i="23" s="1"/>
  <c r="A343" i="23"/>
  <c r="S342" i="23"/>
  <c r="T342" i="23" s="1"/>
  <c r="A342" i="23"/>
  <c r="S341" i="23"/>
  <c r="T341" i="23" s="1"/>
  <c r="A341" i="23"/>
  <c r="S340" i="23"/>
  <c r="T340" i="23" s="1"/>
  <c r="A340" i="23"/>
  <c r="S339" i="23"/>
  <c r="T339" i="23" s="1"/>
  <c r="A339" i="23"/>
  <c r="S338" i="23"/>
  <c r="T338" i="23" s="1"/>
  <c r="A338" i="23"/>
  <c r="S337" i="23"/>
  <c r="T337" i="23" s="1"/>
  <c r="A337" i="23"/>
  <c r="S336" i="23"/>
  <c r="T336" i="23" s="1"/>
  <c r="A336" i="23"/>
  <c r="S335" i="23"/>
  <c r="T335" i="23" s="1"/>
  <c r="A335" i="23"/>
  <c r="S334" i="23"/>
  <c r="T334" i="23" s="1"/>
  <c r="A334" i="23"/>
  <c r="S333" i="23"/>
  <c r="T333" i="23" s="1"/>
  <c r="A333" i="23"/>
  <c r="S332" i="23"/>
  <c r="T332" i="23" s="1"/>
  <c r="A332" i="23"/>
  <c r="S331" i="23"/>
  <c r="T331" i="23" s="1"/>
  <c r="A331" i="23"/>
  <c r="S330" i="23"/>
  <c r="T330" i="23" s="1"/>
  <c r="A330" i="23"/>
  <c r="S329" i="23"/>
  <c r="T329" i="23" s="1"/>
  <c r="A329" i="23"/>
  <c r="S328" i="23"/>
  <c r="T328" i="23" s="1"/>
  <c r="A328" i="23"/>
  <c r="S327" i="23"/>
  <c r="T327" i="23" s="1"/>
  <c r="A327" i="23"/>
  <c r="S326" i="23"/>
  <c r="T326" i="23" s="1"/>
  <c r="A326" i="23"/>
  <c r="S325" i="23"/>
  <c r="T325" i="23" s="1"/>
  <c r="A325" i="23"/>
  <c r="S324" i="23"/>
  <c r="T324" i="23" s="1"/>
  <c r="A324" i="23"/>
  <c r="S323" i="23"/>
  <c r="T323" i="23" s="1"/>
  <c r="A323" i="23"/>
  <c r="S322" i="23"/>
  <c r="T322" i="23" s="1"/>
  <c r="A322" i="23"/>
  <c r="S321" i="23"/>
  <c r="T321" i="23" s="1"/>
  <c r="A321" i="23"/>
  <c r="S320" i="23"/>
  <c r="T320" i="23" s="1"/>
  <c r="A320" i="23"/>
  <c r="S319" i="23"/>
  <c r="T319" i="23" s="1"/>
  <c r="A319" i="23"/>
  <c r="S318" i="23"/>
  <c r="T318" i="23" s="1"/>
  <c r="A318" i="23"/>
  <c r="S317" i="23"/>
  <c r="T317" i="23" s="1"/>
  <c r="A317" i="23"/>
  <c r="S316" i="23"/>
  <c r="T316" i="23" s="1"/>
  <c r="A316" i="23"/>
  <c r="S315" i="23"/>
  <c r="T315" i="23" s="1"/>
  <c r="A315" i="23"/>
  <c r="S314" i="23"/>
  <c r="T314" i="23" s="1"/>
  <c r="A314" i="23"/>
  <c r="S313" i="23"/>
  <c r="T313" i="23" s="1"/>
  <c r="A313" i="23"/>
  <c r="S312" i="23"/>
  <c r="T312" i="23" s="1"/>
  <c r="A312" i="23"/>
  <c r="S311" i="23"/>
  <c r="T311" i="23" s="1"/>
  <c r="A311" i="23"/>
  <c r="S310" i="23"/>
  <c r="T310" i="23" s="1"/>
  <c r="A310" i="23"/>
  <c r="S309" i="23"/>
  <c r="T309" i="23" s="1"/>
  <c r="A309" i="23"/>
  <c r="S308" i="23"/>
  <c r="T308" i="23" s="1"/>
  <c r="A308" i="23"/>
  <c r="S307" i="23"/>
  <c r="T307" i="23" s="1"/>
  <c r="A307" i="23"/>
  <c r="S306" i="23"/>
  <c r="T306" i="23" s="1"/>
  <c r="A306" i="23"/>
  <c r="S305" i="23"/>
  <c r="T305" i="23" s="1"/>
  <c r="A305" i="23"/>
  <c r="O304" i="23"/>
  <c r="S304" i="23" s="1"/>
  <c r="T304" i="23" s="1"/>
  <c r="A304" i="23"/>
  <c r="S303" i="23"/>
  <c r="T303" i="23" s="1"/>
  <c r="A303" i="23"/>
  <c r="S302" i="23"/>
  <c r="T302" i="23" s="1"/>
  <c r="A302" i="23"/>
  <c r="S301" i="23"/>
  <c r="T301" i="23" s="1"/>
  <c r="A301" i="23"/>
  <c r="S300" i="23"/>
  <c r="T300" i="23" s="1"/>
  <c r="A300" i="23"/>
  <c r="S299" i="23"/>
  <c r="T299" i="23" s="1"/>
  <c r="A299" i="23"/>
  <c r="S298" i="23"/>
  <c r="T298" i="23" s="1"/>
  <c r="A298" i="23"/>
  <c r="S297" i="23"/>
  <c r="T297" i="23" s="1"/>
  <c r="A297" i="23"/>
  <c r="S296" i="23"/>
  <c r="T296" i="23" s="1"/>
  <c r="A296" i="23"/>
  <c r="S295" i="23"/>
  <c r="T295" i="23" s="1"/>
  <c r="A295" i="23"/>
  <c r="S294" i="23"/>
  <c r="T294" i="23" s="1"/>
  <c r="A294" i="23"/>
  <c r="S293" i="23"/>
  <c r="T293" i="23" s="1"/>
  <c r="A293" i="23"/>
  <c r="S292" i="23"/>
  <c r="T292" i="23" s="1"/>
  <c r="A292" i="23"/>
  <c r="S291" i="23"/>
  <c r="T291" i="23" s="1"/>
  <c r="A291" i="23"/>
  <c r="S290" i="23"/>
  <c r="T290" i="23" s="1"/>
  <c r="A290" i="23"/>
  <c r="S289" i="23"/>
  <c r="T289" i="23" s="1"/>
  <c r="A289" i="23"/>
  <c r="S288" i="23"/>
  <c r="T288" i="23" s="1"/>
  <c r="A288" i="23"/>
  <c r="S287" i="23"/>
  <c r="T287" i="23" s="1"/>
  <c r="A287" i="23"/>
  <c r="S286" i="23"/>
  <c r="T286" i="23" s="1"/>
  <c r="A286" i="23"/>
  <c r="S285" i="23"/>
  <c r="T285" i="23" s="1"/>
  <c r="A285" i="23"/>
  <c r="S284" i="23"/>
  <c r="T284" i="23" s="1"/>
  <c r="A284" i="23"/>
  <c r="S283" i="23"/>
  <c r="T283" i="23" s="1"/>
  <c r="A283" i="23"/>
  <c r="S282" i="23"/>
  <c r="T282" i="23" s="1"/>
  <c r="A282" i="23"/>
  <c r="S281" i="23"/>
  <c r="T281" i="23" s="1"/>
  <c r="A281" i="23"/>
  <c r="S280" i="23"/>
  <c r="T280" i="23" s="1"/>
  <c r="A280" i="23"/>
  <c r="S279" i="23"/>
  <c r="T279" i="23" s="1"/>
  <c r="A279" i="23"/>
  <c r="S278" i="23"/>
  <c r="T278" i="23" s="1"/>
  <c r="A278" i="23"/>
  <c r="S277" i="23"/>
  <c r="T277" i="23" s="1"/>
  <c r="A277" i="23"/>
  <c r="S276" i="23"/>
  <c r="T276" i="23" s="1"/>
  <c r="A276" i="23"/>
  <c r="S275" i="23"/>
  <c r="T275" i="23" s="1"/>
  <c r="A275" i="23"/>
  <c r="S274" i="23"/>
  <c r="T274" i="23" s="1"/>
  <c r="A274" i="23"/>
  <c r="S273" i="23"/>
  <c r="T273" i="23" s="1"/>
  <c r="A273" i="23"/>
  <c r="S272" i="23"/>
  <c r="T272" i="23" s="1"/>
  <c r="A272" i="23"/>
  <c r="S271" i="23"/>
  <c r="T271" i="23" s="1"/>
  <c r="A271" i="23"/>
  <c r="S270" i="23"/>
  <c r="T270" i="23" s="1"/>
  <c r="A270" i="23"/>
  <c r="S269" i="23"/>
  <c r="T269" i="23" s="1"/>
  <c r="A269" i="23"/>
  <c r="S268" i="23"/>
  <c r="T268" i="23" s="1"/>
  <c r="A268" i="23"/>
  <c r="S267" i="23"/>
  <c r="T267" i="23" s="1"/>
  <c r="A267" i="23"/>
  <c r="S266" i="23"/>
  <c r="T266" i="23" s="1"/>
  <c r="A266" i="23"/>
  <c r="S265" i="23"/>
  <c r="T265" i="23" s="1"/>
  <c r="A265" i="23"/>
  <c r="S264" i="23"/>
  <c r="T264" i="23" s="1"/>
  <c r="A264" i="23"/>
  <c r="S263" i="23"/>
  <c r="T263" i="23" s="1"/>
  <c r="A263" i="23"/>
  <c r="S262" i="23"/>
  <c r="T262" i="23" s="1"/>
  <c r="A262" i="23"/>
  <c r="S261" i="23"/>
  <c r="T261" i="23" s="1"/>
  <c r="A261" i="23"/>
  <c r="S260" i="23"/>
  <c r="T260" i="23" s="1"/>
  <c r="A260" i="23"/>
  <c r="S259" i="23"/>
  <c r="T259" i="23" s="1"/>
  <c r="A259" i="23"/>
  <c r="S258" i="23"/>
  <c r="T258" i="23" s="1"/>
  <c r="A258" i="23"/>
  <c r="S257" i="23"/>
  <c r="T257" i="23" s="1"/>
  <c r="A257" i="23"/>
  <c r="S256" i="23"/>
  <c r="T256" i="23" s="1"/>
  <c r="A256" i="23"/>
  <c r="S255" i="23"/>
  <c r="T255" i="23" s="1"/>
  <c r="A255" i="23"/>
  <c r="S254" i="23"/>
  <c r="T254" i="23" s="1"/>
  <c r="A254" i="23"/>
  <c r="S253" i="23"/>
  <c r="T253" i="23" s="1"/>
  <c r="A253" i="23"/>
  <c r="S252" i="23"/>
  <c r="T252" i="23" s="1"/>
  <c r="A252" i="23"/>
  <c r="S251" i="23"/>
  <c r="T251" i="23" s="1"/>
  <c r="A251" i="23"/>
  <c r="S250" i="23"/>
  <c r="T250" i="23" s="1"/>
  <c r="A250" i="23"/>
  <c r="S249" i="23"/>
  <c r="T249" i="23" s="1"/>
  <c r="A249" i="23"/>
  <c r="S248" i="23"/>
  <c r="T248" i="23" s="1"/>
  <c r="A248" i="23"/>
  <c r="S247" i="23"/>
  <c r="T247" i="23" s="1"/>
  <c r="A247" i="23"/>
  <c r="S246" i="23"/>
  <c r="T246" i="23" s="1"/>
  <c r="A246" i="23"/>
  <c r="S245" i="23"/>
  <c r="T245" i="23" s="1"/>
  <c r="A245" i="23"/>
  <c r="S244" i="23"/>
  <c r="T244" i="23" s="1"/>
  <c r="A244" i="23"/>
  <c r="S243" i="23"/>
  <c r="T243" i="23" s="1"/>
  <c r="A243" i="23"/>
  <c r="S242" i="23"/>
  <c r="T242" i="23" s="1"/>
  <c r="A242" i="23"/>
  <c r="S241" i="23"/>
  <c r="T241" i="23" s="1"/>
  <c r="A241" i="23"/>
  <c r="S240" i="23"/>
  <c r="T240" i="23" s="1"/>
  <c r="A240" i="23"/>
  <c r="S239" i="23"/>
  <c r="T239" i="23" s="1"/>
  <c r="A239" i="23"/>
  <c r="S238" i="23"/>
  <c r="T238" i="23" s="1"/>
  <c r="A238" i="23"/>
  <c r="S237" i="23"/>
  <c r="T237" i="23" s="1"/>
  <c r="A237" i="23"/>
  <c r="S236" i="23"/>
  <c r="T236" i="23" s="1"/>
  <c r="A236" i="23"/>
  <c r="S235" i="23"/>
  <c r="T235" i="23" s="1"/>
  <c r="A235" i="23"/>
  <c r="S234" i="23"/>
  <c r="T234" i="23" s="1"/>
  <c r="A234" i="23"/>
  <c r="S233" i="23"/>
  <c r="T233" i="23" s="1"/>
  <c r="A233" i="23"/>
  <c r="S232" i="23"/>
  <c r="T232" i="23" s="1"/>
  <c r="A232" i="23"/>
  <c r="S231" i="23"/>
  <c r="T231" i="23" s="1"/>
  <c r="A231" i="23"/>
  <c r="S230" i="23"/>
  <c r="T230" i="23" s="1"/>
  <c r="A230" i="23"/>
  <c r="S229" i="23"/>
  <c r="T229" i="23" s="1"/>
  <c r="A229" i="23"/>
  <c r="S228" i="23"/>
  <c r="T228" i="23" s="1"/>
  <c r="A228" i="23"/>
  <c r="S227" i="23"/>
  <c r="T227" i="23" s="1"/>
  <c r="A227" i="23"/>
  <c r="S226" i="23"/>
  <c r="T226" i="23" s="1"/>
  <c r="A226" i="23"/>
  <c r="S225" i="23"/>
  <c r="T225" i="23" s="1"/>
  <c r="A225" i="23"/>
  <c r="S224" i="23"/>
  <c r="T224" i="23" s="1"/>
  <c r="A224" i="23"/>
  <c r="S223" i="23"/>
  <c r="T223" i="23" s="1"/>
  <c r="A223" i="23"/>
  <c r="S222" i="23"/>
  <c r="T222" i="23" s="1"/>
  <c r="A222" i="23"/>
  <c r="S221" i="23"/>
  <c r="T221" i="23" s="1"/>
  <c r="A221" i="23"/>
  <c r="S220" i="23"/>
  <c r="T220" i="23" s="1"/>
  <c r="A220" i="23"/>
  <c r="S219" i="23"/>
  <c r="T219" i="23" s="1"/>
  <c r="A219" i="23"/>
  <c r="S218" i="23"/>
  <c r="T218" i="23" s="1"/>
  <c r="A218" i="23"/>
  <c r="S217" i="23"/>
  <c r="T217" i="23" s="1"/>
  <c r="A217" i="23"/>
  <c r="S216" i="23"/>
  <c r="T216" i="23" s="1"/>
  <c r="A216" i="23"/>
  <c r="S215" i="23"/>
  <c r="T215" i="23" s="1"/>
  <c r="A215" i="23"/>
  <c r="S214" i="23"/>
  <c r="T214" i="23" s="1"/>
  <c r="A214" i="23"/>
  <c r="S213" i="23"/>
  <c r="T213" i="23" s="1"/>
  <c r="A213" i="23"/>
  <c r="S212" i="23"/>
  <c r="T212" i="23" s="1"/>
  <c r="A212" i="23"/>
  <c r="S211" i="23"/>
  <c r="T211" i="23" s="1"/>
  <c r="A211" i="23"/>
  <c r="S210" i="23"/>
  <c r="T210" i="23" s="1"/>
  <c r="A210" i="23"/>
  <c r="S209" i="23"/>
  <c r="T209" i="23" s="1"/>
  <c r="A209" i="23"/>
  <c r="S208" i="23"/>
  <c r="T208" i="23" s="1"/>
  <c r="A208" i="23"/>
  <c r="S207" i="23"/>
  <c r="T207" i="23" s="1"/>
  <c r="A207" i="23"/>
  <c r="S206" i="23"/>
  <c r="T206" i="23" s="1"/>
  <c r="A206" i="23"/>
  <c r="S205" i="23"/>
  <c r="T205" i="23" s="1"/>
  <c r="A205" i="23"/>
  <c r="S204" i="23"/>
  <c r="T204" i="23" s="1"/>
  <c r="A204" i="23"/>
  <c r="O203" i="23"/>
  <c r="S203" i="23" s="1"/>
  <c r="T203" i="23" s="1"/>
  <c r="A203" i="23"/>
  <c r="O202" i="23"/>
  <c r="S202" i="23" s="1"/>
  <c r="T202" i="23" s="1"/>
  <c r="A202" i="23"/>
  <c r="O201" i="23"/>
  <c r="S201" i="23" s="1"/>
  <c r="T201" i="23" s="1"/>
  <c r="A201" i="23"/>
  <c r="S200" i="23"/>
  <c r="T200" i="23" s="1"/>
  <c r="A200" i="23"/>
  <c r="S199" i="23"/>
  <c r="T199" i="23" s="1"/>
  <c r="A199" i="23"/>
  <c r="S198" i="23"/>
  <c r="T198" i="23" s="1"/>
  <c r="A198" i="23"/>
  <c r="O197" i="23"/>
  <c r="S197" i="23" s="1"/>
  <c r="T197" i="23" s="1"/>
  <c r="A197" i="23"/>
  <c r="O196" i="23"/>
  <c r="S196" i="23" s="1"/>
  <c r="T196" i="23" s="1"/>
  <c r="A196" i="23"/>
  <c r="O195" i="23"/>
  <c r="S195" i="23" s="1"/>
  <c r="T195" i="23" s="1"/>
  <c r="A195" i="23"/>
  <c r="O194" i="23"/>
  <c r="S194" i="23" s="1"/>
  <c r="T194" i="23" s="1"/>
  <c r="A194" i="23"/>
  <c r="O193" i="23"/>
  <c r="S193" i="23" s="1"/>
  <c r="T193" i="23" s="1"/>
  <c r="A193" i="23"/>
  <c r="O192" i="23"/>
  <c r="S192" i="23" s="1"/>
  <c r="T192" i="23" s="1"/>
  <c r="A192" i="23"/>
  <c r="O191" i="23"/>
  <c r="S191" i="23" s="1"/>
  <c r="T191" i="23" s="1"/>
  <c r="A191" i="23"/>
  <c r="S190" i="23"/>
  <c r="T190" i="23" s="1"/>
  <c r="A190" i="23"/>
  <c r="S189" i="23"/>
  <c r="T189" i="23" s="1"/>
  <c r="A189" i="23"/>
  <c r="S188" i="23"/>
  <c r="T188" i="23" s="1"/>
  <c r="A188" i="23"/>
  <c r="S187" i="23"/>
  <c r="T187" i="23" s="1"/>
  <c r="A187" i="23"/>
  <c r="S186" i="23"/>
  <c r="T186" i="23" s="1"/>
  <c r="A186" i="23"/>
  <c r="S185" i="23"/>
  <c r="T185" i="23" s="1"/>
  <c r="A185" i="23"/>
  <c r="S184" i="23"/>
  <c r="T184" i="23" s="1"/>
  <c r="A184" i="23"/>
  <c r="S183" i="23"/>
  <c r="T183" i="23" s="1"/>
  <c r="A183" i="23"/>
  <c r="S182" i="23"/>
  <c r="T182" i="23" s="1"/>
  <c r="A182" i="23"/>
  <c r="S181" i="23"/>
  <c r="T181" i="23" s="1"/>
  <c r="A181" i="23"/>
  <c r="S180" i="23"/>
  <c r="T180" i="23" s="1"/>
  <c r="A180" i="23"/>
  <c r="S179" i="23"/>
  <c r="T179" i="23" s="1"/>
  <c r="A179" i="23"/>
  <c r="S178" i="23"/>
  <c r="T178" i="23" s="1"/>
  <c r="A178" i="23"/>
  <c r="S177" i="23"/>
  <c r="T177" i="23" s="1"/>
  <c r="A177" i="23"/>
  <c r="S176" i="23"/>
  <c r="T176" i="23" s="1"/>
  <c r="A176" i="23"/>
  <c r="S175" i="23"/>
  <c r="T175" i="23" s="1"/>
  <c r="A175" i="23"/>
  <c r="S174" i="23"/>
  <c r="T174" i="23" s="1"/>
  <c r="A174" i="23"/>
  <c r="S173" i="23"/>
  <c r="T173" i="23" s="1"/>
  <c r="A173" i="23"/>
  <c r="S172" i="23"/>
  <c r="T172" i="23" s="1"/>
  <c r="A172" i="23"/>
  <c r="S171" i="23"/>
  <c r="T171" i="23" s="1"/>
  <c r="A171" i="23"/>
  <c r="S170" i="23"/>
  <c r="T170" i="23" s="1"/>
  <c r="A170" i="23"/>
  <c r="S169" i="23"/>
  <c r="T169" i="23" s="1"/>
  <c r="A169" i="23"/>
  <c r="S168" i="23"/>
  <c r="T168" i="23" s="1"/>
  <c r="A168" i="23"/>
  <c r="S167" i="23"/>
  <c r="T167" i="23" s="1"/>
  <c r="A167" i="23"/>
  <c r="S166" i="23"/>
  <c r="T166" i="23" s="1"/>
  <c r="A166" i="23"/>
  <c r="S165" i="23"/>
  <c r="T165" i="23" s="1"/>
  <c r="A165" i="23"/>
  <c r="S164" i="23"/>
  <c r="T164" i="23" s="1"/>
  <c r="A164" i="23"/>
  <c r="S163" i="23"/>
  <c r="T163" i="23" s="1"/>
  <c r="A163" i="23"/>
  <c r="S162" i="23"/>
  <c r="T162" i="23" s="1"/>
  <c r="A162" i="23"/>
  <c r="S161" i="23"/>
  <c r="T161" i="23" s="1"/>
  <c r="A161" i="23"/>
  <c r="S160" i="23"/>
  <c r="T160" i="23" s="1"/>
  <c r="A160" i="23"/>
  <c r="S159" i="23"/>
  <c r="T159" i="23" s="1"/>
  <c r="A159" i="23"/>
  <c r="S158" i="23"/>
  <c r="T158" i="23" s="1"/>
  <c r="A158" i="23"/>
  <c r="S157" i="23"/>
  <c r="T157" i="23" s="1"/>
  <c r="A157" i="23"/>
  <c r="S156" i="23"/>
  <c r="T156" i="23" s="1"/>
  <c r="A156" i="23"/>
  <c r="S155" i="23"/>
  <c r="T155" i="23" s="1"/>
  <c r="A155" i="23"/>
  <c r="S154" i="23"/>
  <c r="T154" i="23" s="1"/>
  <c r="A154" i="23"/>
  <c r="S153" i="23"/>
  <c r="T153" i="23" s="1"/>
  <c r="A153" i="23"/>
  <c r="S152" i="23"/>
  <c r="T152" i="23" s="1"/>
  <c r="A152" i="23"/>
  <c r="S151" i="23"/>
  <c r="T151" i="23" s="1"/>
  <c r="A151" i="23"/>
  <c r="S150" i="23"/>
  <c r="T150" i="23" s="1"/>
  <c r="A150" i="23"/>
  <c r="S149" i="23"/>
  <c r="M149" i="23"/>
  <c r="A149" i="23"/>
  <c r="S148" i="23"/>
  <c r="M148" i="23"/>
  <c r="A148" i="23"/>
  <c r="S147" i="23"/>
  <c r="T147" i="23" s="1"/>
  <c r="A147" i="23"/>
  <c r="S146" i="23"/>
  <c r="T146" i="23" s="1"/>
  <c r="A146" i="23"/>
  <c r="S145" i="23"/>
  <c r="T145" i="23" s="1"/>
  <c r="A145" i="23"/>
  <c r="S144" i="23"/>
  <c r="T144" i="23" s="1"/>
  <c r="A144" i="23"/>
  <c r="S143" i="23"/>
  <c r="T143" i="23" s="1"/>
  <c r="A143" i="23"/>
  <c r="S142" i="23"/>
  <c r="T142" i="23" s="1"/>
  <c r="A142" i="23"/>
  <c r="S141" i="23"/>
  <c r="T141" i="23" s="1"/>
  <c r="A141" i="23"/>
  <c r="S140" i="23"/>
  <c r="T140" i="23" s="1"/>
  <c r="A140" i="23"/>
  <c r="S139" i="23"/>
  <c r="T139" i="23" s="1"/>
  <c r="A139" i="23"/>
  <c r="S138" i="23"/>
  <c r="T138" i="23" s="1"/>
  <c r="A138" i="23"/>
  <c r="S137" i="23"/>
  <c r="T137" i="23" s="1"/>
  <c r="A137" i="23"/>
  <c r="S136" i="23"/>
  <c r="T136" i="23" s="1"/>
  <c r="A136" i="23"/>
  <c r="S135" i="23"/>
  <c r="T135" i="23" s="1"/>
  <c r="A135" i="23"/>
  <c r="S134" i="23"/>
  <c r="T134" i="23" s="1"/>
  <c r="A134" i="23"/>
  <c r="S133" i="23"/>
  <c r="T133" i="23" s="1"/>
  <c r="A133" i="23"/>
  <c r="S132" i="23"/>
  <c r="T132" i="23" s="1"/>
  <c r="A132" i="23"/>
  <c r="S131" i="23"/>
  <c r="T131" i="23" s="1"/>
  <c r="A131" i="23"/>
  <c r="S130" i="23"/>
  <c r="T130" i="23" s="1"/>
  <c r="A130" i="23"/>
  <c r="S129" i="23"/>
  <c r="T129" i="23" s="1"/>
  <c r="A129" i="23"/>
  <c r="S128" i="23"/>
  <c r="T128" i="23" s="1"/>
  <c r="A128" i="23"/>
  <c r="S127" i="23"/>
  <c r="T127" i="23" s="1"/>
  <c r="A127" i="23"/>
  <c r="S126" i="23"/>
  <c r="T126" i="23" s="1"/>
  <c r="A126" i="23"/>
  <c r="S125" i="23"/>
  <c r="T125" i="23" s="1"/>
  <c r="A125" i="23"/>
  <c r="S124" i="23"/>
  <c r="T124" i="23" s="1"/>
  <c r="A124" i="23"/>
  <c r="S123" i="23"/>
  <c r="T123" i="23" s="1"/>
  <c r="A123" i="23"/>
  <c r="S122" i="23"/>
  <c r="T122" i="23" s="1"/>
  <c r="A122" i="23"/>
  <c r="S121" i="23"/>
  <c r="T121" i="23" s="1"/>
  <c r="A121" i="23"/>
  <c r="S120" i="23"/>
  <c r="T120" i="23" s="1"/>
  <c r="A120" i="23"/>
  <c r="S119" i="23"/>
  <c r="T119" i="23" s="1"/>
  <c r="A119" i="23"/>
  <c r="S118" i="23"/>
  <c r="T118" i="23" s="1"/>
  <c r="A118" i="23"/>
  <c r="S117" i="23"/>
  <c r="T117" i="23" s="1"/>
  <c r="A117" i="23"/>
  <c r="S116" i="23"/>
  <c r="T116" i="23" s="1"/>
  <c r="A116" i="23"/>
  <c r="S115" i="23"/>
  <c r="T115" i="23" s="1"/>
  <c r="A115" i="23"/>
  <c r="S114" i="23"/>
  <c r="T114" i="23" s="1"/>
  <c r="A114" i="23"/>
  <c r="S113" i="23"/>
  <c r="T113" i="23" s="1"/>
  <c r="A113" i="23"/>
  <c r="S112" i="23"/>
  <c r="T112" i="23" s="1"/>
  <c r="A112" i="23"/>
  <c r="S111" i="23"/>
  <c r="T111" i="23" s="1"/>
  <c r="A111" i="23"/>
  <c r="S110" i="23"/>
  <c r="T110" i="23" s="1"/>
  <c r="A110" i="23"/>
  <c r="S109" i="23"/>
  <c r="T109" i="23" s="1"/>
  <c r="A109" i="23"/>
  <c r="S108" i="23"/>
  <c r="T108" i="23" s="1"/>
  <c r="A108" i="23"/>
  <c r="S107" i="23"/>
  <c r="T107" i="23" s="1"/>
  <c r="S106" i="23"/>
  <c r="T106" i="23" s="1"/>
  <c r="S105" i="23"/>
  <c r="T105" i="23" s="1"/>
  <c r="S104" i="23"/>
  <c r="T104" i="23" s="1"/>
  <c r="A104" i="23"/>
  <c r="S103" i="23"/>
  <c r="T103" i="23" s="1"/>
  <c r="A103" i="23"/>
  <c r="S102" i="23"/>
  <c r="T102" i="23" s="1"/>
  <c r="A102" i="23"/>
  <c r="V101" i="23"/>
  <c r="S101" i="23"/>
  <c r="T101" i="23" s="1"/>
  <c r="A101" i="23"/>
  <c r="V100" i="23"/>
  <c r="S100" i="23"/>
  <c r="T100" i="23" s="1"/>
  <c r="A100" i="23"/>
  <c r="V99" i="23"/>
  <c r="S99" i="23"/>
  <c r="T99" i="23" s="1"/>
  <c r="A99" i="23"/>
  <c r="V98" i="23"/>
  <c r="S98" i="23"/>
  <c r="T98" i="23" s="1"/>
  <c r="A98" i="23"/>
  <c r="V97" i="23"/>
  <c r="S97" i="23"/>
  <c r="T97" i="23" s="1"/>
  <c r="A97" i="23"/>
  <c r="V96" i="23"/>
  <c r="S96" i="23"/>
  <c r="T96" i="23" s="1"/>
  <c r="A96" i="23"/>
  <c r="V95" i="23"/>
  <c r="S95" i="23"/>
  <c r="T95" i="23" s="1"/>
  <c r="A95" i="23"/>
  <c r="V94" i="23"/>
  <c r="S94" i="23"/>
  <c r="T94" i="23" s="1"/>
  <c r="A94" i="23"/>
  <c r="V93" i="23"/>
  <c r="S93" i="23"/>
  <c r="T93" i="23" s="1"/>
  <c r="A93" i="23"/>
  <c r="V92" i="23"/>
  <c r="S92" i="23"/>
  <c r="T92" i="23" s="1"/>
  <c r="A92" i="23"/>
  <c r="V91" i="23"/>
  <c r="S91" i="23"/>
  <c r="T91" i="23" s="1"/>
  <c r="A91" i="23"/>
  <c r="V90" i="23"/>
  <c r="S90" i="23"/>
  <c r="T90" i="23" s="1"/>
  <c r="A90" i="23"/>
  <c r="V89" i="23"/>
  <c r="S89" i="23"/>
  <c r="T89" i="23" s="1"/>
  <c r="A89" i="23"/>
  <c r="V88" i="23"/>
  <c r="S88" i="23"/>
  <c r="M88" i="23"/>
  <c r="A88" i="23"/>
  <c r="V87" i="23"/>
  <c r="S87" i="23"/>
  <c r="T87" i="23" s="1"/>
  <c r="A87" i="23"/>
  <c r="V86" i="23"/>
  <c r="S86" i="23"/>
  <c r="T86" i="23" s="1"/>
  <c r="A86" i="23"/>
  <c r="V85" i="23"/>
  <c r="S85" i="23"/>
  <c r="T85" i="23" s="1"/>
  <c r="A85" i="23"/>
  <c r="V84" i="23"/>
  <c r="S84" i="23"/>
  <c r="T84" i="23" s="1"/>
  <c r="A84" i="23"/>
  <c r="V83" i="23"/>
  <c r="S83" i="23"/>
  <c r="T83" i="23" s="1"/>
  <c r="A83" i="23"/>
  <c r="V82" i="23"/>
  <c r="S82" i="23"/>
  <c r="T82" i="23" s="1"/>
  <c r="A82" i="23"/>
  <c r="V81" i="23"/>
  <c r="S81" i="23"/>
  <c r="T81" i="23" s="1"/>
  <c r="A81" i="23"/>
  <c r="V80" i="23"/>
  <c r="S80" i="23"/>
  <c r="T80" i="23" s="1"/>
  <c r="A80" i="23"/>
  <c r="V79" i="23"/>
  <c r="S79" i="23"/>
  <c r="T79" i="23" s="1"/>
  <c r="A79" i="23"/>
  <c r="V78" i="23"/>
  <c r="S78" i="23"/>
  <c r="T78" i="23" s="1"/>
  <c r="A78" i="23"/>
  <c r="V77" i="23"/>
  <c r="S77" i="23"/>
  <c r="T77" i="23" s="1"/>
  <c r="A77" i="23"/>
  <c r="V76" i="23"/>
  <c r="S76" i="23"/>
  <c r="T76" i="23" s="1"/>
  <c r="A76" i="23"/>
  <c r="V75" i="23"/>
  <c r="S75" i="23"/>
  <c r="T75" i="23" s="1"/>
  <c r="A75" i="23"/>
  <c r="V74" i="23"/>
  <c r="S74" i="23"/>
  <c r="T74" i="23" s="1"/>
  <c r="A74" i="23"/>
  <c r="V73" i="23"/>
  <c r="S73" i="23"/>
  <c r="T73" i="23" s="1"/>
  <c r="A73" i="23"/>
  <c r="V72" i="23"/>
  <c r="S72" i="23"/>
  <c r="T72" i="23" s="1"/>
  <c r="A72" i="23"/>
  <c r="V71" i="23"/>
  <c r="S71" i="23"/>
  <c r="T71" i="23" s="1"/>
  <c r="A71" i="23"/>
  <c r="V70" i="23"/>
  <c r="S70" i="23"/>
  <c r="T70" i="23" s="1"/>
  <c r="A70" i="23"/>
  <c r="V69" i="23"/>
  <c r="S69" i="23"/>
  <c r="T69" i="23" s="1"/>
  <c r="A69" i="23"/>
  <c r="V68" i="23"/>
  <c r="S68" i="23"/>
  <c r="T68" i="23" s="1"/>
  <c r="A68" i="23"/>
  <c r="V67" i="23"/>
  <c r="S67" i="23"/>
  <c r="T67" i="23" s="1"/>
  <c r="A67" i="23"/>
  <c r="V66" i="23"/>
  <c r="S66" i="23"/>
  <c r="T66" i="23" s="1"/>
  <c r="A66" i="23"/>
  <c r="V65" i="23"/>
  <c r="S65" i="23"/>
  <c r="T65" i="23" s="1"/>
  <c r="A65" i="23"/>
  <c r="V64" i="23"/>
  <c r="S64" i="23"/>
  <c r="T64" i="23" s="1"/>
  <c r="A64" i="23"/>
  <c r="V63" i="23"/>
  <c r="S63" i="23"/>
  <c r="T63" i="23" s="1"/>
  <c r="A63" i="23"/>
  <c r="V62" i="23"/>
  <c r="S62" i="23"/>
  <c r="T62" i="23" s="1"/>
  <c r="A62" i="23"/>
  <c r="V61" i="23"/>
  <c r="S61" i="23"/>
  <c r="T61" i="23" s="1"/>
  <c r="A61" i="23"/>
  <c r="V60" i="23"/>
  <c r="S60" i="23"/>
  <c r="T60" i="23" s="1"/>
  <c r="A60" i="23"/>
  <c r="V59" i="23"/>
  <c r="S59" i="23"/>
  <c r="M59" i="23"/>
  <c r="A59" i="23"/>
  <c r="V58" i="23"/>
  <c r="S58" i="23"/>
  <c r="T58" i="23" s="1"/>
  <c r="A58" i="23"/>
  <c r="V57" i="23"/>
  <c r="S57" i="23"/>
  <c r="T57" i="23" s="1"/>
  <c r="A57" i="23"/>
  <c r="V56" i="23"/>
  <c r="S56" i="23"/>
  <c r="T56" i="23" s="1"/>
  <c r="A56" i="23"/>
  <c r="V55" i="23"/>
  <c r="S55" i="23"/>
  <c r="T55" i="23" s="1"/>
  <c r="A55" i="23"/>
  <c r="V54" i="23"/>
  <c r="S54" i="23"/>
  <c r="T54" i="23" s="1"/>
  <c r="A54" i="23"/>
  <c r="V53" i="23"/>
  <c r="S53" i="23"/>
  <c r="T53" i="23" s="1"/>
  <c r="A53" i="23"/>
  <c r="V52" i="23"/>
  <c r="S52" i="23"/>
  <c r="T52" i="23" s="1"/>
  <c r="A52" i="23"/>
  <c r="V51" i="23"/>
  <c r="S51" i="23"/>
  <c r="T51" i="23" s="1"/>
  <c r="A51" i="23"/>
  <c r="V50" i="23"/>
  <c r="S50" i="23"/>
  <c r="T50" i="23" s="1"/>
  <c r="A50" i="23"/>
  <c r="V49" i="23"/>
  <c r="S49" i="23"/>
  <c r="T49" i="23" s="1"/>
  <c r="A49" i="23"/>
  <c r="V48" i="23"/>
  <c r="S48" i="23"/>
  <c r="T48" i="23" s="1"/>
  <c r="A48" i="23"/>
  <c r="V47" i="23"/>
  <c r="S47" i="23"/>
  <c r="T47" i="23" s="1"/>
  <c r="A47" i="23"/>
  <c r="V46" i="23"/>
  <c r="S46" i="23"/>
  <c r="T46" i="23" s="1"/>
  <c r="A46" i="23"/>
  <c r="V45" i="23"/>
  <c r="S45" i="23"/>
  <c r="T45" i="23" s="1"/>
  <c r="A45" i="23"/>
  <c r="V44" i="23"/>
  <c r="S44" i="23"/>
  <c r="T44" i="23" s="1"/>
  <c r="A44" i="23"/>
  <c r="V43" i="23"/>
  <c r="S43" i="23"/>
  <c r="T43" i="23" s="1"/>
  <c r="A43" i="23"/>
  <c r="V42" i="23"/>
  <c r="S42" i="23"/>
  <c r="T42" i="23" s="1"/>
  <c r="A42" i="23"/>
  <c r="V41" i="23"/>
  <c r="O41" i="23"/>
  <c r="M41" i="23"/>
  <c r="A41" i="23"/>
  <c r="V40" i="23"/>
  <c r="S40" i="23"/>
  <c r="T40" i="23" s="1"/>
  <c r="A40" i="23"/>
  <c r="V39" i="23"/>
  <c r="S39" i="23"/>
  <c r="M39" i="23"/>
  <c r="A39" i="23"/>
  <c r="V38" i="23"/>
  <c r="S38" i="23"/>
  <c r="T38" i="23" s="1"/>
  <c r="A38" i="23"/>
  <c r="V37" i="23"/>
  <c r="S37" i="23"/>
  <c r="T37" i="23" s="1"/>
  <c r="A37" i="23"/>
  <c r="V36" i="23"/>
  <c r="S36" i="23"/>
  <c r="T36" i="23" s="1"/>
  <c r="A36" i="23"/>
  <c r="V35" i="23"/>
  <c r="S35" i="23"/>
  <c r="T35" i="23" s="1"/>
  <c r="A35" i="23"/>
  <c r="V34" i="23"/>
  <c r="S34" i="23"/>
  <c r="T34" i="23" s="1"/>
  <c r="A34" i="23"/>
  <c r="V33" i="23"/>
  <c r="S33" i="23"/>
  <c r="T33" i="23" s="1"/>
  <c r="A33" i="23"/>
  <c r="V32" i="23"/>
  <c r="S32" i="23"/>
  <c r="T32" i="23" s="1"/>
  <c r="A32" i="23"/>
  <c r="V31" i="23"/>
  <c r="S31" i="23"/>
  <c r="T31" i="23" s="1"/>
  <c r="A31" i="23"/>
  <c r="V30" i="23"/>
  <c r="S30" i="23"/>
  <c r="T30" i="23" s="1"/>
  <c r="A30" i="23"/>
  <c r="V29" i="23"/>
  <c r="S29" i="23"/>
  <c r="T29" i="23" s="1"/>
  <c r="A29" i="23"/>
  <c r="V28" i="23"/>
  <c r="S28" i="23"/>
  <c r="T28" i="23" s="1"/>
  <c r="A28" i="23"/>
  <c r="V27" i="23"/>
  <c r="S27" i="23"/>
  <c r="T27" i="23" s="1"/>
  <c r="A27" i="23"/>
  <c r="V26" i="23"/>
  <c r="S26" i="23"/>
  <c r="T26" i="23" s="1"/>
  <c r="A26" i="23"/>
  <c r="V25" i="23"/>
  <c r="S25" i="23"/>
  <c r="T25" i="23" s="1"/>
  <c r="A25" i="23"/>
  <c r="V24" i="23"/>
  <c r="S24" i="23"/>
  <c r="T24" i="23" s="1"/>
  <c r="A24" i="23"/>
  <c r="V23" i="23"/>
  <c r="S23" i="23"/>
  <c r="T23" i="23" s="1"/>
  <c r="A23" i="23"/>
  <c r="V22" i="23"/>
  <c r="S22" i="23"/>
  <c r="T22" i="23" s="1"/>
  <c r="A22" i="23"/>
  <c r="V21" i="23"/>
  <c r="S21" i="23"/>
  <c r="M21" i="23"/>
  <c r="A21" i="23"/>
  <c r="V20" i="23"/>
  <c r="S20" i="23"/>
  <c r="M20" i="23"/>
  <c r="A20" i="23"/>
  <c r="V19" i="23"/>
  <c r="S19" i="23"/>
  <c r="M19" i="23"/>
  <c r="A19" i="23"/>
  <c r="V18" i="23"/>
  <c r="S18" i="23"/>
  <c r="A18" i="23"/>
  <c r="V17" i="23"/>
  <c r="S17" i="23"/>
  <c r="T17" i="23" s="1"/>
  <c r="A17" i="23"/>
  <c r="U377" i="15" l="1"/>
  <c r="R381" i="15" s="1"/>
  <c r="R382" i="15" s="1"/>
  <c r="U378" i="15"/>
  <c r="L378" i="15" s="1"/>
  <c r="P352" i="24"/>
  <c r="P360" i="24"/>
  <c r="P356" i="24" s="1"/>
  <c r="R352" i="24" s="1"/>
  <c r="R354" i="24" s="1"/>
  <c r="T88" i="23"/>
  <c r="T148" i="23"/>
  <c r="M431" i="23"/>
  <c r="N440" i="23" s="1"/>
  <c r="N437" i="23" s="1"/>
  <c r="T39" i="23"/>
  <c r="T19" i="23"/>
  <c r="T20" i="23"/>
  <c r="O431" i="23"/>
  <c r="N433" i="23" s="1"/>
  <c r="S41" i="23"/>
  <c r="T41" i="23" s="1"/>
  <c r="T59" i="23"/>
  <c r="T149" i="23"/>
  <c r="T18" i="23"/>
  <c r="T21" i="23"/>
  <c r="P353" i="24" l="1"/>
  <c r="P354" i="24" s="1"/>
  <c r="P362" i="24" s="1"/>
  <c r="T431" i="23"/>
  <c r="S431" i="23"/>
  <c r="N434" i="23" s="1"/>
  <c r="N435" i="23" s="1"/>
  <c r="N444" i="23" s="1"/>
  <c r="F66" i="14" l="1"/>
  <c r="Q62" i="14"/>
  <c r="P62" i="14"/>
  <c r="O62" i="14"/>
  <c r="M62" i="14"/>
  <c r="L62" i="14"/>
  <c r="F65" i="14" s="1"/>
  <c r="E62" i="14"/>
  <c r="D62" i="14"/>
  <c r="R61" i="14"/>
  <c r="S61" i="14" s="1"/>
  <c r="R60" i="14"/>
  <c r="S60" i="14" s="1"/>
  <c r="R59" i="14"/>
  <c r="S59" i="14" s="1"/>
  <c r="R58" i="14"/>
  <c r="S58" i="14" s="1"/>
  <c r="R57" i="14"/>
  <c r="S57" i="14" s="1"/>
  <c r="R56" i="14"/>
  <c r="S56" i="14" s="1"/>
  <c r="R55" i="14"/>
  <c r="S55" i="14" s="1"/>
  <c r="R54" i="14"/>
  <c r="S54" i="14" s="1"/>
  <c r="R53" i="14"/>
  <c r="S53" i="14" s="1"/>
  <c r="R52" i="14"/>
  <c r="S52" i="14" s="1"/>
  <c r="R51" i="14"/>
  <c r="S51" i="14" s="1"/>
  <c r="R50" i="14"/>
  <c r="S50" i="14" s="1"/>
  <c r="R49" i="14"/>
  <c r="S49" i="14" s="1"/>
  <c r="R48" i="14"/>
  <c r="S48" i="14" s="1"/>
  <c r="R47" i="14"/>
  <c r="S47" i="14" s="1"/>
  <c r="R46" i="14"/>
  <c r="S46" i="14" s="1"/>
  <c r="R45" i="14"/>
  <c r="S45" i="14" s="1"/>
  <c r="R44" i="14"/>
  <c r="S44" i="14" s="1"/>
  <c r="R43" i="14"/>
  <c r="S43" i="14" s="1"/>
  <c r="R42" i="14"/>
  <c r="S42" i="14" s="1"/>
  <c r="R41" i="14"/>
  <c r="S41" i="14" s="1"/>
  <c r="R40" i="14"/>
  <c r="S40" i="14" s="1"/>
  <c r="R39" i="14"/>
  <c r="S39" i="14" s="1"/>
  <c r="R38" i="14"/>
  <c r="S38" i="14" s="1"/>
  <c r="R37" i="14"/>
  <c r="S37" i="14" s="1"/>
  <c r="R36" i="14"/>
  <c r="S36" i="14" s="1"/>
  <c r="R35" i="14"/>
  <c r="S35" i="14" s="1"/>
  <c r="R34" i="14"/>
  <c r="S34" i="14" s="1"/>
  <c r="R33" i="14"/>
  <c r="S33" i="14" s="1"/>
  <c r="R32" i="14"/>
  <c r="S32" i="14" s="1"/>
  <c r="R31" i="14"/>
  <c r="S31" i="14" s="1"/>
  <c r="R30" i="14"/>
  <c r="S30" i="14" s="1"/>
  <c r="R29" i="14"/>
  <c r="S29" i="14" s="1"/>
  <c r="R28" i="14"/>
  <c r="S28" i="14" s="1"/>
  <c r="R27" i="14"/>
  <c r="S27" i="14" s="1"/>
  <c r="R26" i="14"/>
  <c r="S26" i="14" s="1"/>
  <c r="N26" i="14"/>
  <c r="N25" i="14"/>
  <c r="R25" i="14" s="1"/>
  <c r="S25" i="14" s="1"/>
  <c r="N24" i="14"/>
  <c r="R24" i="14" s="1"/>
  <c r="S24" i="14" s="1"/>
  <c r="N23" i="14"/>
  <c r="R23" i="14" s="1"/>
  <c r="S23" i="14" s="1"/>
  <c r="R22" i="14"/>
  <c r="S22" i="14" s="1"/>
  <c r="N22" i="14"/>
  <c r="N21" i="14"/>
  <c r="R21" i="14" s="1"/>
  <c r="S21" i="14" s="1"/>
  <c r="N20" i="14"/>
  <c r="R20" i="14" s="1"/>
  <c r="S20" i="14" s="1"/>
  <c r="N19" i="14"/>
  <c r="R19" i="14" s="1"/>
  <c r="S19" i="14" s="1"/>
  <c r="R18" i="14"/>
  <c r="S18" i="14" s="1"/>
  <c r="N18" i="14"/>
  <c r="N17" i="14"/>
  <c r="R17" i="14" s="1"/>
  <c r="Q37" i="17"/>
  <c r="P37" i="17"/>
  <c r="O37" i="17"/>
  <c r="M37" i="17"/>
  <c r="F41" i="17" s="1"/>
  <c r="L37" i="17"/>
  <c r="F40" i="17" s="1"/>
  <c r="E37" i="17"/>
  <c r="D37" i="17"/>
  <c r="R36" i="17"/>
  <c r="S36" i="17" s="1"/>
  <c r="S35" i="17"/>
  <c r="R35" i="17"/>
  <c r="R34" i="17"/>
  <c r="S34" i="17" s="1"/>
  <c r="S33" i="17"/>
  <c r="R33" i="17"/>
  <c r="R32" i="17"/>
  <c r="S32" i="17" s="1"/>
  <c r="S31" i="17"/>
  <c r="R31" i="17"/>
  <c r="R30" i="17"/>
  <c r="S30" i="17" s="1"/>
  <c r="S29" i="17"/>
  <c r="R29" i="17"/>
  <c r="R28" i="17"/>
  <c r="S28" i="17" s="1"/>
  <c r="S27" i="17"/>
  <c r="R27" i="17"/>
  <c r="N26" i="17"/>
  <c r="R26" i="17" s="1"/>
  <c r="S26" i="17" s="1"/>
  <c r="N25" i="17"/>
  <c r="R25" i="17" s="1"/>
  <c r="S25" i="17" s="1"/>
  <c r="N24" i="17"/>
  <c r="R24" i="17" s="1"/>
  <c r="S24" i="17" s="1"/>
  <c r="R23" i="17"/>
  <c r="S23" i="17" s="1"/>
  <c r="N23" i="17"/>
  <c r="N22" i="17"/>
  <c r="R22" i="17" s="1"/>
  <c r="S22" i="17" s="1"/>
  <c r="N21" i="17"/>
  <c r="R21" i="17" s="1"/>
  <c r="S21" i="17" s="1"/>
  <c r="N20" i="17"/>
  <c r="R20" i="17" s="1"/>
  <c r="S20" i="17" s="1"/>
  <c r="R19" i="17"/>
  <c r="S19" i="17" s="1"/>
  <c r="N19" i="17"/>
  <c r="N18" i="17"/>
  <c r="R18" i="17" s="1"/>
  <c r="S18" i="17" s="1"/>
  <c r="N17" i="17"/>
  <c r="N37" i="17" s="1"/>
  <c r="F38" i="18"/>
  <c r="Q34" i="18"/>
  <c r="P34" i="18"/>
  <c r="O34" i="18"/>
  <c r="N34" i="18"/>
  <c r="M34" i="18"/>
  <c r="L34" i="18"/>
  <c r="F37" i="18" s="1"/>
  <c r="E34" i="18"/>
  <c r="D34" i="18"/>
  <c r="R33" i="18"/>
  <c r="S33" i="18" s="1"/>
  <c r="R32" i="18"/>
  <c r="S32" i="18" s="1"/>
  <c r="R31" i="18"/>
  <c r="S31" i="18" s="1"/>
  <c r="R30" i="18"/>
  <c r="S30" i="18" s="1"/>
  <c r="R29" i="18"/>
  <c r="S29" i="18" s="1"/>
  <c r="R28" i="18"/>
  <c r="S28" i="18" s="1"/>
  <c r="R27" i="18"/>
  <c r="S27" i="18" s="1"/>
  <c r="R26" i="18"/>
  <c r="S26" i="18" s="1"/>
  <c r="R25" i="18"/>
  <c r="S25" i="18" s="1"/>
  <c r="R24" i="18"/>
  <c r="S24" i="18" s="1"/>
  <c r="R23" i="18"/>
  <c r="S23" i="18" s="1"/>
  <c r="R22" i="18"/>
  <c r="S22" i="18" s="1"/>
  <c r="R21" i="18"/>
  <c r="S21" i="18" s="1"/>
  <c r="R20" i="18"/>
  <c r="S20" i="18" s="1"/>
  <c r="R19" i="18"/>
  <c r="S19" i="18" s="1"/>
  <c r="R18" i="18"/>
  <c r="R34" i="18" s="1"/>
  <c r="R17" i="18"/>
  <c r="S17" i="18" s="1"/>
  <c r="F27" i="19"/>
  <c r="F26" i="19"/>
  <c r="R23" i="19"/>
  <c r="Q23" i="19"/>
  <c r="P23" i="19"/>
  <c r="N23" i="19"/>
  <c r="M23" i="19"/>
  <c r="L23" i="19"/>
  <c r="E23" i="19"/>
  <c r="D23" i="19"/>
  <c r="S22" i="19"/>
  <c r="O22" i="19"/>
  <c r="T22" i="19" s="1"/>
  <c r="T21" i="19"/>
  <c r="S21" i="19"/>
  <c r="O21" i="19"/>
  <c r="S20" i="19"/>
  <c r="T20" i="19" s="1"/>
  <c r="O20" i="19"/>
  <c r="S19" i="19"/>
  <c r="S23" i="19" s="1"/>
  <c r="O19" i="19"/>
  <c r="T19" i="19" s="1"/>
  <c r="S18" i="19"/>
  <c r="O18" i="19"/>
  <c r="T18" i="19" s="1"/>
  <c r="T17" i="19"/>
  <c r="T23" i="19" s="1"/>
  <c r="F25" i="19" s="1"/>
  <c r="S17" i="19"/>
  <c r="O17" i="19"/>
  <c r="R62" i="14" l="1"/>
  <c r="S17" i="14"/>
  <c r="S62" i="14" s="1"/>
  <c r="F64" i="14" s="1"/>
  <c r="N62" i="14"/>
  <c r="S18" i="18"/>
  <c r="S34" i="18" s="1"/>
  <c r="F36" i="18" s="1"/>
  <c r="R17" i="17"/>
  <c r="O23" i="19"/>
  <c r="R389" i="15"/>
  <c r="R385" i="15" s="1"/>
  <c r="R393" i="15" s="1"/>
  <c r="L380" i="15" l="1"/>
  <c r="R37" i="17"/>
  <c r="S17" i="17"/>
  <c r="S37" i="17" s="1"/>
  <c r="F3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tc={590670C6-A589-45FF-AE23-DB0A1643958F}</author>
    <author>kinhdoanh_03</author>
  </authors>
  <commentList>
    <comment ref="O39" authorId="0" shapeId="0" xr:uid="{590670C6-A589-45FF-AE23-DB0A1643958F}">
      <text>
        <t>[Threaded comment]
Your version of Excel allows you to read this threaded comment; however, any edits to it will get removed if the file is opened in a newer version of Excel. Learn more: https://go.microsoft.com/fwlink/?linkid=870924
Comment:
    NPL TỰ TT</t>
      </text>
    </comment>
    <comment ref="U114" authorId="1" shapeId="0" xr:uid="{8D3B81F0-3290-435D-ABB5-01059B4DB99D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VÉ PHÍ LẤY SP ICT 260K
</t>
        </r>
      </text>
    </comment>
    <comment ref="U191" authorId="1" shapeId="0" xr:uid="{C0CD1E01-2E25-43F7-8A5F-6D71B8A7E79F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QA NĂM CHÂU LẤY HÀNG PHỤ THU 500K
</t>
        </r>
      </text>
    </comment>
    <comment ref="U192" authorId="1" shapeId="0" xr:uid="{27DA9FA3-1CD2-4526-A812-0C1915C597E5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QA NĂM CHÂU LẤY HÀNG PHỤ THU 500K
</t>
        </r>
      </text>
    </comment>
    <comment ref="U193" authorId="1" shapeId="0" xr:uid="{F650DD4A-266D-4FB7-8D0B-6D980E019B93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U194" authorId="1" shapeId="0" xr:uid="{F66EB85D-4F13-4FAD-A144-37E38119D3CB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U195" authorId="1" shapeId="0" xr:uid="{A7E64557-4D45-4BE2-ACED-CEA3B59C9DD1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U196" authorId="1" shapeId="0" xr:uid="{2C052CAF-12C8-483B-94A1-45066AC57691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U197" authorId="1" shapeId="0" xr:uid="{09708554-74B1-4D6A-A5BE-002826D26471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LỆNH HẠ SPITC, XIN HẠ SOLOG ĐỠ DẦU VÉ CTY =&gt; DUYỆT CHI PHÍ HẠ TRÁI TUYẾN
</t>
        </r>
      </text>
    </comment>
    <comment ref="U217" authorId="1" shapeId="0" xr:uid="{96E99AE3-D225-4385-ADB2-01AC80EF1126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CONT REUSE
</t>
        </r>
      </text>
    </comment>
    <comment ref="U218" authorId="1" shapeId="0" xr:uid="{86FF9883-190E-411C-BBE9-FF49ECF025C0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CONT REUSE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" authorId="0" shapeId="0" xr:uid="{4DBF26A8-FCA3-401C-96D5-23F7F9456E09}">
      <text>
        <r>
          <rPr>
            <sz val="10"/>
            <rFont val="SimSun"/>
            <charset val="134"/>
          </rPr>
          <t>bill này 261581096: có 2 cont MTSU9634963+ HASU4385150 kiểm hóa, nên phí nâng Trà khai 2 cont xuất bù bill 261611944 . Zalo nhóm 06.11.2025
	-05 Kế Toán</t>
        </r>
      </text>
    </comment>
    <comment ref="E32" authorId="0" shapeId="0" xr:uid="{3C93142E-2ED5-4F68-9969-D5D62E830201}">
      <text>
        <r>
          <rPr>
            <sz val="10"/>
            <rFont val="SimSun"/>
            <charset val="134"/>
          </rPr>
          <t>bill này 261581096: có 2 cont MTSU9634963+ HASU4385150 kiểm hóa, nên phí nâng Trà khai 2 cont xuất bù bill 261611944 . Zalo nhóm 06.11.2025
	-05 Kế Toán</t>
        </r>
      </text>
    </comment>
    <comment ref="E39" authorId="0" shapeId="0" xr:uid="{5732EB6D-970B-49E3-B1D9-6C056FB15181}">
      <text>
        <r>
          <rPr>
            <sz val="10"/>
            <rFont val="SimSun"/>
            <charset val="134"/>
          </rPr>
          <t>bill này 261581096: có 2 cont MTSU9634963+ HASU4385150 kiểm hóa, nên phí nâng Trà khai 2 cont xuất bù bill 261611944 . Zalo nhóm 06.11.2025
	-05 Kế Toán</t>
        </r>
      </text>
    </comment>
    <comment ref="E40" authorId="0" shapeId="0" xr:uid="{94FC64F2-F133-4942-AA69-28E547FC5333}">
      <text>
        <r>
          <rPr>
            <sz val="10"/>
            <rFont val="SimSun"/>
            <charset val="134"/>
          </rPr>
          <t>bill này 261581096: có 2 cont MTSU9634963+ HASU4385150 kiểm hóa, nên phí nâng Trà khai 2 cont xuất bù bill 261611944 . Zalo nhóm 06.11.2025
	-05 Kế Toán</t>
        </r>
      </text>
    </comment>
    <comment ref="E182" authorId="0" shapeId="0" xr:uid="{0DA33F45-F8A3-48EB-B7F4-0E32FA0B6337}">
      <text>
        <r>
          <rPr>
            <sz val="10"/>
            <rFont val="SimSun"/>
            <charset val="134"/>
          </rPr>
          <t>DÙNG RỖNG REUSE
	-Tài Đức Vận tải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kinhdoanh_03</author>
  </authors>
  <commentList>
    <comment ref="M41" authorId="0" shapeId="0" xr:uid="{BF422202-9DFE-44F6-ABE6-A84B2AC7CFFB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phí lệch tải: 500k</t>
        </r>
      </text>
    </comment>
    <comment ref="M59" authorId="0" shapeId="0" xr:uid="{2ECEAD82-CB9A-4542-A727-BA8B0ED5C8E2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phí lệch tải 500k
</t>
        </r>
      </text>
    </comment>
    <comment ref="O114" authorId="0" shapeId="0" xr:uid="{32094B78-4B1C-4CC0-B7E8-89FA89D325D5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VÉ PHÍ LẤY SP ICT 260K
</t>
        </r>
      </text>
    </comment>
    <comment ref="O191" authorId="0" shapeId="0" xr:uid="{55D103FA-87EF-4442-A4D3-B6436CDF5A0E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QA NĂM CHÂU LẤY HÀNG PHỤ THU 500K
</t>
        </r>
      </text>
    </comment>
    <comment ref="O192" authorId="0" shapeId="0" xr:uid="{70C8CE7E-0C3B-4240-8B11-915ED52156E9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QA NĂM CHÂU LẤY HÀNG PHỤ THU 500K
</t>
        </r>
      </text>
    </comment>
    <comment ref="O193" authorId="0" shapeId="0" xr:uid="{1CDCC7CE-3142-4947-B5DB-FFA575C1195C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QUA KHO NAUTRAL LẤY HÀNG PHỤ THU 2TR/1 XE
</t>
        </r>
      </text>
    </comment>
    <comment ref="O194" authorId="0" shapeId="0" xr:uid="{E96CE330-3459-4734-AAE5-94204EB3F527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QUA KHO NAUTRAL LẤY HÀNG PHỤ THU 2TR/1 </t>
        </r>
      </text>
    </comment>
    <comment ref="O195" authorId="0" shapeId="0" xr:uid="{8B7F9680-9939-48F4-A4C0-2E66239B4A53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QUA KHO NAUTRAL LẤY HÀNG PHỤ THU 2TR/1 </t>
        </r>
      </text>
    </comment>
    <comment ref="O196" authorId="0" shapeId="0" xr:uid="{BF342C6B-91FD-4D65-AA78-5AFF8AEF535E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CHUYỂN KHO TỪ PRIME WOOD QUA KHO NAUTRAL LẤY HÀNG PHỤ THU 2TR/1 </t>
        </r>
      </text>
    </comment>
    <comment ref="O197" authorId="0" shapeId="0" xr:uid="{DD933DBB-D39A-492B-BE9C-ABEEC24FD155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LỆNH HẠ SPITC, XIN HẠ SOLOG ĐỠ DẦU VÉ CTY =&gt; DUYỆT CHI PHÍ HẠ TRÁI TUYẾN
</t>
        </r>
      </text>
    </comment>
    <comment ref="O201" authorId="0" shapeId="0" xr:uid="{7EEF8559-7FC6-4305-AFFD-F0B77A268827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VÉ PHÍ SP ICT 260K</t>
        </r>
      </text>
    </comment>
    <comment ref="O202" authorId="0" shapeId="0" xr:uid="{1F643071-31F2-4B99-83DC-064702C4315E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É PHÍ SP ICT 260K</t>
        </r>
      </text>
    </comment>
    <comment ref="O203" authorId="0" shapeId="0" xr:uid="{03C20964-4729-4E72-AE55-748B57163B79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É PHÍ SP ICT 260K</t>
        </r>
      </text>
    </comment>
    <comment ref="O217" authorId="0" shapeId="0" xr:uid="{2AA15B72-D9CD-4B78-B9AF-D77D15F07291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CONT REUSE
</t>
        </r>
      </text>
    </comment>
    <comment ref="O218" authorId="0" shapeId="0" xr:uid="{8CD6C0F4-0D2D-4018-BC91-7AAA4CC0B4C3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CONT REUSE</t>
        </r>
      </text>
    </comment>
    <comment ref="O357" authorId="0" shapeId="0" xr:uid="{EACDCE4C-4D83-491F-BC6B-CE1825635347}">
      <text>
        <r>
          <rPr>
            <b/>
            <sz val="9"/>
            <rFont val="Tahoma"/>
            <family val="2"/>
          </rPr>
          <t>kinhdoanh_03:</t>
        </r>
        <r>
          <rPr>
            <sz val="9"/>
            <rFont val="Tahoma"/>
            <family val="2"/>
          </rPr>
          <t xml:space="preserve">
VÉ PHÍ SP 260K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kinhdoanh_03</author>
  </authors>
  <commentList>
    <comment ref="S29" authorId="0" shapeId="0" xr:uid="{92AC1FA4-F378-4CF9-B690-60BAE3775F0F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VÉ PHÍ LẤY SP ICT 260K
</t>
        </r>
      </text>
    </comment>
    <comment ref="S106" authorId="0" shapeId="0" xr:uid="{9A9C3192-C20C-452D-A42E-829DCE22261B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QA NĂM CHÂU LẤY HÀNG PHỤ THU 500K
</t>
        </r>
      </text>
    </comment>
    <comment ref="S107" authorId="0" shapeId="0" xr:uid="{97633837-EDAF-4F2D-A80C-848794F799B0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QA NĂM CHÂU LẤY HÀNG PHỤ THU 500K
</t>
        </r>
      </text>
    </comment>
    <comment ref="S108" authorId="0" shapeId="0" xr:uid="{969AEF70-A8A8-4ADC-8B74-A174698015FD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S109" authorId="0" shapeId="0" xr:uid="{4A9E39F0-33EC-4FE6-AF45-CAA32E07D8DE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S110" authorId="0" shapeId="0" xr:uid="{1DDEFC7A-B50C-4B33-8526-D9B566F7FB1D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S111" authorId="0" shapeId="0" xr:uid="{57A2483A-5121-424C-8222-11BC1E801D45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CHUYỂN KHO TỪ PRIME WOOD QUA KHO NAUTRAL LẤY HÀNG PHỤ THU 2TR/1 </t>
        </r>
      </text>
    </comment>
    <comment ref="S112" authorId="0" shapeId="0" xr:uid="{8B36ADE9-DBF6-485C-8F8C-340A0A5FDFEE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LỆNH HẠ SPITC, XIN HẠ SOLOG ĐỠ DẦU VÉ CTY =&gt; DUYỆT CHI PHÍ HẠ TRÁI TUYẾN
</t>
        </r>
      </text>
    </comment>
    <comment ref="S132" authorId="0" shapeId="0" xr:uid="{1472418C-3A02-4580-B48A-35CD57F157F2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CONT REUSE
</t>
        </r>
      </text>
    </comment>
    <comment ref="S133" authorId="0" shapeId="0" xr:uid="{EECBCF54-EB38-4CDA-9F98-02910C51DDD4}">
      <text>
        <r>
          <rPr>
            <b/>
            <sz val="9"/>
            <rFont val="Calibri"/>
            <family val="2"/>
            <scheme val="minor"/>
          </rPr>
          <t>kinhdoanh_03:</t>
        </r>
        <r>
          <rPr>
            <sz val="9"/>
            <rFont val="Calibri"/>
            <family val="2"/>
            <scheme val="minor"/>
          </rPr>
          <t xml:space="preserve">
CONT REUSE</t>
        </r>
      </text>
    </comment>
  </commentList>
</comments>
</file>

<file path=xl/sharedStrings.xml><?xml version="1.0" encoding="utf-8"?>
<sst xmlns="http://schemas.openxmlformats.org/spreadsheetml/2006/main" count="11380" uniqueCount="1699">
  <si>
    <t xml:space="preserve">                     BẢNG KÊ VẬN CHUYỂN KIÊM BIÊN BẢN BÀN GIAO HÀNG HÓA THÁNG 04/2025</t>
  </si>
  <si>
    <t>Đính kèm HĐ số : 00001400, kí hiệu 1C25TPL, Ngày 29/04/2025</t>
  </si>
  <si>
    <t xml:space="preserve">             </t>
  </si>
  <si>
    <t xml:space="preserve">Đơn vị vận chuyển: </t>
  </si>
  <si>
    <t>CÔNG TY CỔ PHẦN LOGISTICS nPL</t>
  </si>
  <si>
    <t>Địa chỉ:</t>
  </si>
  <si>
    <t>13C Đường số 13C, Phường Bình Trị Đông B, Quận Bình Tân, Thành Phố Hồ Chí Minh, Việt Nam</t>
  </si>
  <si>
    <t>Số tài khoản:</t>
  </si>
  <si>
    <t>0313103204</t>
  </si>
  <si>
    <t>Điện thoại:</t>
  </si>
  <si>
    <t xml:space="preserve">Đơn vị  thuê vận chuyển: </t>
  </si>
  <si>
    <t>CÔNG TY TNHH SMART CHOICE LOGISTICS</t>
  </si>
  <si>
    <t>Lầu 5 sau, Tòa nhà PLS Số 23 Đường Tân Cảng, Phường 25, Quận Bình Thạnh, Thành Phố Hồ Chí Minh, Việt Nam</t>
  </si>
  <si>
    <t>Mã số thuế</t>
  </si>
  <si>
    <t>0317852620</t>
  </si>
  <si>
    <t>STT</t>
  </si>
  <si>
    <t>Ngày vận chuyển</t>
  </si>
  <si>
    <t>Số Bill</t>
  </si>
  <si>
    <t>Loại cont</t>
  </si>
  <si>
    <t>Số Cont</t>
  </si>
  <si>
    <t>Kho đóng hàng/giao hàng</t>
  </si>
  <si>
    <t>Địa điểm đóng hàng/giao hàng</t>
  </si>
  <si>
    <t>Nơi lấy cont</t>
  </si>
  <si>
    <t>Nơi hạ cont</t>
  </si>
  <si>
    <t>HĐ hạ</t>
  </si>
  <si>
    <t>phí hạ</t>
  </si>
  <si>
    <t>Cược cont</t>
  </si>
  <si>
    <t xml:space="preserve"> Các khoản dịch vụ </t>
  </si>
  <si>
    <t>Thành tiền dịch vụ (cả VAT)</t>
  </si>
  <si>
    <t>Phí vận chuyển</t>
  </si>
  <si>
    <t>Thuế VAT (8%)</t>
  </si>
  <si>
    <t>Phí cân xe</t>
  </si>
  <si>
    <t>Phí hạ/lấy rỗng xa</t>
  </si>
  <si>
    <t>Phí BOT SP-ITC</t>
  </si>
  <si>
    <t>19/04/2025</t>
  </si>
  <si>
    <t>LHV3612543</t>
  </si>
  <si>
    <t>ECMU7016114</t>
  </si>
  <si>
    <t>Kho Thuận An</t>
  </si>
  <si>
    <t>Chơn Thành, Bình Phước</t>
  </si>
  <si>
    <t>Cát Lái</t>
  </si>
  <si>
    <t>Tây Nam Bình Dương</t>
  </si>
  <si>
    <t>00023218</t>
  </si>
  <si>
    <t>FBLU0206674</t>
  </si>
  <si>
    <t>00023435</t>
  </si>
  <si>
    <t>SEGU5324634</t>
  </si>
  <si>
    <t>00023268</t>
  </si>
  <si>
    <t>TGCU0060842</t>
  </si>
  <si>
    <t>00023052</t>
  </si>
  <si>
    <t>TLLU4531948</t>
  </si>
  <si>
    <t>00023074</t>
  </si>
  <si>
    <t>TLLU5109752</t>
  </si>
  <si>
    <t>00023114</t>
  </si>
  <si>
    <t>Tổng cộng</t>
  </si>
  <si>
    <t>Chúng tôi xác nhận công nợ vận chuyển tháng 04/2025 như sau:</t>
  </si>
  <si>
    <t>Phí Chi hộ</t>
  </si>
  <si>
    <t>Phí cược cont</t>
  </si>
  <si>
    <t>ĐẠI DIỆN BÊN THUÊ VẬN CHUYỂN</t>
  </si>
  <si>
    <t>ĐẠI DIỆN VẬN CHUYỂN</t>
  </si>
  <si>
    <t>Đính kèm HĐ số 00001399, kí hiệu 1C25TPL, Ngày 29/04/2025</t>
  </si>
  <si>
    <t>MEDURA136981</t>
  </si>
  <si>
    <t>DFSU7790868</t>
  </si>
  <si>
    <t>Solog Sóng Thần</t>
  </si>
  <si>
    <t>00072343</t>
  </si>
  <si>
    <t>MEDU7762504</t>
  </si>
  <si>
    <t>00072647</t>
  </si>
  <si>
    <t>MSCU5330017</t>
  </si>
  <si>
    <t>00072218</t>
  </si>
  <si>
    <t>MEDU4771729</t>
  </si>
  <si>
    <t>00072234</t>
  </si>
  <si>
    <t>CAIU7218110</t>
  </si>
  <si>
    <t>00072402</t>
  </si>
  <si>
    <t>22/04/2025</t>
  </si>
  <si>
    <t>MEDUFK245977</t>
  </si>
  <si>
    <t>BSIU9420260</t>
  </si>
  <si>
    <t>Medlog Song Than 3</t>
  </si>
  <si>
    <t>11738</t>
  </si>
  <si>
    <t>CAIU7769555</t>
  </si>
  <si>
    <t>11759</t>
  </si>
  <si>
    <t>DFSU7298837</t>
  </si>
  <si>
    <t>11740</t>
  </si>
  <si>
    <t>CXDU2118462</t>
  </si>
  <si>
    <t>11700</t>
  </si>
  <si>
    <t>CARU9771368</t>
  </si>
  <si>
    <t>11657</t>
  </si>
  <si>
    <t>24/04/2025</t>
  </si>
  <si>
    <t>EGLV064500006463</t>
  </si>
  <si>
    <t>TEMU6266668</t>
  </si>
  <si>
    <t>G-Fortune Đồng An</t>
  </si>
  <si>
    <t>139853</t>
  </si>
  <si>
    <t>EITU9095232</t>
  </si>
  <si>
    <t>139780</t>
  </si>
  <si>
    <t>TGBU4682537</t>
  </si>
  <si>
    <t>139903</t>
  </si>
  <si>
    <t>EMCU8355468</t>
  </si>
  <si>
    <t>139792</t>
  </si>
  <si>
    <t>TCNU1659533</t>
  </si>
  <si>
    <t>00140125</t>
  </si>
  <si>
    <t>EITU1834790</t>
  </si>
  <si>
    <t>00142174</t>
  </si>
  <si>
    <t>TEMU6121197</t>
  </si>
  <si>
    <t>00141426</t>
  </si>
  <si>
    <t>Đính kèm HĐ số 00001401, kí hiệu 1C25TPL Ngày 29/04/2025</t>
  </si>
  <si>
    <t xml:space="preserve"> Các khoản dịch vụ</t>
  </si>
  <si>
    <t>N755275679</t>
  </si>
  <si>
    <t>CAIU7872732</t>
  </si>
  <si>
    <t>00066016</t>
  </si>
  <si>
    <t>SEGU5483209</t>
  </si>
  <si>
    <t>00020182</t>
  </si>
  <si>
    <t>TGBU5564040</t>
  </si>
  <si>
    <t>00121079</t>
  </si>
  <si>
    <t>YMMU6821171</t>
  </si>
  <si>
    <t>00120522</t>
  </si>
  <si>
    <t>YMMU6999630</t>
  </si>
  <si>
    <t>00120413</t>
  </si>
  <si>
    <t>TCNU1444303</t>
  </si>
  <si>
    <t>00020523</t>
  </si>
  <si>
    <t>TEMU7714140</t>
  </si>
  <si>
    <t>00120561</t>
  </si>
  <si>
    <t>TEMU8945333</t>
  </si>
  <si>
    <t>00120034</t>
  </si>
  <si>
    <t>TGBU6760475</t>
  </si>
  <si>
    <t>00120045</t>
  </si>
  <si>
    <t>YMMU6860809</t>
  </si>
  <si>
    <t>00120653</t>
  </si>
  <si>
    <t>MEDUFK105452</t>
  </si>
  <si>
    <t>SEGU6109256</t>
  </si>
  <si>
    <t>11638</t>
  </si>
  <si>
    <t>MSCU5284652</t>
  </si>
  <si>
    <t>11685</t>
  </si>
  <si>
    <t>CAIU9799543</t>
  </si>
  <si>
    <t>11691</t>
  </si>
  <si>
    <t>MSMU7589455</t>
  </si>
  <si>
    <t>11706</t>
  </si>
  <si>
    <t>MSNU5124149</t>
  </si>
  <si>
    <t>11712</t>
  </si>
  <si>
    <t>23/04/2025</t>
  </si>
  <si>
    <t>UETU5580670</t>
  </si>
  <si>
    <t>11920</t>
  </si>
  <si>
    <t>TRHU7998224</t>
  </si>
  <si>
    <t>12019</t>
  </si>
  <si>
    <t>MSMU5222558</t>
  </si>
  <si>
    <t>12004</t>
  </si>
  <si>
    <t>MSDU6047577</t>
  </si>
  <si>
    <t>11973</t>
  </si>
  <si>
    <t>CAAU7126509</t>
  </si>
  <si>
    <t>11977</t>
  </si>
  <si>
    <t>Đính kèm HĐ số….. Ngày ,,,,,</t>
  </si>
  <si>
    <t xml:space="preserve"> Các khoản dịch vụ (Đã bao gồm VAT) </t>
  </si>
  <si>
    <t>14/04/2025</t>
  </si>
  <si>
    <t>COSU6408782930</t>
  </si>
  <si>
    <t>UETU6533668</t>
  </si>
  <si>
    <t>Kho Brotex</t>
  </si>
  <si>
    <t>KCN Phước Đông, Tây Ninh</t>
  </si>
  <si>
    <t>Chân Thật Sóng Thần</t>
  </si>
  <si>
    <t>00051437</t>
  </si>
  <si>
    <t>TGHU9725145</t>
  </si>
  <si>
    <t>00051553</t>
  </si>
  <si>
    <t xml:space="preserve">                     BẢNG KÊ VẬN CHUYỂN KIÊM BIÊN BẢN BÀN GIAO HÀNG HÓA THÁNG 10/2025</t>
  </si>
  <si>
    <t xml:space="preserve">Đính kèm HĐ số  , Ký hiệu, ngày 0/10/2025 </t>
  </si>
  <si>
    <t>Đơn vị vận chuyển:       CÔNG TY CỔ PHẦN LOGISTICS nPL</t>
  </si>
  <si>
    <t>Địa chỉ:                         13C Đường số 13C, Phường An Lạc, Thành phố Hồ Chí Minh, Việt Nam</t>
  </si>
  <si>
    <t>Mã số thuế:                   0313103204</t>
  </si>
  <si>
    <t>Tài khoản :                   11800 266 7817  Ngân hàng Vietinbank - Chi nhánh 3 - Tp.HCM</t>
  </si>
  <si>
    <t>Đơn vị vận chuyển:       CÔNG TY TNHH VẬN TẢI TÀI ĐỨC</t>
  </si>
  <si>
    <t>Địa chỉ:                          Số 4D/4A Đường Nguyễn Du, Phường Bình Hòa, Thành phố Thuận An, Tỉnh Bình Dương, Việt Nam</t>
  </si>
  <si>
    <t>Mã số thuế:                    3703283283</t>
  </si>
  <si>
    <t>Số xe</t>
  </si>
  <si>
    <t>HĐ hạn/ nâng</t>
  </si>
  <si>
    <t>phí hạ/ nâng</t>
  </si>
  <si>
    <t>neo xe</t>
  </si>
  <si>
    <t>OOCU9433379</t>
  </si>
  <si>
    <t>50E-32702</t>
  </si>
  <si>
    <t>TRIỆU VƯỢNG</t>
  </si>
  <si>
    <t>THỦ DẦU MỘT, BÌNH DƯƠNG</t>
  </si>
  <si>
    <t>Depot Chân Thật Sóng Thần</t>
  </si>
  <si>
    <t>00121431</t>
  </si>
  <si>
    <t>đn ct</t>
  </si>
  <si>
    <t>YMJAN851149171</t>
  </si>
  <si>
    <t>YMMU6226693</t>
  </si>
  <si>
    <t>50H-09623</t>
  </si>
  <si>
    <t>DONG LIU</t>
  </si>
  <si>
    <t>CHƠN THÀNH, BÌNH PHƯỚC</t>
  </si>
  <si>
    <t>Suối Tiên Long Thạnh Mỹ Depot</t>
  </si>
  <si>
    <t>00133277</t>
  </si>
  <si>
    <t>YMMU6759136</t>
  </si>
  <si>
    <t>51C-47877</t>
  </si>
  <si>
    <t xml:space="preserve"> 00133339
 00003753</t>
  </si>
  <si>
    <t>YMMU7045067</t>
  </si>
  <si>
    <t>51D-11483</t>
  </si>
  <si>
    <t>00133378
 00003754</t>
  </si>
  <si>
    <t>YMLU8941341</t>
  </si>
  <si>
    <t>51C-59687</t>
  </si>
  <si>
    <t xml:space="preserve"> 00133300
00003749</t>
  </si>
  <si>
    <t>YMLU8851470</t>
  </si>
  <si>
    <t>51D-14138</t>
  </si>
  <si>
    <t>00133325</t>
  </si>
  <si>
    <t>ZIMUNYC9105455</t>
  </si>
  <si>
    <t>JXLU4717448</t>
  </si>
  <si>
    <t>51D-14187</t>
  </si>
  <si>
    <t>PRIME WOOD</t>
  </si>
  <si>
    <t>HỚN QUẢN, BÌNH PHƯỚC</t>
  </si>
  <si>
    <t>TCS Depot (TANCANG SHIPPING DEPOT)</t>
  </si>
  <si>
    <t>0027292</t>
  </si>
  <si>
    <t>ZCSU6728821</t>
  </si>
  <si>
    <t>50H-60825</t>
  </si>
  <si>
    <t>0027305</t>
  </si>
  <si>
    <t>JXLU4677860</t>
  </si>
  <si>
    <t>50H-61485</t>
  </si>
  <si>
    <t>0027360</t>
  </si>
  <si>
    <t>TCNU5337176</t>
  </si>
  <si>
    <t>51C-49237</t>
  </si>
  <si>
    <t>0027363</t>
  </si>
  <si>
    <t>JXLU4420423</t>
  </si>
  <si>
    <t>50H-02426</t>
  </si>
  <si>
    <t>0027364</t>
  </si>
  <si>
    <t>TCLU5342914</t>
  </si>
  <si>
    <t>50H-05239</t>
  </si>
  <si>
    <t>0027312</t>
  </si>
  <si>
    <t>GAOU7155216</t>
  </si>
  <si>
    <t>51D-11470</t>
  </si>
  <si>
    <t>0027342</t>
  </si>
  <si>
    <t>TCNU4236833</t>
  </si>
  <si>
    <t>50E-32983</t>
  </si>
  <si>
    <t>0027323</t>
  </si>
  <si>
    <t>ZCSU7277640</t>
  </si>
  <si>
    <t>50H-61118</t>
  </si>
  <si>
    <t>0027358</t>
  </si>
  <si>
    <t>SEGU5807360</t>
  </si>
  <si>
    <t>50E-33511</t>
  </si>
  <si>
    <t>0027368</t>
  </si>
  <si>
    <t>OOLU2762243970</t>
  </si>
  <si>
    <t>SEGU6905438</t>
  </si>
  <si>
    <t>61H-08950</t>
  </si>
  <si>
    <t>G-FORTUNE ĐỒNG AN</t>
  </si>
  <si>
    <t>387533</t>
  </si>
  <si>
    <t>OOCU8804032</t>
  </si>
  <si>
    <t>50H-60906</t>
  </si>
  <si>
    <t>386813</t>
  </si>
  <si>
    <t>k có phiếu eir</t>
  </si>
  <si>
    <t>OOCU8236143</t>
  </si>
  <si>
    <t>50H-18454</t>
  </si>
  <si>
    <t>386039</t>
  </si>
  <si>
    <t>OOCU7806616</t>
  </si>
  <si>
    <t>50H-61092</t>
  </si>
  <si>
    <t>386843</t>
  </si>
  <si>
    <t>CSNU7176795</t>
  </si>
  <si>
    <t>387085</t>
  </si>
  <si>
    <t>OCGU8011370</t>
  </si>
  <si>
    <t>50LD-18392</t>
  </si>
  <si>
    <t>00133671</t>
  </si>
  <si>
    <t>FFAU1257531</t>
  </si>
  <si>
    <t>50H-68384</t>
  </si>
  <si>
    <t xml:space="preserve"> 00134329
1433912</t>
  </si>
  <si>
    <t>SEGU5288434</t>
  </si>
  <si>
    <t>61E-03521</t>
  </si>
  <si>
    <t xml:space="preserve">NĂM CHÂU </t>
  </si>
  <si>
    <t>XÃ CHƠN THÀNH, TỈNH ĐỒNG NAI</t>
  </si>
  <si>
    <t>00121547</t>
  </si>
  <si>
    <t>TRHU4527220</t>
  </si>
  <si>
    <t>50H-91733</t>
  </si>
  <si>
    <t xml:space="preserve"> 00121499</t>
  </si>
  <si>
    <t>TRHU4653614</t>
  </si>
  <si>
    <t>50H-25450</t>
  </si>
  <si>
    <t>00121715</t>
  </si>
  <si>
    <t>CSNU6188467</t>
  </si>
  <si>
    <t>50H - 188.34</t>
  </si>
  <si>
    <t xml:space="preserve"> 00121756</t>
  </si>
  <si>
    <t>CSNU7464343</t>
  </si>
  <si>
    <t>50H-292.75</t>
  </si>
  <si>
    <t xml:space="preserve"> 00121769</t>
  </si>
  <si>
    <t>CCLU7969851</t>
  </si>
  <si>
    <t>50H-75755</t>
  </si>
  <si>
    <t xml:space="preserve"> 00121762</t>
  </si>
  <si>
    <t>FFAU2742531</t>
  </si>
  <si>
    <t>50H-03629</t>
  </si>
  <si>
    <t xml:space="preserve"> 00121405</t>
  </si>
  <si>
    <t>CSNU8324557</t>
  </si>
  <si>
    <t>50E-31800</t>
  </si>
  <si>
    <t>00121397</t>
  </si>
  <si>
    <t>COAU7262946030</t>
  </si>
  <si>
    <t>TGBU4841881</t>
  </si>
  <si>
    <t>SOLOG SÓNG THẦN</t>
  </si>
  <si>
    <t xml:space="preserve"> 00212255</t>
  </si>
  <si>
    <t>CSLU6331210</t>
  </si>
  <si>
    <t>50H-29627</t>
  </si>
  <si>
    <t xml:space="preserve"> 00212298</t>
  </si>
  <si>
    <t>TIIU5260561</t>
  </si>
  <si>
    <t>51C-34641</t>
  </si>
  <si>
    <t>00212506</t>
  </si>
  <si>
    <t>UETU5759563</t>
  </si>
  <si>
    <t>51C-29222</t>
  </si>
  <si>
    <t xml:space="preserve"> 00212558</t>
  </si>
  <si>
    <t>CCLU7823147</t>
  </si>
  <si>
    <t>04289-50H</t>
  </si>
  <si>
    <t xml:space="preserve"> 00212585</t>
  </si>
  <si>
    <t>TGHU6847828</t>
  </si>
  <si>
    <t xml:space="preserve"> 00212748</t>
  </si>
  <si>
    <t>FCIU9498316</t>
  </si>
  <si>
    <t>CẢNH LÂM</t>
  </si>
  <si>
    <t>ĐỒNG PHÚ, BÌNH PHƯỚC</t>
  </si>
  <si>
    <t>00122040</t>
  </si>
  <si>
    <t>CSNU6358434</t>
  </si>
  <si>
    <t>51C-64390</t>
  </si>
  <si>
    <t>00122072</t>
  </si>
  <si>
    <t>TGBU7963311</t>
  </si>
  <si>
    <t>51C-54560</t>
  </si>
  <si>
    <t>00122071</t>
  </si>
  <si>
    <t>CSNU8750357</t>
  </si>
  <si>
    <t>50E-31965</t>
  </si>
  <si>
    <t>00122181</t>
  </si>
  <si>
    <t>CSNU7179731</t>
  </si>
  <si>
    <t>00122310</t>
  </si>
  <si>
    <t>CBHU9446654</t>
  </si>
  <si>
    <t>50H-91448</t>
  </si>
  <si>
    <t>00122044</t>
  </si>
  <si>
    <t>CSNU7228749</t>
  </si>
  <si>
    <t>00122385</t>
  </si>
  <si>
    <t>CSNU8479287</t>
  </si>
  <si>
    <t>61H-15392</t>
  </si>
  <si>
    <t>CSNU7251013</t>
  </si>
  <si>
    <t>50H-24336</t>
  </si>
  <si>
    <t xml:space="preserve"> 00122225</t>
  </si>
  <si>
    <t>CSNU7419724</t>
  </si>
  <si>
    <t>50H-68371</t>
  </si>
  <si>
    <t>00122243</t>
  </si>
  <si>
    <t>CSNU6787341</t>
  </si>
  <si>
    <t>11483-51D</t>
  </si>
  <si>
    <t>00122207</t>
  </si>
  <si>
    <t>CSNU8559016</t>
  </si>
  <si>
    <t>00122055</t>
  </si>
  <si>
    <t>LEHF30183800</t>
  </si>
  <si>
    <t>KKFU8144661</t>
  </si>
  <si>
    <t>TÂN CẢNG TÂN VẠN</t>
  </si>
  <si>
    <t>00007141</t>
  </si>
  <si>
    <t>KKFU7835144</t>
  </si>
  <si>
    <t>51D-63673</t>
  </si>
  <si>
    <t>00007145</t>
  </si>
  <si>
    <t>GAOU6546176</t>
  </si>
  <si>
    <t>50H-60254</t>
  </si>
  <si>
    <t>00064330</t>
  </si>
  <si>
    <t>FFAU6449178</t>
  </si>
  <si>
    <t>51C-69603</t>
  </si>
  <si>
    <t>00064308</t>
  </si>
  <si>
    <t>NYKU0799299</t>
  </si>
  <si>
    <t>00064389</t>
  </si>
  <si>
    <t>EGLV540500133273</t>
  </si>
  <si>
    <t>EGSU1237816</t>
  </si>
  <si>
    <t>00123311</t>
  </si>
  <si>
    <t>EGHU9195550</t>
  </si>
  <si>
    <t>51C-59658</t>
  </si>
  <si>
    <t>00123160</t>
  </si>
  <si>
    <t>EGHU9520310</t>
  </si>
  <si>
    <t>00123185</t>
  </si>
  <si>
    <t>EGHU9612761</t>
  </si>
  <si>
    <t>50H-91407</t>
  </si>
  <si>
    <t xml:space="preserve"> 00123239</t>
  </si>
  <si>
    <t>EGLV404540886423</t>
  </si>
  <si>
    <t>EGSU9703320</t>
  </si>
  <si>
    <t>G-FORTUNE TAN VAN 2 DEPOT</t>
  </si>
  <si>
    <t>CAAU5747657</t>
  </si>
  <si>
    <t>MRKU5232506</t>
  </si>
  <si>
    <t>NAM KHÁNH DEPOT</t>
  </si>
  <si>
    <t>00120362</t>
  </si>
  <si>
    <t>MIEU3062340</t>
  </si>
  <si>
    <t>00120391</t>
  </si>
  <si>
    <t>UETU6997165</t>
  </si>
  <si>
    <t>00120206</t>
  </si>
  <si>
    <t>TCKU6802642</t>
  </si>
  <si>
    <t>50H-61025</t>
  </si>
  <si>
    <t>00120539</t>
  </si>
  <si>
    <t>MRSU4302535</t>
  </si>
  <si>
    <t>00120200</t>
  </si>
  <si>
    <t>MRKU3376675</t>
  </si>
  <si>
    <t>00120268</t>
  </si>
  <si>
    <t>TIIU4699098</t>
  </si>
  <si>
    <t>00120361</t>
  </si>
  <si>
    <t>SEKU6977350</t>
  </si>
  <si>
    <t>00120392</t>
  </si>
  <si>
    <t>OOCU9670339</t>
  </si>
  <si>
    <t>00391698</t>
  </si>
  <si>
    <t>BEAU5652349</t>
  </si>
  <si>
    <t>00391601</t>
  </si>
  <si>
    <t>COSU6425804580</t>
  </si>
  <si>
    <t>OOCU8594110</t>
  </si>
  <si>
    <t>163FA06777</t>
  </si>
  <si>
    <t>WHSU5793367</t>
  </si>
  <si>
    <t>PHÚC XUÂN TÂN VẠN DEPOT</t>
  </si>
  <si>
    <t>73555
'01456387</t>
  </si>
  <si>
    <t>WHSU6085845</t>
  </si>
  <si>
    <t>50H-45841</t>
  </si>
  <si>
    <t>ZIMUORF987190</t>
  </si>
  <si>
    <t>JXLU4317708</t>
  </si>
  <si>
    <t>00393318</t>
  </si>
  <si>
    <t>BSIU9834254</t>
  </si>
  <si>
    <t>00394044</t>
  </si>
  <si>
    <t>KSSU1004541</t>
  </si>
  <si>
    <t>00393584</t>
  </si>
  <si>
    <t>JXLU7843917</t>
  </si>
  <si>
    <t>ZCSU7479364</t>
  </si>
  <si>
    <t>00393967</t>
  </si>
  <si>
    <t>CAAU9581775</t>
  </si>
  <si>
    <t>00394388</t>
  </si>
  <si>
    <t>JXLU6296878</t>
  </si>
  <si>
    <t>00394743</t>
  </si>
  <si>
    <t>FDCU0107426</t>
  </si>
  <si>
    <t>CHÂN THẬT SÓNG THẦN</t>
  </si>
  <si>
    <t xml:space="preserve"> 00124158</t>
  </si>
  <si>
    <t>OOCU8048911</t>
  </si>
  <si>
    <t>00124188</t>
  </si>
  <si>
    <t>TGBU4361645</t>
  </si>
  <si>
    <t>00393802</t>
  </si>
  <si>
    <t>TCKU7665415</t>
  </si>
  <si>
    <t>00393431</t>
  </si>
  <si>
    <t>SEGU4043530</t>
  </si>
  <si>
    <t>00393903</t>
  </si>
  <si>
    <t>EGLV400500356447</t>
  </si>
  <si>
    <t>TGBU7285209</t>
  </si>
  <si>
    <t>00124538</t>
  </si>
  <si>
    <t>EMCU8973701</t>
  </si>
  <si>
    <t xml:space="preserve"> 00124734</t>
  </si>
  <si>
    <t>EMCU8250261</t>
  </si>
  <si>
    <t>00124807</t>
  </si>
  <si>
    <t>SEGU6414049</t>
  </si>
  <si>
    <t>00125177</t>
  </si>
  <si>
    <t>OOCU8019024</t>
  </si>
  <si>
    <t>00125174</t>
  </si>
  <si>
    <t>CSLU6335982</t>
  </si>
  <si>
    <t>00125164</t>
  </si>
  <si>
    <t>FFAU6032435</t>
  </si>
  <si>
    <t>00136008</t>
  </si>
  <si>
    <t>OOCU8613859</t>
  </si>
  <si>
    <t>00125191</t>
  </si>
  <si>
    <t>CAAU8201850</t>
  </si>
  <si>
    <t>NAM KHÁNH DEPOT (SÓNG THẦN)</t>
  </si>
  <si>
    <t>00121867</t>
  </si>
  <si>
    <t>SNLFHMCL013852</t>
  </si>
  <si>
    <t>TCNU3356074</t>
  </si>
  <si>
    <t>SNBU8472527</t>
  </si>
  <si>
    <t>SNBU8465549</t>
  </si>
  <si>
    <t>MRSU7048846</t>
  </si>
  <si>
    <t>02426-50H</t>
  </si>
  <si>
    <t>SP ICT</t>
  </si>
  <si>
    <t>G-FORTUNE THỦ ĐỨC</t>
  </si>
  <si>
    <t xml:space="preserve">	00400355</t>
  </si>
  <si>
    <t>OOCU7471256</t>
  </si>
  <si>
    <t>63673-51D</t>
  </si>
  <si>
    <t>00125957</t>
  </si>
  <si>
    <t>TRHU4377286</t>
  </si>
  <si>
    <t>00125993</t>
  </si>
  <si>
    <t>TIIU6429419</t>
  </si>
  <si>
    <t>61H-20470</t>
  </si>
  <si>
    <t xml:space="preserve"> 00125993</t>
  </si>
  <si>
    <t>TRHU4724699</t>
  </si>
  <si>
    <t>59687-51C</t>
  </si>
  <si>
    <t>00126012</t>
  </si>
  <si>
    <t>OOLU2762792976</t>
  </si>
  <si>
    <t>CSNU8492632</t>
  </si>
  <si>
    <t>SINOVNL CÁT LÁI</t>
  </si>
  <si>
    <t>00149295</t>
  </si>
  <si>
    <t>NAM7950363</t>
  </si>
  <si>
    <t>CMAU9579840</t>
  </si>
  <si>
    <t>G-FORTUNE DĨ AN</t>
  </si>
  <si>
    <t>00007478</t>
  </si>
  <si>
    <t>TCNU4013038</t>
  </si>
  <si>
    <t>HPCU4276327</t>
  </si>
  <si>
    <t>00007466</t>
  </si>
  <si>
    <t>TCLU6561711</t>
  </si>
  <si>
    <t>TCLU5084018</t>
  </si>
  <si>
    <t>CMAU9383456</t>
  </si>
  <si>
    <t>SEKU5633129</t>
  </si>
  <si>
    <t>641-51C-3</t>
  </si>
  <si>
    <t>CMAU9287869</t>
  </si>
  <si>
    <t>237-51C-4</t>
  </si>
  <si>
    <t>SEKU6592997</t>
  </si>
  <si>
    <t>513-50H-2</t>
  </si>
  <si>
    <t>MAGU5349366</t>
  </si>
  <si>
    <t>SNLFHMCL013613</t>
  </si>
  <si>
    <t>TCNU3824489</t>
  </si>
  <si>
    <t>00123544</t>
  </si>
  <si>
    <t>HASU4385150</t>
  </si>
  <si>
    <t>CẢNG BÌNH DƯƠNG</t>
  </si>
  <si>
    <t>00292476</t>
  </si>
  <si>
    <t>MTSU9634963</t>
  </si>
  <si>
    <t>00123568</t>
  </si>
  <si>
    <t>MRKU3948425</t>
  </si>
  <si>
    <t>00123514</t>
  </si>
  <si>
    <t>NĂM CHÂU</t>
  </si>
  <si>
    <t>UETU7809658</t>
  </si>
  <si>
    <t>0007546</t>
  </si>
  <si>
    <t>TCNU4133141</t>
  </si>
  <si>
    <t>TIIU6225879</t>
  </si>
  <si>
    <t>TCNU4292992</t>
  </si>
  <si>
    <t>TLLU4399235</t>
  </si>
  <si>
    <t>0007523</t>
  </si>
  <si>
    <t>TGBU6815109</t>
  </si>
  <si>
    <t>HASU4359274</t>
  </si>
  <si>
    <t>00124665</t>
  </si>
  <si>
    <t>MRKU6191850</t>
  </si>
  <si>
    <t>00124639</t>
  </si>
  <si>
    <t>MRSU3378557</t>
  </si>
  <si>
    <t>00221055</t>
  </si>
  <si>
    <t>MRKU2449838</t>
  </si>
  <si>
    <t>MSKU9089000</t>
  </si>
  <si>
    <t>00125027</t>
  </si>
  <si>
    <t>MRKU4417906</t>
  </si>
  <si>
    <t>00124689</t>
  </si>
  <si>
    <t>TCLU8786656</t>
  </si>
  <si>
    <t>00125050</t>
  </si>
  <si>
    <t>MRSU4649524</t>
  </si>
  <si>
    <t>00220614</t>
  </si>
  <si>
    <t>MSKU0512595</t>
  </si>
  <si>
    <t>00124165
00149714</t>
  </si>
  <si>
    <t>HASU4568166</t>
  </si>
  <si>
    <t>12011
'0014970</t>
  </si>
  <si>
    <t>NAM7889442</t>
  </si>
  <si>
    <t>TGHU6347231</t>
  </si>
  <si>
    <t>CMAU9581111</t>
  </si>
  <si>
    <t>00405143</t>
  </si>
  <si>
    <t>CAAU6344701</t>
  </si>
  <si>
    <t>TCLU6531888</t>
  </si>
  <si>
    <t>MAGU5465617</t>
  </si>
  <si>
    <t>TRHU5208784</t>
  </si>
  <si>
    <t>00221532</t>
  </si>
  <si>
    <t>HASU4977652</t>
  </si>
  <si>
    <t>00001226</t>
  </si>
  <si>
    <t>TIIU5171274</t>
  </si>
  <si>
    <t>00221715</t>
  </si>
  <si>
    <t>ZIMUNYC9110340</t>
  </si>
  <si>
    <t>JXLU6322597</t>
  </si>
  <si>
    <t>00405513</t>
  </si>
  <si>
    <t>ZCSU7789797</t>
  </si>
  <si>
    <t>ZCSU7627775</t>
  </si>
  <si>
    <t>00405719</t>
  </si>
  <si>
    <t>CAAU5291021</t>
  </si>
  <si>
    <t>00405922</t>
  </si>
  <si>
    <t>CHV202511170</t>
  </si>
  <si>
    <t>FCIU8052510</t>
  </si>
  <si>
    <t>TÂN VẠN SMART</t>
  </si>
  <si>
    <t>FCIU9298642</t>
  </si>
  <si>
    <t>EGLV404540986771</t>
  </si>
  <si>
    <t>EITU1045765</t>
  </si>
  <si>
    <t>00127761</t>
  </si>
  <si>
    <t>GAOU6977065</t>
  </si>
  <si>
    <t>00127904</t>
  </si>
  <si>
    <t>TGBU8654554</t>
  </si>
  <si>
    <t>00127778</t>
  </si>
  <si>
    <t>ZIMUSAV9091072</t>
  </si>
  <si>
    <t>TCNU5410180</t>
  </si>
  <si>
    <t>NAM7945113</t>
  </si>
  <si>
    <t>CMAU6905599</t>
  </si>
  <si>
    <t>CHÂN THẬT TÂY NAM BÌNH DƯƠNG</t>
  </si>
  <si>
    <t>TCNU3375480</t>
  </si>
  <si>
    <t>50H-18686</t>
  </si>
  <si>
    <t>FFAU4554066</t>
  </si>
  <si>
    <t>COSU6425808478</t>
  </si>
  <si>
    <t>FFAU3037860</t>
  </si>
  <si>
    <t>50H-173.34</t>
  </si>
  <si>
    <t>SOLOG THỦ ĐỨC</t>
  </si>
  <si>
    <t>00070563</t>
  </si>
  <si>
    <t>CSNU7555865</t>
  </si>
  <si>
    <t>50H-45385</t>
  </si>
  <si>
    <t>00070809</t>
  </si>
  <si>
    <t>CSNU6159880</t>
  </si>
  <si>
    <t>50H-17288</t>
  </si>
  <si>
    <t>00070609</t>
  </si>
  <si>
    <t>FFAU3160284</t>
  </si>
  <si>
    <t>50H-188.03</t>
  </si>
  <si>
    <t>00070504</t>
  </si>
  <si>
    <t>FFAU6695802</t>
  </si>
  <si>
    <t>50E-15823</t>
  </si>
  <si>
    <t>ZIMUNYC9107008</t>
  </si>
  <si>
    <t>ZCSU6630054</t>
  </si>
  <si>
    <t>0030292</t>
  </si>
  <si>
    <t>TGBU7088051</t>
  </si>
  <si>
    <t>0030290</t>
  </si>
  <si>
    <t>ZCSU7644659</t>
  </si>
  <si>
    <t>51C-73515</t>
  </si>
  <si>
    <t>00030296</t>
  </si>
  <si>
    <t>MRSU7345865</t>
  </si>
  <si>
    <t>00222516</t>
  </si>
  <si>
    <t>MRSU8317235</t>
  </si>
  <si>
    <t>00222475</t>
  </si>
  <si>
    <t>MRSU7294599</t>
  </si>
  <si>
    <t>00222476</t>
  </si>
  <si>
    <t>GCXU5685585</t>
  </si>
  <si>
    <t>00222419</t>
  </si>
  <si>
    <t>GAOU7552466</t>
  </si>
  <si>
    <t>00222449</t>
  </si>
  <si>
    <t>CBHU8910837</t>
  </si>
  <si>
    <t>OOCU8207227</t>
  </si>
  <si>
    <t>SEKU4482183</t>
  </si>
  <si>
    <t>11470-51D</t>
  </si>
  <si>
    <t>00125236</t>
  </si>
  <si>
    <t>TCKU7845802</t>
  </si>
  <si>
    <t>00125086</t>
  </si>
  <si>
    <t>CAAU6590602</t>
  </si>
  <si>
    <t>00125401</t>
  </si>
  <si>
    <t>MRSU4294960</t>
  </si>
  <si>
    <t>00125233</t>
  </si>
  <si>
    <t>MRKU4270902</t>
  </si>
  <si>
    <t>00125231</t>
  </si>
  <si>
    <t>MRKU3064980</t>
  </si>
  <si>
    <t>00125150</t>
  </si>
  <si>
    <t>MRSU5607307</t>
  </si>
  <si>
    <t>50H-29513</t>
  </si>
  <si>
    <t>00125304</t>
  </si>
  <si>
    <t>MRKU5444850</t>
  </si>
  <si>
    <t>KHO NATURAL</t>
  </si>
  <si>
    <t>BẮC TÂN UYÊN, BÌNH DƯƠNG</t>
  </si>
  <si>
    <t>00125146</t>
  </si>
  <si>
    <t>MRKU4141361</t>
  </si>
  <si>
    <t>00125147</t>
  </si>
  <si>
    <t>UETU8521671</t>
  </si>
  <si>
    <t>00125241</t>
  </si>
  <si>
    <t>00125181</t>
  </si>
  <si>
    <t>CAAU8922861</t>
  </si>
  <si>
    <t>69603-51C</t>
  </si>
  <si>
    <t>SP ITC</t>
  </si>
  <si>
    <t>CMAU8978589</t>
  </si>
  <si>
    <t>31965-50E</t>
  </si>
  <si>
    <t>00007732</t>
  </si>
  <si>
    <t>TLLU7637975</t>
  </si>
  <si>
    <t>61118-50H</t>
  </si>
  <si>
    <t>00408744</t>
  </si>
  <si>
    <t>CMAU6364489</t>
  </si>
  <si>
    <t>00407863</t>
  </si>
  <si>
    <t>MRSU4349152</t>
  </si>
  <si>
    <t xml:space="preserve">	00408191</t>
  </si>
  <si>
    <t>MSKU1664294</t>
  </si>
  <si>
    <t xml:space="preserve">	00408583</t>
  </si>
  <si>
    <t>MRSU7871875</t>
  </si>
  <si>
    <t xml:space="preserve">	00408213</t>
  </si>
  <si>
    <t>EGLV540500133851</t>
  </si>
  <si>
    <t>EITU1259181</t>
  </si>
  <si>
    <t>00128467</t>
  </si>
  <si>
    <t>EGLV400500344172</t>
  </si>
  <si>
    <t>TXGU6699418</t>
  </si>
  <si>
    <t>00128354</t>
  </si>
  <si>
    <t>TGBU6957314</t>
  </si>
  <si>
    <t>00128435</t>
  </si>
  <si>
    <t>MRKU4619316</t>
  </si>
  <si>
    <t>00014868</t>
  </si>
  <si>
    <t>SEGU4304525</t>
  </si>
  <si>
    <t>00014864</t>
  </si>
  <si>
    <t>MRKU3564230</t>
  </si>
  <si>
    <t>SOLOG PHÚ LỢI</t>
  </si>
  <si>
    <t>00007816</t>
  </si>
  <si>
    <t>EGLV404540902462</t>
  </si>
  <si>
    <t>EGHU9679050</t>
  </si>
  <si>
    <t>00128785</t>
  </si>
  <si>
    <t>TRHU5023055</t>
  </si>
  <si>
    <t>00128872</t>
  </si>
  <si>
    <t>EGSU9817066</t>
  </si>
  <si>
    <t>00128968</t>
  </si>
  <si>
    <t>FFAU7440339</t>
  </si>
  <si>
    <t>00126469</t>
  </si>
  <si>
    <t>MRSU7393143</t>
  </si>
  <si>
    <t>00126549</t>
  </si>
  <si>
    <t>TRHU4028978</t>
  </si>
  <si>
    <t>00126587</t>
  </si>
  <si>
    <t>SELU4011391</t>
  </si>
  <si>
    <t>00126515</t>
  </si>
  <si>
    <t xml:space="preserve"> REUSE TRIỆU VƯỢNG</t>
  </si>
  <si>
    <t>00014865</t>
  </si>
  <si>
    <t>00014867</t>
  </si>
  <si>
    <t>HCMNSA25S11061</t>
  </si>
  <si>
    <t>XYLU8194953</t>
  </si>
  <si>
    <t>XYLU8215613</t>
  </si>
  <si>
    <t>FFAU4973416</t>
  </si>
  <si>
    <t>MRKU3622655</t>
  </si>
  <si>
    <t>00015039</t>
  </si>
  <si>
    <t>TCNU1931359</t>
  </si>
  <si>
    <t>00015056</t>
  </si>
  <si>
    <t>MSKU0949693</t>
  </si>
  <si>
    <t>00015031</t>
  </si>
  <si>
    <t>MSKU1321680</t>
  </si>
  <si>
    <t>00015075</t>
  </si>
  <si>
    <t>MRKU2078470</t>
  </si>
  <si>
    <t>00015026</t>
  </si>
  <si>
    <t>00015032</t>
  </si>
  <si>
    <t>00015076</t>
  </si>
  <si>
    <t>HLCUBSC250902942</t>
  </si>
  <si>
    <t>HAMU1472120</t>
  </si>
  <si>
    <t>E-DEPOT TÂN BÌNH</t>
  </si>
  <si>
    <t>UACU5833650</t>
  </si>
  <si>
    <t>CAIU4407296</t>
  </si>
  <si>
    <t>FANU1717292</t>
  </si>
  <si>
    <t>HAMU4005638</t>
  </si>
  <si>
    <t>50H-03900</t>
  </si>
  <si>
    <t>TGHU9542735</t>
  </si>
  <si>
    <t>HLBU1437068</t>
  </si>
  <si>
    <t>HAMU4635745</t>
  </si>
  <si>
    <t>ZIMUORF9089116</t>
  </si>
  <si>
    <t>ZCSU7647452</t>
  </si>
  <si>
    <t>00031193</t>
  </si>
  <si>
    <t>OOLU2311537840</t>
  </si>
  <si>
    <t>UETU5268894</t>
  </si>
  <si>
    <t>TÂM CẢNG THỦ ĐỨC</t>
  </si>
  <si>
    <t>00073815</t>
  </si>
  <si>
    <t>BSIU9532716</t>
  </si>
  <si>
    <t>00073725</t>
  </si>
  <si>
    <t>CSNU6513612</t>
  </si>
  <si>
    <t>00073607</t>
  </si>
  <si>
    <t>TGBU8848457</t>
  </si>
  <si>
    <t>00073523</t>
  </si>
  <si>
    <t>CSNU8917085</t>
  </si>
  <si>
    <t>MRKU4489486</t>
  </si>
  <si>
    <t>00127442</t>
  </si>
  <si>
    <t>MSKU8760730</t>
  </si>
  <si>
    <t>MRSU4119632</t>
  </si>
  <si>
    <t>00015292</t>
  </si>
  <si>
    <t>BEAU5025293</t>
  </si>
  <si>
    <t>00015293</t>
  </si>
  <si>
    <t>GAOU7180923</t>
  </si>
  <si>
    <t>00128107</t>
  </si>
  <si>
    <t>REUSE TRIỆU VƯỢNG</t>
  </si>
  <si>
    <t>00015291</t>
  </si>
  <si>
    <t>00015294</t>
  </si>
  <si>
    <t>MRKU4942186</t>
  </si>
  <si>
    <t>KHO HOA MẬU</t>
  </si>
  <si>
    <t>PHÚ GIAO, BÌNH DƯƠNG</t>
  </si>
  <si>
    <t>00128101</t>
  </si>
  <si>
    <t>MRKU6112064</t>
  </si>
  <si>
    <t>00128083</t>
  </si>
  <si>
    <t>NAM7782215</t>
  </si>
  <si>
    <t>BEAU6132763</t>
  </si>
  <si>
    <t>51D-08191</t>
  </si>
  <si>
    <t>FFAU5221964</t>
  </si>
  <si>
    <t>50E-39877</t>
  </si>
  <si>
    <t>00001421</t>
  </si>
  <si>
    <t>HLCUBSC2509ARII8</t>
  </si>
  <si>
    <t>UACU5891908</t>
  </si>
  <si>
    <t>CIMC LOGISTICS(NGUYỄN XIỂN)</t>
  </si>
  <si>
    <t>00415071</t>
  </si>
  <si>
    <t>FFAU5459016</t>
  </si>
  <si>
    <t>FANU1423786</t>
  </si>
  <si>
    <t>HAMU2149575</t>
  </si>
  <si>
    <t>TRHU4957664</t>
  </si>
  <si>
    <t>HAMU4217257</t>
  </si>
  <si>
    <t>00007994</t>
  </si>
  <si>
    <t>NAM7970884</t>
  </si>
  <si>
    <t>TEMU7523077</t>
  </si>
  <si>
    <t>50H-17836</t>
  </si>
  <si>
    <t>APZU4694085</t>
  </si>
  <si>
    <t>51C-06433</t>
  </si>
  <si>
    <t>00415238</t>
  </si>
  <si>
    <t>COSU6426457430</t>
  </si>
  <si>
    <t>TRHU5830988</t>
  </si>
  <si>
    <t>51C-45422</t>
  </si>
  <si>
    <t>TLLU5728802</t>
  </si>
  <si>
    <t>50H-30559</t>
  </si>
  <si>
    <t>00129924</t>
  </si>
  <si>
    <t>TGBU5632058</t>
  </si>
  <si>
    <t>00129978</t>
  </si>
  <si>
    <t>UETU5409544</t>
  </si>
  <si>
    <t>50H-10357</t>
  </si>
  <si>
    <t>00129970</t>
  </si>
  <si>
    <t>OOCU7114080</t>
  </si>
  <si>
    <t>61025-50H</t>
  </si>
  <si>
    <t>TIIU6439839</t>
  </si>
  <si>
    <t>54560-51C</t>
  </si>
  <si>
    <t xml:space="preserve">	00415018</t>
  </si>
  <si>
    <t>CSNU7031106</t>
  </si>
  <si>
    <t>14138-51D</t>
  </si>
  <si>
    <t>TIIU5790598</t>
  </si>
  <si>
    <t>61485-50H</t>
  </si>
  <si>
    <t>COAU7263424980</t>
  </si>
  <si>
    <t>CSNU6994360</t>
  </si>
  <si>
    <t>51C-77950</t>
  </si>
  <si>
    <t>00141471</t>
  </si>
  <si>
    <t>TEMU8114242</t>
  </si>
  <si>
    <t>60C-34966</t>
  </si>
  <si>
    <t>00015515</t>
  </si>
  <si>
    <t>MSKU1599120</t>
  </si>
  <si>
    <t>51D-66204</t>
  </si>
  <si>
    <t>00015530</t>
  </si>
  <si>
    <t>MRKU4998251</t>
  </si>
  <si>
    <t>00128504</t>
  </si>
  <si>
    <t>MRSU3957672</t>
  </si>
  <si>
    <t>00128457</t>
  </si>
  <si>
    <t>CAAU8263321</t>
  </si>
  <si>
    <t>00128639</t>
  </si>
  <si>
    <t>HASU4520861</t>
  </si>
  <si>
    <t>00128495</t>
  </si>
  <si>
    <t>MRSU3828567</t>
  </si>
  <si>
    <t>00128461</t>
  </si>
  <si>
    <t>WFLHCMTXG25100054</t>
  </si>
  <si>
    <t>WFTU2015557</t>
  </si>
  <si>
    <t>00416056</t>
  </si>
  <si>
    <t>BEAU4396263</t>
  </si>
  <si>
    <t>61C-35796</t>
  </si>
  <si>
    <t>00415320</t>
  </si>
  <si>
    <t>CIPU5186533</t>
  </si>
  <si>
    <t>61C-43753</t>
  </si>
  <si>
    <t>00415527</t>
  </si>
  <si>
    <t>CIPU5189975</t>
  </si>
  <si>
    <t>61H-15972</t>
  </si>
  <si>
    <t>00415654</t>
  </si>
  <si>
    <t>WFTU2016039</t>
  </si>
  <si>
    <t>61H13442</t>
  </si>
  <si>
    <t>00415749</t>
  </si>
  <si>
    <t>TCNU6735359</t>
  </si>
  <si>
    <t>REUSE KHO NĂM CHÂU</t>
  </si>
  <si>
    <t>00302489</t>
  </si>
  <si>
    <t>00015531</t>
  </si>
  <si>
    <t>00015514</t>
  </si>
  <si>
    <t>CMZ1705798</t>
  </si>
  <si>
    <t>TCKU6364079</t>
  </si>
  <si>
    <t>KHO MING SHUN</t>
  </si>
  <si>
    <t>TÂN UYÊN, BÌNH DƯƠNG</t>
  </si>
  <si>
    <t>00008109</t>
  </si>
  <si>
    <t>COSU6428879090</t>
  </si>
  <si>
    <t>FSCU8675165</t>
  </si>
  <si>
    <t>00229272</t>
  </si>
  <si>
    <t>FFAU3251297</t>
  </si>
  <si>
    <t>00229284</t>
  </si>
  <si>
    <t>CSNU6822313</t>
  </si>
  <si>
    <t>00229324</t>
  </si>
  <si>
    <t>CSNU7273774</t>
  </si>
  <si>
    <t>SEGU6827551</t>
  </si>
  <si>
    <t>CCLU7450254</t>
  </si>
  <si>
    <t>BSIU9573757</t>
  </si>
  <si>
    <t>MSKU1903022</t>
  </si>
  <si>
    <t>rich wood</t>
  </si>
  <si>
    <t>SOWATCO LONG BÌNH DEPOT</t>
  </si>
  <si>
    <t>CAAU6605019</t>
  </si>
  <si>
    <t>CAAU6583080</t>
  </si>
  <si>
    <t>YMJAI226462815</t>
  </si>
  <si>
    <t>YMMU6244568</t>
  </si>
  <si>
    <t>KHO EVERCREST</t>
  </si>
  <si>
    <t>Thủ Dầu Một, Bình Dương</t>
  </si>
  <si>
    <t>00062111</t>
  </si>
  <si>
    <t>CBHU9472118</t>
  </si>
  <si>
    <t>KHO MỸ PHƯỚC 3</t>
  </si>
  <si>
    <t>BẾN CÁT, BÌNH DƯƠNG</t>
  </si>
  <si>
    <t>SNLFHMCL013812</t>
  </si>
  <si>
    <t>FCIU7238325</t>
  </si>
  <si>
    <t>00418875</t>
  </si>
  <si>
    <t>SLPU5020000</t>
  </si>
  <si>
    <t>00418847</t>
  </si>
  <si>
    <t>ONEYRICFEL177600</t>
  </si>
  <si>
    <t>TRHU4797334</t>
  </si>
  <si>
    <t>00008134</t>
  </si>
  <si>
    <t>REUSE MỸ PHƯỚC 3</t>
  </si>
  <si>
    <t>TRHU5822880</t>
  </si>
  <si>
    <t>00417982</t>
  </si>
  <si>
    <t>TGBU4906405</t>
  </si>
  <si>
    <t>00417845</t>
  </si>
  <si>
    <t>YMJAI226462816</t>
  </si>
  <si>
    <t>TCNU3918490</t>
  </si>
  <si>
    <t>00062074</t>
  </si>
  <si>
    <t>HXCGHMDG25007004</t>
  </si>
  <si>
    <t>CAAU9409370</t>
  </si>
  <si>
    <t>SITC GIANG NAM</t>
  </si>
  <si>
    <t>SELU4189845</t>
  </si>
  <si>
    <t>CAAU8387786</t>
  </si>
  <si>
    <t>CAAU8741082</t>
  </si>
  <si>
    <t>CAAU9409196</t>
  </si>
  <si>
    <t>FSCU8660247</t>
  </si>
  <si>
    <t>00306255</t>
  </si>
  <si>
    <t>ZIMUORF9090126</t>
  </si>
  <si>
    <t>ZCSU6694594</t>
  </si>
  <si>
    <t>00032174</t>
  </si>
  <si>
    <t>MSKU0798914</t>
  </si>
  <si>
    <t>00130125</t>
  </si>
  <si>
    <t>TCKU7317657</t>
  </si>
  <si>
    <t>51C-54417</t>
  </si>
  <si>
    <t>00003304</t>
  </si>
  <si>
    <t>COSU6428643840</t>
  </si>
  <si>
    <t>FCIU7193318</t>
  </si>
  <si>
    <t>03900-50H</t>
  </si>
  <si>
    <t>00232453</t>
  </si>
  <si>
    <t>OOLU9787189</t>
  </si>
  <si>
    <t>03609-50H</t>
  </si>
  <si>
    <t>00232382</t>
  </si>
  <si>
    <t>JXLU6166370</t>
  </si>
  <si>
    <t>14187-51D</t>
  </si>
  <si>
    <t>00032591</t>
  </si>
  <si>
    <t>FSCU8225996</t>
  </si>
  <si>
    <t>ZCSU6782930</t>
  </si>
  <si>
    <t>TLLU5340231</t>
  </si>
  <si>
    <t>00016141</t>
  </si>
  <si>
    <t>MSKU1147840</t>
  </si>
  <si>
    <t>00016116</t>
  </si>
  <si>
    <t>00016140</t>
  </si>
  <si>
    <t>HASU5127592</t>
  </si>
  <si>
    <t>59658-51C</t>
  </si>
  <si>
    <t>00131411</t>
  </si>
  <si>
    <t>CAAU8937985</t>
  </si>
  <si>
    <t>00131675</t>
  </si>
  <si>
    <t>MRSU4880127</t>
  </si>
  <si>
    <t>00131680</t>
  </si>
  <si>
    <t>FFAU5154418</t>
  </si>
  <si>
    <t>32983-50E</t>
  </si>
  <si>
    <t>00131650</t>
  </si>
  <si>
    <t>SEKU6920294</t>
  </si>
  <si>
    <t>60825-50H</t>
  </si>
  <si>
    <t>00131678</t>
  </si>
  <si>
    <t>HASU5203429</t>
  </si>
  <si>
    <t>05239-50H</t>
  </si>
  <si>
    <t>00131294</t>
  </si>
  <si>
    <t>CCLU7603820</t>
  </si>
  <si>
    <t>00309152</t>
  </si>
  <si>
    <t>TGBU4076355</t>
  </si>
  <si>
    <t>00308990</t>
  </si>
  <si>
    <t>NAM7992753</t>
  </si>
  <si>
    <t>TEMU8435746</t>
  </si>
  <si>
    <t>77C-15305</t>
  </si>
  <si>
    <t>KHO SAIYANG</t>
  </si>
  <si>
    <t xml:space="preserve">	00424304</t>
  </si>
  <si>
    <t>TCNU2876472</t>
  </si>
  <si>
    <t xml:space="preserve">	00424178</t>
  </si>
  <si>
    <t>TCLU1870066</t>
  </si>
  <si>
    <t>47877-51C</t>
  </si>
  <si>
    <t xml:space="preserve">	00424731</t>
  </si>
  <si>
    <t>TRHU8916010</t>
  </si>
  <si>
    <t xml:space="preserve">	00424245</t>
  </si>
  <si>
    <t>SEGU4694932</t>
  </si>
  <si>
    <t xml:space="preserve">	00425454</t>
  </si>
  <si>
    <t>OOLU2764513170</t>
  </si>
  <si>
    <t>CSNU6344087</t>
  </si>
  <si>
    <t>00424886</t>
  </si>
  <si>
    <t>CBHU7083884</t>
  </si>
  <si>
    <t xml:space="preserve">	00424925</t>
  </si>
  <si>
    <t>CXDU1047894</t>
  </si>
  <si>
    <t xml:space="preserve">	00018181</t>
  </si>
  <si>
    <t>MSKU1260190</t>
  </si>
  <si>
    <t>64390-51C</t>
  </si>
  <si>
    <t>00131583</t>
  </si>
  <si>
    <t xml:space="preserve"> TRIỆU VƯỢNG</t>
  </si>
  <si>
    <t>00131652</t>
  </si>
  <si>
    <t>MSKU8604609</t>
  </si>
  <si>
    <t>00131676</t>
  </si>
  <si>
    <t>HASU4199577</t>
  </si>
  <si>
    <t>00131685</t>
  </si>
  <si>
    <t>MRSU5531963</t>
  </si>
  <si>
    <t>00131686</t>
  </si>
  <si>
    <t>CAAU5379149</t>
  </si>
  <si>
    <t>00008297</t>
  </si>
  <si>
    <t>UETU5221583</t>
  </si>
  <si>
    <t xml:space="preserve">	00309727</t>
  </si>
  <si>
    <t xml:space="preserve">	00309151</t>
  </si>
  <si>
    <t>FFAU2046739</t>
  </si>
  <si>
    <t>49237-51C</t>
  </si>
  <si>
    <t xml:space="preserve">	00309684</t>
  </si>
  <si>
    <t>CSNU7244950</t>
  </si>
  <si>
    <t>00309637</t>
  </si>
  <si>
    <t>FFAU3442360</t>
  </si>
  <si>
    <t xml:space="preserve">	00309306</t>
  </si>
  <si>
    <t>MAGU5587087</t>
  </si>
  <si>
    <t>45301-51C</t>
  </si>
  <si>
    <t xml:space="preserve">	00309204</t>
  </si>
  <si>
    <t>OOLU2765123900</t>
  </si>
  <si>
    <t>TGBU8853875</t>
  </si>
  <si>
    <t>00077073</t>
  </si>
  <si>
    <t>OOLU9408140</t>
  </si>
  <si>
    <t>03629-50H</t>
  </si>
  <si>
    <t>00075814</t>
  </si>
  <si>
    <t>TGHU6413483</t>
  </si>
  <si>
    <t>00075781</t>
  </si>
  <si>
    <t>CBHU8969347</t>
  </si>
  <si>
    <t>50LD-18417</t>
  </si>
  <si>
    <t xml:space="preserve">	00426837</t>
  </si>
  <si>
    <t>CSLU6168381</t>
  </si>
  <si>
    <t>00075803</t>
  </si>
  <si>
    <t>CAAU6930913</t>
  </si>
  <si>
    <t>TÂN CẢNG MỸ THỦY</t>
  </si>
  <si>
    <t>0350752</t>
  </si>
  <si>
    <t>TCNU3461486</t>
  </si>
  <si>
    <t>SOGLOG PHÚ HỮU</t>
  </si>
  <si>
    <t>00001693</t>
  </si>
  <si>
    <t>HASU4415526</t>
  </si>
  <si>
    <t>00001694</t>
  </si>
  <si>
    <t>00132099</t>
  </si>
  <si>
    <t>YMJAI245327516</t>
  </si>
  <si>
    <t>TCNU4696649</t>
  </si>
  <si>
    <t>KHO TOÀN THÀNH</t>
  </si>
  <si>
    <t>STRAIGHTWAY</t>
  </si>
  <si>
    <t>00009509</t>
  </si>
  <si>
    <t>HASU4284489</t>
  </si>
  <si>
    <t>NAM KHÁNH DEPOT SÓNG THẦN</t>
  </si>
  <si>
    <t>GAOU7118357</t>
  </si>
  <si>
    <t>00133655</t>
  </si>
  <si>
    <t>FCLU9600989</t>
  </si>
  <si>
    <t>00133452</t>
  </si>
  <si>
    <t>MRKU3869060</t>
  </si>
  <si>
    <t>60254-50H</t>
  </si>
  <si>
    <t>00133488</t>
  </si>
  <si>
    <t>MRSU4814974</t>
  </si>
  <si>
    <t>00133330</t>
  </si>
  <si>
    <t>CIPU5085409</t>
  </si>
  <si>
    <t>00133519</t>
  </si>
  <si>
    <t>Chúng tôi xác nhận công nợ vận chuyển tháng 10/2025 như sau:</t>
  </si>
  <si>
    <t>Neo xe</t>
  </si>
  <si>
    <t>NAM7967557</t>
  </si>
  <si>
    <t>CAIU9697325</t>
  </si>
  <si>
    <t>28601</t>
  </si>
  <si>
    <t>HXCGHMDG25007011</t>
  </si>
  <si>
    <t>TGBU6690830</t>
  </si>
  <si>
    <t>KHO RICH WOOD</t>
  </si>
  <si>
    <t>Tân Cảng Hiệp Phước</t>
  </si>
  <si>
    <t>SEGU6934246</t>
  </si>
  <si>
    <t>ASC0491022</t>
  </si>
  <si>
    <t>XYLU8217489</t>
  </si>
  <si>
    <t>Thủ Dầu Một, Binh Duong</t>
  </si>
  <si>
    <t>00031114</t>
  </si>
  <si>
    <t>XYLU8192380</t>
  </si>
  <si>
    <t>00031121</t>
  </si>
  <si>
    <t>XYLU8192631</t>
  </si>
  <si>
    <t>00031131</t>
  </si>
  <si>
    <t>XYLU8152644</t>
  </si>
  <si>
    <t>00031134</t>
  </si>
  <si>
    <t>DKA0173818B</t>
  </si>
  <si>
    <t>CMAU4610726</t>
  </si>
  <si>
    <t>KHO PHƯỚC LONG</t>
  </si>
  <si>
    <t>BÙ GIA MẬP, PHƯỚC BÌNH</t>
  </si>
  <si>
    <t>SINOVNL TÂN VẠN</t>
  </si>
  <si>
    <t>00001050</t>
  </si>
  <si>
    <t>TEMU7349788</t>
  </si>
  <si>
    <t>EGLV400500394926</t>
  </si>
  <si>
    <t>GCXU6354215</t>
  </si>
  <si>
    <t>8095</t>
  </si>
  <si>
    <t>HLCUBSC250968176</t>
  </si>
  <si>
    <t>FBLU0124920</t>
  </si>
  <si>
    <t>00008515</t>
  </si>
  <si>
    <t>FANU3597977</t>
  </si>
  <si>
    <t>14687</t>
  </si>
  <si>
    <t>YMJAM811080961</t>
  </si>
  <si>
    <t>YMMU6215404</t>
  </si>
  <si>
    <t>SOGLOG SÓNG THẦN</t>
  </si>
  <si>
    <t>00237735</t>
  </si>
  <si>
    <t>YMLU8915321</t>
  </si>
  <si>
    <t>00237852</t>
  </si>
  <si>
    <t>HXCGHMDG25007009</t>
  </si>
  <si>
    <t>TRHU8753334</t>
  </si>
  <si>
    <t>149104</t>
  </si>
  <si>
    <t>HXCGHMDG25007010</t>
  </si>
  <si>
    <t>FFAU4513128</t>
  </si>
  <si>
    <t>149109</t>
  </si>
  <si>
    <t>CAAU8747476</t>
  </si>
  <si>
    <t>148967</t>
  </si>
  <si>
    <t>TXGU4056562</t>
  </si>
  <si>
    <t>148999</t>
  </si>
  <si>
    <t>FFAU4661207</t>
  </si>
  <si>
    <t>148932</t>
  </si>
  <si>
    <t>SEKU6576614</t>
  </si>
  <si>
    <t>148833</t>
  </si>
  <si>
    <t>HLBU3299538</t>
  </si>
  <si>
    <t>VIỆT KHÔI NGUYÊN</t>
  </si>
  <si>
    <t>Tân Uyên, Bình Dương</t>
  </si>
  <si>
    <t>00001120</t>
  </si>
  <si>
    <t>TEMU8158148</t>
  </si>
  <si>
    <t>00003912</t>
  </si>
  <si>
    <t>ZIMUORF9090466</t>
  </si>
  <si>
    <t>ZCSU6884017</t>
  </si>
  <si>
    <t>HOA MẬU</t>
  </si>
  <si>
    <t>Phú Giáo, Bình Dương</t>
  </si>
  <si>
    <t>00432185</t>
  </si>
  <si>
    <t>ZCSU7118485</t>
  </si>
  <si>
    <t>00432995</t>
  </si>
  <si>
    <t>ZCSU7302445</t>
  </si>
  <si>
    <t>00432549</t>
  </si>
  <si>
    <t>JXLU4484496</t>
  </si>
  <si>
    <t>00433533</t>
  </si>
  <si>
    <t>JXLU4668770</t>
  </si>
  <si>
    <t>00432530</t>
  </si>
  <si>
    <t>SEGU5782920</t>
  </si>
  <si>
    <t>00432217</t>
  </si>
  <si>
    <t>TCNU4415124</t>
  </si>
  <si>
    <t>23987</t>
  </si>
  <si>
    <t>HLCUBSC2510AWWY3</t>
  </si>
  <si>
    <t>TCLU5248976</t>
  </si>
  <si>
    <t>28794</t>
  </si>
  <si>
    <t>BSIU8214618</t>
  </si>
  <si>
    <t>28751</t>
  </si>
  <si>
    <t>FANU1400841</t>
  </si>
  <si>
    <t>28736</t>
  </si>
  <si>
    <t>GCXU5988025</t>
  </si>
  <si>
    <t>28777</t>
  </si>
  <si>
    <t>HAMU2492603</t>
  </si>
  <si>
    <t>28744</t>
  </si>
  <si>
    <t>SEGU5783084</t>
  </si>
  <si>
    <t>28733</t>
  </si>
  <si>
    <t>IVVOSGN25100101</t>
  </si>
  <si>
    <t>FESU5358393</t>
  </si>
  <si>
    <t>MACSTAR TAN VAN DEPOT</t>
  </si>
  <si>
    <t>13063</t>
  </si>
  <si>
    <t>FESU5405237</t>
  </si>
  <si>
    <t>13102</t>
  </si>
  <si>
    <t>ZIMUORF987089</t>
  </si>
  <si>
    <t>GAOU7056424</t>
  </si>
  <si>
    <t xml:space="preserve">	00434595</t>
  </si>
  <si>
    <t>GAOU7058556</t>
  </si>
  <si>
    <t>00434561</t>
  </si>
  <si>
    <t>EGLV400500373643</t>
  </si>
  <si>
    <t>EISU8547226</t>
  </si>
  <si>
    <t>00134844</t>
  </si>
  <si>
    <t>EGHU9735869</t>
  </si>
  <si>
    <t>00134848</t>
  </si>
  <si>
    <t>EMCU1543592</t>
  </si>
  <si>
    <t>00134839</t>
  </si>
  <si>
    <t>TCNU1750622</t>
  </si>
  <si>
    <t>00134907</t>
  </si>
  <si>
    <t>TRHU4978287</t>
  </si>
  <si>
    <t>00434466</t>
  </si>
  <si>
    <t>HLBU2448391</t>
  </si>
  <si>
    <t>00434477</t>
  </si>
  <si>
    <t>NAM8020363A</t>
  </si>
  <si>
    <t>ECMU7012356</t>
  </si>
  <si>
    <t>00434828</t>
  </si>
  <si>
    <t>14968</t>
  </si>
  <si>
    <t>ECMU5005384</t>
  </si>
  <si>
    <t xml:space="preserve">	00434821</t>
  </si>
  <si>
    <t>ECMU4892535</t>
  </si>
  <si>
    <t>00435167</t>
  </si>
  <si>
    <t>OOLU2162196680</t>
  </si>
  <si>
    <t>TRHU6585669</t>
  </si>
  <si>
    <t>00078161</t>
  </si>
  <si>
    <t>TIIU5659464</t>
  </si>
  <si>
    <t>00078128</t>
  </si>
  <si>
    <t>CSNU8048736</t>
  </si>
  <si>
    <t>00078066</t>
  </si>
  <si>
    <t>OOCU7996373</t>
  </si>
  <si>
    <t>00078109</t>
  </si>
  <si>
    <t>OOCU7682109</t>
  </si>
  <si>
    <t>00078072</t>
  </si>
  <si>
    <t>EMCU8733589</t>
  </si>
  <si>
    <t>50E-47793</t>
  </si>
  <si>
    <t>133732</t>
  </si>
  <si>
    <t>K CO SO CONT</t>
  </si>
  <si>
    <t>TIIU6555320</t>
  </si>
  <si>
    <t>FBLU0074623</t>
  </si>
  <si>
    <t>ZCMAU8727860</t>
  </si>
  <si>
    <t xml:space="preserve"> FFAU6032435</t>
  </si>
  <si>
    <t xml:space="preserve"> MRSU3378557</t>
  </si>
  <si>
    <t xml:space="preserve"> MSKU9089000</t>
  </si>
  <si>
    <t xml:space="preserve"> TCLU8786656</t>
  </si>
  <si>
    <t>MRSU3937233</t>
  </si>
  <si>
    <t xml:space="preserve"> CAAU8922861</t>
  </si>
  <si>
    <t xml:space="preserve">XYLU8194953
</t>
  </si>
  <si>
    <t xml:space="preserve">FFAU4973416
</t>
  </si>
  <si>
    <t>HASU4591295</t>
  </si>
  <si>
    <t>MRSU4339133</t>
  </si>
  <si>
    <t>TCNU6896097</t>
  </si>
  <si>
    <t>KHÔNG CÓ SỐ CONT</t>
  </si>
  <si>
    <t>JXLU4682362</t>
  </si>
  <si>
    <t>CSNU7547350</t>
  </si>
  <si>
    <t>MELI LOG</t>
  </si>
  <si>
    <t>ATSG LOG</t>
  </si>
  <si>
    <t>VIETTEL POST VŨNG TÀU</t>
  </si>
  <si>
    <t xml:space="preserve">TRUNG DŨNG </t>
  </si>
  <si>
    <t>TCNU1956737</t>
  </si>
  <si>
    <t>YMMU6106785</t>
  </si>
  <si>
    <t>SEGU7363060</t>
  </si>
  <si>
    <t>ZCSU7173862</t>
  </si>
  <si>
    <t>BMOU5683719</t>
  </si>
  <si>
    <t>TCNU4639401</t>
  </si>
  <si>
    <t>MRSU7829303</t>
  </si>
  <si>
    <t>SONG GIANG</t>
  </si>
  <si>
    <t>MRKU5835881</t>
  </si>
  <si>
    <t>MSKU1551889</t>
  </si>
  <si>
    <t>SEGU6874609</t>
  </si>
  <si>
    <t>MSKU1350610</t>
  </si>
  <si>
    <t>APZU4391751</t>
  </si>
  <si>
    <t>ECMU4792114</t>
  </si>
  <si>
    <t>TCLU4452711</t>
  </si>
  <si>
    <t>TTNU5189174</t>
  </si>
  <si>
    <t>CMAU5825225</t>
  </si>
  <si>
    <t>TCKU4714460</t>
  </si>
  <si>
    <t>CMAU8263712</t>
  </si>
  <si>
    <t>TGHU9636310</t>
  </si>
  <si>
    <t>UETU7214048</t>
  </si>
  <si>
    <t>UETU5609820</t>
  </si>
  <si>
    <t>GESU6823850</t>
  </si>
  <si>
    <t>HASU4864532</t>
  </si>
  <si>
    <t>TCNU1944335</t>
  </si>
  <si>
    <t>TCNU6488773</t>
  </si>
  <si>
    <t>YMMU6380625</t>
  </si>
  <si>
    <t>CSNU8028508</t>
  </si>
  <si>
    <t>FCIU7413217</t>
  </si>
  <si>
    <t>TGBU8744431</t>
  </si>
  <si>
    <t>CAAU6127603</t>
  </si>
  <si>
    <t>OOCU7432780</t>
  </si>
  <si>
    <t>FFAU2757038</t>
  </si>
  <si>
    <t>CMAU3879958</t>
  </si>
  <si>
    <t>YMLU8552669</t>
  </si>
  <si>
    <t>YMLU8953316</t>
  </si>
  <si>
    <t>YMMU6330877</t>
  </si>
  <si>
    <t>YMMU6666100</t>
  </si>
  <si>
    <t>YMMU6714384</t>
  </si>
  <si>
    <t>YMMU6913112</t>
  </si>
  <si>
    <t>YMMU6583601</t>
  </si>
  <si>
    <t>XFVU8975623</t>
  </si>
  <si>
    <t>YMLU5154050</t>
  </si>
  <si>
    <t>YMLU8824089</t>
  </si>
  <si>
    <t>YMMU7008211</t>
  </si>
  <si>
    <t>MAGU5663891</t>
  </si>
  <si>
    <t>UACU5426017</t>
  </si>
  <si>
    <t>GCXU5290287</t>
  </si>
  <si>
    <t>OOCU7601909</t>
  </si>
  <si>
    <t>TXGU8163527</t>
  </si>
  <si>
    <t>BEAU6394552</t>
  </si>
  <si>
    <t>SNBU8235464</t>
  </si>
  <si>
    <t>BHCU5006860</t>
  </si>
  <si>
    <t>SNBU8502977</t>
  </si>
  <si>
    <t>TEMU8470705</t>
  </si>
  <si>
    <t>SNBU8414515</t>
  </si>
  <si>
    <t>SNBU8336156</t>
  </si>
  <si>
    <t>SNBU8439909</t>
  </si>
  <si>
    <t>SNBU8459470</t>
  </si>
  <si>
    <t>SNBU8439473</t>
  </si>
  <si>
    <t>SNBU8234072</t>
  </si>
  <si>
    <t>SNBU8297091</t>
  </si>
  <si>
    <t>TEMU8659371</t>
  </si>
  <si>
    <t>ACC</t>
  </si>
  <si>
    <t>CAIU8779861</t>
  </si>
  <si>
    <t>CMAU6877183</t>
  </si>
  <si>
    <t>TCLU7991039</t>
  </si>
  <si>
    <t>TCLU8905884</t>
  </si>
  <si>
    <t>TCNU7757624</t>
  </si>
  <si>
    <t>CAAU8314413</t>
  </si>
  <si>
    <t>MRKU2547095</t>
  </si>
  <si>
    <t>MRKU3641254</t>
  </si>
  <si>
    <t>TCKU7277683</t>
  </si>
  <si>
    <t>CSNU6370759</t>
  </si>
  <si>
    <t>CSNU8169975</t>
  </si>
  <si>
    <t>CSNU8832460</t>
  </si>
  <si>
    <t>CSNU8931519</t>
  </si>
  <si>
    <t>DFSU7506463</t>
  </si>
  <si>
    <t>FCIU9686910</t>
  </si>
  <si>
    <t>FFAU7117286</t>
  </si>
  <si>
    <t>FFAU7123057</t>
  </si>
  <si>
    <t>OOCU7585222</t>
  </si>
  <si>
    <t>OOLU9195087</t>
  </si>
  <si>
    <t>OOLU9912681</t>
  </si>
  <si>
    <t>TGBU8553775</t>
  </si>
  <si>
    <t>YMLU9021749</t>
  </si>
  <si>
    <t>YMMU6425308</t>
  </si>
  <si>
    <t>YMLU8764879</t>
  </si>
  <si>
    <t>HAHU2056927</t>
  </si>
  <si>
    <t>TGCU5160525</t>
  </si>
  <si>
    <t>EMCU8483746</t>
  </si>
  <si>
    <t>EITU1195770</t>
  </si>
  <si>
    <t>GAOU6296288</t>
  </si>
  <si>
    <t>EGHU9321642</t>
  </si>
  <si>
    <t>EGSU1218884</t>
  </si>
  <si>
    <t>EGSU1390091</t>
  </si>
  <si>
    <t>EGSU9347574</t>
  </si>
  <si>
    <t>EGSU9476680</t>
  </si>
  <si>
    <t>EGSU9658302</t>
  </si>
  <si>
    <t>EITU1726856</t>
  </si>
  <si>
    <t>EMCU1591625</t>
  </si>
  <si>
    <t>EMCU1614504</t>
  </si>
  <si>
    <t>EMCU1800094</t>
  </si>
  <si>
    <t>TEMU3888420</t>
  </si>
  <si>
    <t>GAMMA</t>
  </si>
  <si>
    <t>EGHU8231267</t>
  </si>
  <si>
    <t>TXGU5664340</t>
  </si>
  <si>
    <t>GAOU6153780</t>
  </si>
  <si>
    <t>TRHU6739297</t>
  </si>
  <si>
    <t>SEGU4501720</t>
  </si>
  <si>
    <t>TLLU7512495</t>
  </si>
  <si>
    <t>FCIU9823782</t>
  </si>
  <si>
    <t>FCIU9817990</t>
  </si>
  <si>
    <t>CSNU7155149</t>
  </si>
  <si>
    <t>CAIU7095519</t>
  </si>
  <si>
    <t>MRSU6396533</t>
  </si>
  <si>
    <t>CAIU8499217</t>
  </si>
  <si>
    <t>MSKU1347983</t>
  </si>
  <si>
    <t>TWCU8107722</t>
  </si>
  <si>
    <t>TWCU8098030</t>
  </si>
  <si>
    <t>CSNU5623446</t>
  </si>
  <si>
    <t>FESU5414460</t>
  </si>
  <si>
    <t>GAOU7336132</t>
  </si>
  <si>
    <t>GAOU6899131</t>
  </si>
  <si>
    <t>ZCSU7086984</t>
  </si>
  <si>
    <t>BSIU8373190</t>
  </si>
  <si>
    <t>ZCSU7262580</t>
  </si>
  <si>
    <t>BSIU9905126</t>
  </si>
  <si>
    <t>WHSU5018502</t>
  </si>
  <si>
    <t>WHSU5329675</t>
  </si>
  <si>
    <t>WHSU6361938</t>
  </si>
  <si>
    <t>WHSU8004400</t>
  </si>
  <si>
    <t>EGSU1357004</t>
  </si>
  <si>
    <t>TXGU6083166</t>
  </si>
  <si>
    <t>EGSU1242704</t>
  </si>
  <si>
    <t>EMCU9867710</t>
  </si>
  <si>
    <t>TGBU5998730</t>
  </si>
  <si>
    <t>EGHU8519660</t>
  </si>
  <si>
    <t>EMCU8733207</t>
  </si>
  <si>
    <t>CAIU7085378</t>
  </si>
  <si>
    <t>EGHU9184149</t>
  </si>
  <si>
    <t>EGSU6318090</t>
  </si>
  <si>
    <t>MAGU5767509</t>
  </si>
  <si>
    <t>YMMU6611637</t>
  </si>
  <si>
    <t>TCNU4227981</t>
  </si>
  <si>
    <t>BMOU5286645</t>
  </si>
  <si>
    <t xml:space="preserve"> WFTU2017930</t>
  </si>
  <si>
    <t>WFTU2017020</t>
  </si>
  <si>
    <t>CIPU5184572</t>
  </si>
  <si>
    <t>BEAU4454734</t>
  </si>
  <si>
    <t>TEMU7164803</t>
  </si>
  <si>
    <t>MRKU6205763</t>
  </si>
  <si>
    <t>MSKU0528950</t>
  </si>
  <si>
    <t>MSKU9702127</t>
  </si>
  <si>
    <t>TCNU8126562</t>
  </si>
  <si>
    <t>GESU6377043</t>
  </si>
  <si>
    <t>MRSU7197182</t>
  </si>
  <si>
    <t>MRKU5978183</t>
  </si>
  <si>
    <t>SEKU6882661</t>
  </si>
  <si>
    <t>TCKU7448467</t>
  </si>
  <si>
    <t>CMAU8583737</t>
  </si>
  <si>
    <t>TCKU7898736</t>
  </si>
  <si>
    <t>EGSU9292614</t>
  </si>
  <si>
    <t>EITU1834763</t>
  </si>
  <si>
    <t>EGSU1123752</t>
  </si>
  <si>
    <t>CAAU5419576</t>
  </si>
  <si>
    <t>CAAU5457133</t>
  </si>
  <si>
    <t>EGSU1107690</t>
  </si>
  <si>
    <t>EGSU1546137</t>
  </si>
  <si>
    <t>EGSU6355576</t>
  </si>
  <si>
    <t>EGSU9186490</t>
  </si>
  <si>
    <t>EGSU9588205</t>
  </si>
  <si>
    <t>EGSU9672471</t>
  </si>
  <si>
    <t>EGSU9724750</t>
  </si>
  <si>
    <t>EMCU8786383</t>
  </si>
  <si>
    <t>TGBU4344421</t>
  </si>
  <si>
    <t>TGBU8035225</t>
  </si>
  <si>
    <t>BMOU4249863</t>
  </si>
  <si>
    <t>CAAU5439042</t>
  </si>
  <si>
    <t>TEMU6083883</t>
  </si>
  <si>
    <t>EGHU9321405</t>
  </si>
  <si>
    <t>TCLU6302388</t>
  </si>
  <si>
    <t>TCKU6124925</t>
  </si>
  <si>
    <t>EGSU9144303</t>
  </si>
  <si>
    <t>CSNU7787135</t>
  </si>
  <si>
    <t>FFAU6076027</t>
  </si>
  <si>
    <t>OOCU7539654</t>
  </si>
  <si>
    <t>OOCU7768291</t>
  </si>
  <si>
    <t>OOCU9521504</t>
  </si>
  <si>
    <t>TGBU4818937</t>
  </si>
  <si>
    <t>TLLU5732124</t>
  </si>
  <si>
    <t>CIPU5151218</t>
  </si>
  <si>
    <t>SUDU8683181</t>
  </si>
  <si>
    <t>MRKU4599631</t>
  </si>
  <si>
    <t>OOCU1044832</t>
  </si>
  <si>
    <t xml:space="preserve"> FTAU4754737 </t>
  </si>
  <si>
    <t xml:space="preserve"> FFAU5358181</t>
  </si>
  <si>
    <t>FFAU5402638</t>
  </si>
  <si>
    <t>SELU4251520</t>
  </si>
  <si>
    <t>CAAU7275919</t>
  </si>
  <si>
    <t>CCLU7886490</t>
  </si>
  <si>
    <t>CSNU7829077</t>
  </si>
  <si>
    <t>CSNU8911750</t>
  </si>
  <si>
    <t>DFSU7116660</t>
  </si>
  <si>
    <t>FCIU9776994</t>
  </si>
  <si>
    <t>FFAU5642270</t>
  </si>
  <si>
    <t>MAGU5670099</t>
  </si>
  <si>
    <t>OOCU7821246</t>
  </si>
  <si>
    <t>OOCU8505026</t>
  </si>
  <si>
    <t>TGBU4364222</t>
  </si>
  <si>
    <t>TGBU4892148</t>
  </si>
  <si>
    <t>TIIU4851430</t>
  </si>
  <si>
    <t>TIIU5931968</t>
  </si>
  <si>
    <t>FFAU3288531</t>
  </si>
  <si>
    <t>FFAU6754504</t>
  </si>
  <si>
    <t>SEGU6951393</t>
  </si>
  <si>
    <t>MRSU4475947</t>
  </si>
  <si>
    <t>UETU7283049</t>
  </si>
  <si>
    <t>FCIU9023692</t>
  </si>
  <si>
    <t>MRKU2758288</t>
  </si>
  <si>
    <t>TRHU4046009</t>
  </si>
  <si>
    <t>MRKU2339234</t>
  </si>
  <si>
    <t>SUDU6820238</t>
  </si>
  <si>
    <t>MRKU3767026</t>
  </si>
  <si>
    <t>EGHU8321674</t>
  </si>
  <si>
    <t>EGHU9711640</t>
  </si>
  <si>
    <t>EITU9243812</t>
  </si>
  <si>
    <t>EISU9377696</t>
  </si>
  <si>
    <t>EMCU1567260</t>
  </si>
  <si>
    <t>EMCU8256779</t>
  </si>
  <si>
    <t>TEMU6098097</t>
  </si>
  <si>
    <t>EGSU1241800</t>
  </si>
  <si>
    <t>TCNU6524227</t>
  </si>
  <si>
    <t>EGSU9135657</t>
  </si>
  <si>
    <t>EMCU1584842</t>
  </si>
  <si>
    <t>GAOU6306431</t>
  </si>
  <si>
    <t>TIIU4997066</t>
  </si>
  <si>
    <t>EMCU9910061</t>
  </si>
  <si>
    <t>DFSU6175951</t>
  </si>
  <si>
    <t>HASU4409293</t>
  </si>
  <si>
    <t>OOLU6818814</t>
  </si>
  <si>
    <t>OOCU8199461</t>
  </si>
  <si>
    <t>BSIU9446670</t>
  </si>
  <si>
    <t>TLLU7735992</t>
  </si>
  <si>
    <t>OOCU8691213</t>
  </si>
  <si>
    <t>UETU5154295</t>
  </si>
  <si>
    <t>CAAU9112063</t>
  </si>
  <si>
    <t>FFAU2045291</t>
  </si>
  <si>
    <t>FFAU5482470</t>
  </si>
  <si>
    <t>OOCU8560337</t>
  </si>
  <si>
    <t>FESU5378342</t>
  </si>
  <si>
    <t>FITU5527977</t>
  </si>
  <si>
    <t>FESU5387004</t>
  </si>
  <si>
    <t>FESU5320042</t>
  </si>
  <si>
    <t>TLLU8033558</t>
  </si>
  <si>
    <t>MRSU8004740</t>
  </si>
  <si>
    <t>MRSU8260757</t>
  </si>
  <si>
    <t>UETU8147089</t>
  </si>
  <si>
    <t>MRSU5547698</t>
  </si>
  <si>
    <t>SEKU6864061</t>
  </si>
  <si>
    <t>MRSU6597902</t>
  </si>
  <si>
    <t>UACU5577836</t>
  </si>
  <si>
    <t>HLBU2493683</t>
  </si>
  <si>
    <t>XYLU8151144</t>
  </si>
  <si>
    <t>WHSU5237476</t>
  </si>
  <si>
    <t>TVN LOG</t>
  </si>
  <si>
    <t>WHSU6083816</t>
  </si>
  <si>
    <t>WHLU3416414</t>
  </si>
  <si>
    <t>CAAU7232049</t>
  </si>
  <si>
    <t>TRHU6318472</t>
  </si>
  <si>
    <t>MRKU2047119</t>
  </si>
  <si>
    <t>FANU3145112</t>
  </si>
  <si>
    <t>HLXU8308141</t>
  </si>
  <si>
    <t>BSIU9619689</t>
  </si>
  <si>
    <t>TGHU6891203</t>
  </si>
  <si>
    <t>OOCU7693891</t>
  </si>
  <si>
    <t>TEMU6333149</t>
  </si>
  <si>
    <t>CSNU7427709</t>
  </si>
  <si>
    <t>BEAU4387220</t>
  </si>
  <si>
    <t>WFTU2015773</t>
  </si>
  <si>
    <t>UETU6463792</t>
  </si>
  <si>
    <t>CSLU6025605</t>
  </si>
  <si>
    <t>OOLU9888292</t>
  </si>
  <si>
    <t>EITU1079770</t>
  </si>
  <si>
    <t>DRYU9829741</t>
  </si>
  <si>
    <t>EGHU8394120</t>
  </si>
  <si>
    <t>EITU1579950</t>
  </si>
  <si>
    <t>EGHU9769350</t>
  </si>
  <si>
    <t>EMCU8883866</t>
  </si>
  <si>
    <t>EGHU9293031</t>
  </si>
  <si>
    <t>FCIU9980673</t>
  </si>
  <si>
    <t>TIIU6217868</t>
  </si>
  <si>
    <t>TRHU6782647</t>
  </si>
  <si>
    <t>EGHU9832935</t>
  </si>
  <si>
    <t>EGSU1381490</t>
  </si>
  <si>
    <t>EITU1612513</t>
  </si>
  <si>
    <t>TGBU9769157</t>
  </si>
  <si>
    <t>EGHU9656420</t>
  </si>
  <si>
    <t>TCKU7776553</t>
  </si>
  <si>
    <t>TIIU5607922</t>
  </si>
  <si>
    <t>SEGU4854537</t>
  </si>
  <si>
    <t>CIPU5184654</t>
  </si>
  <si>
    <t>ONEU0516420</t>
  </si>
  <si>
    <t>ONEU5717080</t>
  </si>
  <si>
    <t>TLLU5596028</t>
  </si>
  <si>
    <t>HLBU2184920</t>
  </si>
  <si>
    <t>TEMU7497234</t>
  </si>
  <si>
    <t>SNBU8292000</t>
  </si>
  <si>
    <t>FFAU5625729</t>
  </si>
  <si>
    <t>BSIU9879747</t>
  </si>
  <si>
    <t>CAIU9884780</t>
  </si>
  <si>
    <t>SNBU8373144</t>
  </si>
  <si>
    <t>UETU5658784</t>
  </si>
  <si>
    <t>BEAU4626047</t>
  </si>
  <si>
    <t>BEAU5355628</t>
  </si>
  <si>
    <t>CAIU9956534</t>
  </si>
  <si>
    <t>DRYU9212955</t>
  </si>
  <si>
    <t>PONU8024848</t>
  </si>
  <si>
    <t>BEAU6404310</t>
  </si>
  <si>
    <t>OOCU9134790</t>
  </si>
  <si>
    <t>SKHU8121770</t>
  </si>
  <si>
    <t>VIETTEL POST</t>
  </si>
  <si>
    <t>SEGU5414975</t>
  </si>
  <si>
    <t>SEGU4446828</t>
  </si>
  <si>
    <t>TCLU8779003</t>
  </si>
  <si>
    <t>KHÔNG CÓ S? CONT</t>
  </si>
  <si>
    <t>MRKU4386657</t>
  </si>
  <si>
    <t>OOCU6979520</t>
  </si>
  <si>
    <t>CSLU6080325</t>
  </si>
  <si>
    <t>TIIU4039983</t>
  </si>
  <si>
    <t>TIIU5454206</t>
  </si>
  <si>
    <t>GCXU5840022</t>
  </si>
  <si>
    <t>ECMU7467714</t>
  </si>
  <si>
    <t>FSCU8996000</t>
  </si>
  <si>
    <t>CMAU4139806</t>
  </si>
  <si>
    <t>ECMU4826554</t>
  </si>
  <si>
    <t>WFTU2017652</t>
  </si>
  <si>
    <t>TIIU4910370</t>
  </si>
  <si>
    <t>TCKU7893251</t>
  </si>
  <si>
    <t>OOCU8912715</t>
  </si>
  <si>
    <t>YMMU6476795</t>
  </si>
  <si>
    <t>FFAU6862129</t>
  </si>
  <si>
    <t>SEGU6839341</t>
  </si>
  <si>
    <t>OOCU8189946</t>
  </si>
  <si>
    <t>MAGU5356658</t>
  </si>
  <si>
    <t>CSNU7622048</t>
  </si>
  <si>
    <t>CCLU7886000</t>
  </si>
  <si>
    <t>SUDU8977946</t>
  </si>
  <si>
    <t>MRSU3124613</t>
  </si>
  <si>
    <t>MSKU9738238</t>
  </si>
  <si>
    <t>MRSU3277654</t>
  </si>
  <si>
    <t>CCLU7962712</t>
  </si>
  <si>
    <t>FFAU1583693</t>
  </si>
  <si>
    <t>FFAU3129000</t>
  </si>
  <si>
    <t>FFAU5653248</t>
  </si>
  <si>
    <t>GCXU6451832</t>
  </si>
  <si>
    <t>SEKU4655400</t>
  </si>
  <si>
    <t>SUDU8664200</t>
  </si>
  <si>
    <t>MSKU1661530</t>
  </si>
  <si>
    <t>CAIU7229243</t>
  </si>
  <si>
    <t>MRSU4742730</t>
  </si>
  <si>
    <t>TEMU7890426</t>
  </si>
  <si>
    <t>UETU8490143</t>
  </si>
  <si>
    <t>SEGU4285472</t>
  </si>
  <si>
    <t>MSKU0058610</t>
  </si>
  <si>
    <t>DFSU6925697</t>
  </si>
  <si>
    <t>OOCU7831692</t>
  </si>
  <si>
    <t>OOLU8803135</t>
  </si>
  <si>
    <t>OOCU7413898</t>
  </si>
  <si>
    <t>OOCU7704949</t>
  </si>
  <si>
    <t>BEAU5594031</t>
  </si>
  <si>
    <t>CSLU6317675</t>
  </si>
  <si>
    <t>FFAU6436740</t>
  </si>
  <si>
    <t>MAGU5647571</t>
  </si>
  <si>
    <t>TRHU4908700</t>
  </si>
  <si>
    <t>TCNU7516099</t>
  </si>
  <si>
    <t>TCNU3985328</t>
  </si>
  <si>
    <t>MRKU2509705</t>
  </si>
  <si>
    <t>YMMU6767086</t>
  </si>
  <si>
    <t>YMLU8830369</t>
  </si>
  <si>
    <t>FFAU1387330</t>
  </si>
  <si>
    <t>YMLU8794765</t>
  </si>
  <si>
    <t>YMMU6277047</t>
  </si>
  <si>
    <t>TXGU7788422</t>
  </si>
  <si>
    <t>SEGU4588340</t>
  </si>
  <si>
    <t>TCNU4607960</t>
  </si>
  <si>
    <t>YMLU8861035</t>
  </si>
  <si>
    <t>YMMU6813751</t>
  </si>
  <si>
    <t>FFAU3168710</t>
  </si>
  <si>
    <t>ZCSU2758690</t>
  </si>
  <si>
    <t>NAM HOA SON</t>
  </si>
  <si>
    <t>TLLU5152002</t>
  </si>
  <si>
    <t>TGBU5503024</t>
  </si>
  <si>
    <t>MAGU5673518</t>
  </si>
  <si>
    <t>FFAU7009785</t>
  </si>
  <si>
    <t>BSIU9832436</t>
  </si>
  <si>
    <t>BSIU9776918</t>
  </si>
  <si>
    <t>FFAU6016542</t>
  </si>
  <si>
    <t>VIETTEL POST VUNG TÀU</t>
  </si>
  <si>
    <t>TXGU8483264</t>
  </si>
  <si>
    <t>TIIU4510706</t>
  </si>
  <si>
    <t>UETU7913702</t>
  </si>
  <si>
    <t>SEKU4339911</t>
  </si>
  <si>
    <t>TRHU7510704</t>
  </si>
  <si>
    <t>GCXU6136867</t>
  </si>
  <si>
    <t>SEKU6439632</t>
  </si>
  <si>
    <t>XFVU8972877</t>
  </si>
  <si>
    <t>TCNU4361820</t>
  </si>
  <si>
    <t>FSCU8545201</t>
  </si>
  <si>
    <t>CSNU7213564</t>
  </si>
  <si>
    <t>FSCU8599018</t>
  </si>
  <si>
    <t>TIIU6801491</t>
  </si>
  <si>
    <t>OOCU9140196</t>
  </si>
  <si>
    <t>SEGU4197237</t>
  </si>
  <si>
    <t>OOCU7727203</t>
  </si>
  <si>
    <t>FCIU9876782</t>
  </si>
  <si>
    <t>OOCU6846363</t>
  </si>
  <si>
    <t>FFAU4163502</t>
  </si>
  <si>
    <t>BMOU4560284</t>
  </si>
  <si>
    <t>MSNU7690530</t>
  </si>
  <si>
    <t>MSDU8936547</t>
  </si>
  <si>
    <t>MSDU7430852</t>
  </si>
  <si>
    <t>CAAU9215117</t>
  </si>
  <si>
    <t>TLLU7603002</t>
  </si>
  <si>
    <t>MSDU7577421</t>
  </si>
  <si>
    <t>TGBU4410755</t>
  </si>
  <si>
    <t>TLLU8592601</t>
  </si>
  <si>
    <t xml:space="preserve">TRUNG DUNG </t>
  </si>
  <si>
    <t>FANU1100103</t>
  </si>
  <si>
    <t xml:space="preserve">  FANU3108802</t>
  </si>
  <si>
    <t>CSNU7724287</t>
  </si>
  <si>
    <t>TGBU5910204</t>
  </si>
  <si>
    <t>TCLU8931820</t>
  </si>
  <si>
    <t>UETU7138098</t>
  </si>
  <si>
    <t>BEAU4126268</t>
  </si>
  <si>
    <t>FFAU6000417</t>
  </si>
  <si>
    <t>SGRU5029889</t>
  </si>
  <si>
    <t>FCIU9339295</t>
  </si>
  <si>
    <t>BSIU8177089</t>
  </si>
  <si>
    <t>DFSU7415487</t>
  </si>
  <si>
    <t>ECMU7720890</t>
  </si>
  <si>
    <t>ECMU5180129</t>
  </si>
  <si>
    <t>GAOU7928701</t>
  </si>
  <si>
    <t>CMAU8727860</t>
  </si>
  <si>
    <t>MRSU3344670</t>
  </si>
  <si>
    <t>EGHU8432739</t>
  </si>
  <si>
    <t>GAOU6950022</t>
  </si>
  <si>
    <t>CSNU7014562</t>
  </si>
  <si>
    <t>CBHU9189828</t>
  </si>
  <si>
    <t>Cước vận chuyển</t>
  </si>
  <si>
    <t>VAT</t>
  </si>
  <si>
    <t>Chi hộ</t>
  </si>
  <si>
    <t>Cược</t>
  </si>
  <si>
    <t>SPITC</t>
  </si>
  <si>
    <t>Kiểm hóa</t>
  </si>
  <si>
    <t>TỔNG CỘNG</t>
  </si>
  <si>
    <t>Hạ</t>
  </si>
  <si>
    <t>NAM7934084D</t>
  </si>
  <si>
    <t>TRUNG CHUYỂN</t>
  </si>
  <si>
    <t>HCMNSA25S11085</t>
  </si>
  <si>
    <t>Bk:DKA0173818B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</si>
  <si>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</si>
  <si>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</si>
  <si>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</si>
  <si>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</si>
  <si>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</si>
  <si>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</si>
  <si>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</si>
  <si>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</si>
  <si>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</si>
  <si>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</si>
  <si>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</si>
  <si>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</si>
  <si>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</si>
  <si>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</si>
  <si>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</si>
  <si>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29/11/2025</t>
  </si>
  <si>
    <t>30/11/2025</t>
  </si>
  <si>
    <t>Depot Chân Th?t Sóng Th?n</t>
  </si>
  <si>
    <t>Su?i Tiên Long Th?nh M? Depot</t>
  </si>
  <si>
    <t>G-FORTUNE Ð?NG AN</t>
  </si>
  <si>
    <t xml:space="preserve">NAM CHÂU </t>
  </si>
  <si>
    <t>SOLOG SÓNG TH?N</t>
  </si>
  <si>
    <t>TÂN C?NG TÂN V?N</t>
  </si>
  <si>
    <t>PHÚC XUÂN TÂN V?N DEPOT</t>
  </si>
  <si>
    <t>CHÂN TH?T SÓNG TH?N</t>
  </si>
  <si>
    <t>NAM KHÁNH DEPOT (SÓNG TH?N)</t>
  </si>
  <si>
    <t>G-FORTUNE TH? Ð?C</t>
  </si>
  <si>
    <t>G-FORTUNE DI AN</t>
  </si>
  <si>
    <t>C?NG BÌNH DUONG</t>
  </si>
  <si>
    <t>NAM CHÂU</t>
  </si>
  <si>
    <t>TÂN V?N SMART</t>
  </si>
  <si>
    <t xml:space="preserve"> -   </t>
  </si>
  <si>
    <t>CHÂN TH?T TÂY NAM BÌNH DUONG</t>
  </si>
  <si>
    <t>SOLOG TH? Ð?C</t>
  </si>
  <si>
    <t>SOLOG PHÚ L?I</t>
  </si>
  <si>
    <t>TÂM C?NG TH? Ð?C</t>
  </si>
  <si>
    <t>CIMC LOGISTICS(NGUY?N XI?N)</t>
  </si>
  <si>
    <t>51D-65301</t>
  </si>
  <si>
    <t>'00128466</t>
  </si>
  <si>
    <t>50H-04981</t>
  </si>
  <si>
    <t>REUSE KHO NAM CHÂU</t>
  </si>
  <si>
    <t>TÂN C?NG M? TH?Y</t>
  </si>
  <si>
    <t>SOGLOG PHÚ H?U</t>
  </si>
  <si>
    <t>NAM KHÁNH DEPOT SÓNG TH?N</t>
  </si>
  <si>
    <t>KIỂM HÓA</t>
  </si>
  <si>
    <t>REUSE KIỂM HOÁ</t>
  </si>
  <si>
    <t>RICH WOOD</t>
  </si>
  <si>
    <t>Cước Xe</t>
  </si>
  <si>
    <t>CHUYỂN KHO MOOR SÀN</t>
  </si>
  <si>
    <t>TÂN TẠO - KCN GIANG ĐIỀN</t>
  </si>
  <si>
    <t>TBS TÂN VẠN - KHO THỌ PHÁT ĐẠT</t>
  </si>
  <si>
    <t>HUIZE TÂN UYÊN - PRO CONCEPTS</t>
  </si>
  <si>
    <t>EVERCREST</t>
  </si>
  <si>
    <t>HMing Shun</t>
  </si>
  <si>
    <t xml:space="preserve">HÒA TAM </t>
  </si>
  <si>
    <t>3.300.000</t>
  </si>
  <si>
    <t>4.500.000</t>
  </si>
  <si>
    <t>phụ thu</t>
  </si>
  <si>
    <t>CHUYỂN KHO PRIME QUA NATURAL+ PT2TR/CONT</t>
  </si>
  <si>
    <t>CHUYỂN KHO PRIME QUA NATURAL, PHỤ THU 2TR/CONT</t>
  </si>
  <si>
    <t>CHUYỂN KHO PRIM NĂM CHÂU, PT 500K/XE</t>
  </si>
  <si>
    <t>k phát sinh</t>
  </si>
  <si>
    <t>Vệ Sinh Cont</t>
  </si>
  <si>
    <t>Hóa Đơn VSC</t>
  </si>
  <si>
    <t>00124165</t>
  </si>
  <si>
    <t>12011</t>
  </si>
  <si>
    <t>00133544</t>
  </si>
  <si>
    <t>Hóa đơn</t>
  </si>
  <si>
    <t>VSC</t>
  </si>
  <si>
    <t>Chuyển kho</t>
  </si>
  <si>
    <t>Chuyển Kho</t>
  </si>
  <si>
    <t>Chuyen kho</t>
  </si>
  <si>
    <t>Gui Cont</t>
  </si>
  <si>
    <t>26-30-10</t>
  </si>
  <si>
    <t>01-25-11</t>
  </si>
  <si>
    <t>Gửi Cont</t>
  </si>
  <si>
    <t>Nâng</t>
  </si>
  <si>
    <t>Hóa Đơn Nâng</t>
  </si>
  <si>
    <t xml:space="preserve"> 00134329</t>
  </si>
  <si>
    <t>hóa đơn 1433912 NPL tự thanh toán</t>
  </si>
  <si>
    <t>Trừ</t>
  </si>
  <si>
    <t>T10/2025 Cước Năm Châu tính nhầm cước Cảnh Lâm số cont TWCU8131061 5tr3-4tr5=800k+ vat 64k</t>
  </si>
  <si>
    <t xml:space="preserve">Cước </t>
  </si>
  <si>
    <t>Ghi Chú</t>
  </si>
  <si>
    <t xml:space="preserve"> NATURAL</t>
  </si>
  <si>
    <t>KHO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</si>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</sst>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\/dd\/yyyy"/>
    <numFmt numFmtId="165" formatCode="#,##0;\(#,##0\)"/>
    <numFmt numFmtId="166" formatCode="_(* #,##0_);_(* \(#,##0\);_(* &quot;-&quot;??_);_(@_)"/>
    <numFmt numFmtId="167" formatCode="_ * #,##0_ ;_ * \-#,##0_ ;_ * &quot;-&quot;??_ ;_ @_ "/>
    <numFmt numFmtId="168" formatCode="_-* #,##0\ _€_-;\-* #,##0\ _€_-;_-* &quot;-&quot;??\ _€_-;_-@"/>
  </numFmts>
  <fonts count="42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1"/>
      <color rgb="FF000000"/>
      <name val="Calibri"/>
      <family val="2"/>
    </font>
    <font>
      <sz val="10"/>
      <name val="SimSun"/>
      <charset val="134"/>
    </font>
    <font>
      <sz val="11"/>
      <color rgb="FFFF000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3A3A3A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81B3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3"/>
      <color indexed="8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indexed="1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indexed="63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3A3A3A"/>
      <name val="Calibri"/>
      <family val="2"/>
      <scheme val="minor"/>
    </font>
    <font>
      <sz val="13"/>
      <color indexed="63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444746"/>
      <name val="Arial"/>
      <family val="2"/>
    </font>
    <font>
      <b/>
      <sz val="11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rgb="FF44474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E5CD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9" fillId="0" borderId="0"/>
  </cellStyleXfs>
  <cellXfs count="790">
    <xf numFmtId="0" fontId="0" fillId="0" borderId="0" xfId="0"/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 wrapText="1"/>
    </xf>
    <xf numFmtId="49" fontId="5" fillId="2" borderId="0" xfId="0" applyNumberFormat="1" applyFont="1" applyFill="1"/>
    <xf numFmtId="166" fontId="5" fillId="2" borderId="0" xfId="1" applyNumberFormat="1" applyFont="1" applyFill="1"/>
    <xf numFmtId="0" fontId="5" fillId="2" borderId="0" xfId="3" applyFont="1" applyFill="1" applyAlignment="1">
      <alignment horizontal="center" vertical="center"/>
    </xf>
    <xf numFmtId="14" fontId="5" fillId="2" borderId="0" xfId="3" applyNumberFormat="1" applyFont="1" applyFill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0" xfId="3" applyFont="1" applyFill="1" applyAlignment="1">
      <alignment horizontal="center" vertical="center" wrapText="1"/>
    </xf>
    <xf numFmtId="0" fontId="5" fillId="2" borderId="0" xfId="3" applyFont="1" applyFill="1"/>
    <xf numFmtId="0" fontId="4" fillId="2" borderId="0" xfId="3" applyFont="1" applyFill="1" applyAlignment="1">
      <alignment horizontal="center" vertical="center"/>
    </xf>
    <xf numFmtId="14" fontId="5" fillId="2" borderId="0" xfId="3" applyNumberFormat="1" applyFont="1" applyFill="1" applyAlignment="1">
      <alignment horizontal="center" vertical="center"/>
    </xf>
    <xf numFmtId="0" fontId="5" fillId="2" borderId="0" xfId="3" applyFont="1" applyFill="1" applyAlignment="1">
      <alignment vertical="top"/>
    </xf>
    <xf numFmtId="0" fontId="5" fillId="2" borderId="0" xfId="3" applyFont="1" applyFill="1" applyAlignment="1">
      <alignment vertical="center"/>
    </xf>
    <xf numFmtId="0" fontId="5" fillId="2" borderId="0" xfId="3" applyFont="1" applyFill="1" applyAlignment="1">
      <alignment horizontal="center" vertical="top" wrapText="1"/>
    </xf>
    <xf numFmtId="168" fontId="5" fillId="2" borderId="0" xfId="3" applyNumberFormat="1" applyFont="1" applyFill="1" applyAlignment="1">
      <alignment vertical="center"/>
    </xf>
    <xf numFmtId="0" fontId="5" fillId="2" borderId="0" xfId="3" applyFont="1" applyFill="1" applyAlignment="1">
      <alignment horizontal="left" vertical="top"/>
    </xf>
    <xf numFmtId="14" fontId="5" fillId="2" borderId="0" xfId="3" applyNumberFormat="1" applyFont="1" applyFill="1" applyAlignment="1">
      <alignment horizontal="left" vertical="top"/>
    </xf>
    <xf numFmtId="168" fontId="5" fillId="2" borderId="0" xfId="3" applyNumberFormat="1" applyFont="1" applyFill="1" applyAlignment="1">
      <alignment horizontal="center" vertical="center" wrapText="1"/>
    </xf>
    <xf numFmtId="0" fontId="5" fillId="2" borderId="0" xfId="3" applyFont="1" applyFill="1" applyAlignment="1">
      <alignment vertical="top" wrapText="1" readingOrder="1"/>
    </xf>
    <xf numFmtId="0" fontId="5" fillId="2" borderId="0" xfId="3" applyFont="1" applyFill="1" applyAlignment="1">
      <alignment horizontal="left" vertical="center"/>
    </xf>
    <xf numFmtId="14" fontId="5" fillId="2" borderId="0" xfId="3" applyNumberFormat="1" applyFont="1" applyFill="1" applyAlignment="1">
      <alignment horizontal="left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7" borderId="1" xfId="3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2" applyFont="1" applyFill="1" applyBorder="1" applyAlignment="1">
      <alignment horizontal="center" vertical="center"/>
    </xf>
    <xf numFmtId="0" fontId="6" fillId="7" borderId="1" xfId="3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5" fontId="4" fillId="2" borderId="1" xfId="3" applyNumberFormat="1" applyFont="1" applyFill="1" applyBorder="1" applyAlignment="1">
      <alignment horizontal="center" vertical="center"/>
    </xf>
    <xf numFmtId="165" fontId="4" fillId="2" borderId="1" xfId="3" applyNumberFormat="1" applyFont="1" applyFill="1" applyBorder="1" applyAlignment="1">
      <alignment vertical="center"/>
    </xf>
    <xf numFmtId="165" fontId="4" fillId="2" borderId="1" xfId="3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14" fontId="4" fillId="2" borderId="0" xfId="3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3" applyFont="1" applyFill="1" applyAlignment="1">
      <alignment vertical="center"/>
    </xf>
    <xf numFmtId="49" fontId="5" fillId="2" borderId="0" xfId="3" applyNumberFormat="1" applyFont="1" applyFill="1"/>
    <xf numFmtId="49" fontId="5" fillId="2" borderId="0" xfId="3" applyNumberFormat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center" vertical="center"/>
    </xf>
    <xf numFmtId="0" fontId="5" fillId="2" borderId="0" xfId="3" applyFont="1" applyFill="1" applyAlignment="1">
      <alignment horizontal="center" vertical="top"/>
    </xf>
    <xf numFmtId="49" fontId="5" fillId="2" borderId="0" xfId="3" applyNumberFormat="1" applyFont="1" applyFill="1" applyAlignment="1">
      <alignment vertical="top"/>
    </xf>
    <xf numFmtId="166" fontId="5" fillId="2" borderId="0" xfId="1" applyNumberFormat="1" applyFont="1" applyFill="1" applyAlignment="1">
      <alignment vertical="top"/>
    </xf>
    <xf numFmtId="0" fontId="4" fillId="2" borderId="0" xfId="3" applyFont="1" applyFill="1" applyAlignment="1">
      <alignment vertical="top"/>
    </xf>
    <xf numFmtId="168" fontId="5" fillId="2" borderId="0" xfId="3" applyNumberFormat="1" applyFont="1" applyFill="1" applyAlignment="1">
      <alignment horizontal="center" vertical="center"/>
    </xf>
    <xf numFmtId="49" fontId="5" fillId="2" borderId="0" xfId="3" applyNumberFormat="1" applyFont="1" applyFill="1" applyAlignment="1">
      <alignment vertical="center"/>
    </xf>
    <xf numFmtId="166" fontId="5" fillId="2" borderId="0" xfId="1" applyNumberFormat="1" applyFont="1" applyFill="1" applyAlignment="1">
      <alignment vertical="center"/>
    </xf>
    <xf numFmtId="49" fontId="5" fillId="2" borderId="0" xfId="3" applyNumberFormat="1" applyFont="1" applyFill="1" applyAlignment="1">
      <alignment horizontal="left" vertical="center"/>
    </xf>
    <xf numFmtId="166" fontId="5" fillId="2" borderId="0" xfId="1" applyNumberFormat="1" applyFont="1" applyFill="1" applyAlignment="1">
      <alignment horizontal="left" vertical="center"/>
    </xf>
    <xf numFmtId="0" fontId="4" fillId="2" borderId="0" xfId="3" applyFont="1" applyFill="1" applyAlignment="1">
      <alignment horizontal="left" vertical="center"/>
    </xf>
    <xf numFmtId="167" fontId="4" fillId="2" borderId="1" xfId="3" applyNumberFormat="1" applyFont="1" applyFill="1" applyBorder="1" applyAlignment="1">
      <alignment horizontal="center" vertical="center" wrapText="1"/>
    </xf>
    <xf numFmtId="167" fontId="4" fillId="2" borderId="9" xfId="3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166" fontId="5" fillId="5" borderId="1" xfId="1" applyNumberFormat="1" applyFont="1" applyFill="1" applyBorder="1" applyAlignment="1">
      <alignment horizontal="center" vertical="center" wrapText="1"/>
    </xf>
    <xf numFmtId="167" fontId="5" fillId="5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49" fontId="5" fillId="2" borderId="1" xfId="3" applyNumberFormat="1" applyFont="1" applyFill="1" applyBorder="1" applyAlignment="1">
      <alignment horizontal="center" vertical="center" wrapText="1"/>
    </xf>
    <xf numFmtId="166" fontId="5" fillId="2" borderId="1" xfId="1" applyNumberFormat="1" applyFont="1" applyFill="1" applyBorder="1" applyAlignment="1">
      <alignment horizontal="center" vertical="center" wrapText="1"/>
    </xf>
    <xf numFmtId="167" fontId="5" fillId="2" borderId="1" xfId="3" applyNumberFormat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49" fontId="5" fillId="6" borderId="1" xfId="3" applyNumberFormat="1" applyFont="1" applyFill="1" applyBorder="1" applyAlignment="1">
      <alignment horizontal="center" vertical="center" wrapText="1"/>
    </xf>
    <xf numFmtId="166" fontId="5" fillId="6" borderId="1" xfId="1" applyNumberFormat="1" applyFont="1" applyFill="1" applyBorder="1" applyAlignment="1">
      <alignment horizontal="center" vertical="center" wrapText="1"/>
    </xf>
    <xf numFmtId="167" fontId="5" fillId="6" borderId="1" xfId="3" applyNumberFormat="1" applyFont="1" applyFill="1" applyBorder="1" applyAlignment="1">
      <alignment horizontal="center" vertical="center" wrapText="1"/>
    </xf>
    <xf numFmtId="0" fontId="5" fillId="7" borderId="1" xfId="3" applyFont="1" applyFill="1" applyBorder="1" applyAlignment="1">
      <alignment horizontal="center" vertical="center" wrapText="1"/>
    </xf>
    <xf numFmtId="49" fontId="5" fillId="7" borderId="1" xfId="3" applyNumberFormat="1" applyFont="1" applyFill="1" applyBorder="1" applyAlignment="1">
      <alignment horizontal="center" vertical="center" wrapText="1"/>
    </xf>
    <xf numFmtId="166" fontId="5" fillId="7" borderId="1" xfId="1" applyNumberFormat="1" applyFont="1" applyFill="1" applyBorder="1" applyAlignment="1">
      <alignment horizontal="center" vertical="center" wrapText="1"/>
    </xf>
    <xf numFmtId="167" fontId="5" fillId="7" borderId="1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vertical="center"/>
    </xf>
    <xf numFmtId="166" fontId="4" fillId="2" borderId="1" xfId="1" applyNumberFormat="1" applyFont="1" applyFill="1" applyBorder="1" applyAlignment="1">
      <alignment vertical="center"/>
    </xf>
    <xf numFmtId="49" fontId="4" fillId="2" borderId="0" xfId="3" applyNumberFormat="1" applyFont="1" applyFill="1" applyAlignment="1">
      <alignment vertical="center"/>
    </xf>
    <xf numFmtId="166" fontId="4" fillId="2" borderId="0" xfId="1" applyNumberFormat="1" applyFont="1" applyFill="1" applyAlignment="1">
      <alignment vertical="center"/>
    </xf>
    <xf numFmtId="166" fontId="4" fillId="2" borderId="1" xfId="1" applyNumberFormat="1" applyFont="1" applyFill="1" applyBorder="1" applyAlignment="1">
      <alignment horizontal="center" vertical="center" wrapText="1"/>
    </xf>
    <xf numFmtId="166" fontId="5" fillId="5" borderId="1" xfId="1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6" borderId="1" xfId="1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7" borderId="1" xfId="1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4" fontId="5" fillId="2" borderId="0" xfId="3" applyNumberFormat="1" applyFont="1" applyFill="1" applyAlignment="1">
      <alignment vertical="center"/>
    </xf>
    <xf numFmtId="166" fontId="4" fillId="2" borderId="0" xfId="3" applyNumberFormat="1" applyFont="1" applyFill="1" applyAlignment="1">
      <alignment vertical="center"/>
    </xf>
    <xf numFmtId="0" fontId="4" fillId="2" borderId="0" xfId="3" applyFont="1" applyFill="1" applyAlignment="1">
      <alignment horizontal="center" vertical="center" wrapText="1"/>
    </xf>
    <xf numFmtId="3" fontId="4" fillId="2" borderId="0" xfId="3" applyNumberFormat="1" applyFont="1" applyFill="1" applyAlignment="1">
      <alignment vertical="center"/>
    </xf>
    <xf numFmtId="0" fontId="5" fillId="2" borderId="0" xfId="0" applyFont="1" applyFill="1" applyAlignment="1">
      <alignment wrapText="1"/>
    </xf>
    <xf numFmtId="3" fontId="4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5" borderId="0" xfId="0" applyFont="1" applyFill="1"/>
    <xf numFmtId="0" fontId="5" fillId="5" borderId="0" xfId="0" applyFont="1" applyFill="1" applyAlignment="1">
      <alignment vertical="center"/>
    </xf>
    <xf numFmtId="1" fontId="5" fillId="2" borderId="1" xfId="1" applyNumberFormat="1" applyFont="1" applyFill="1" applyBorder="1" applyAlignment="1">
      <alignment horizontal="center" vertical="center" wrapText="1"/>
    </xf>
    <xf numFmtId="2" fontId="5" fillId="2" borderId="1" xfId="1" applyNumberFormat="1" applyFont="1" applyFill="1" applyBorder="1" applyAlignment="1">
      <alignment horizontal="center" vertical="center"/>
    </xf>
    <xf numFmtId="1" fontId="5" fillId="2" borderId="0" xfId="0" quotePrefix="1" applyNumberFormat="1" applyFont="1" applyFill="1"/>
    <xf numFmtId="0" fontId="5" fillId="2" borderId="0" xfId="3" quotePrefix="1" applyFont="1" applyFill="1" applyAlignment="1">
      <alignment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3" fontId="12" fillId="8" borderId="13" xfId="0" applyNumberFormat="1" applyFont="1" applyFill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14" fontId="15" fillId="0" borderId="0" xfId="3" applyNumberFormat="1" applyFont="1" applyAlignment="1">
      <alignment horizontal="center"/>
    </xf>
    <xf numFmtId="0" fontId="15" fillId="0" borderId="0" xfId="3" applyFont="1" applyAlignment="1">
      <alignment horizontal="center"/>
    </xf>
    <xf numFmtId="0" fontId="15" fillId="0" borderId="0" xfId="3" applyFont="1" applyAlignment="1">
      <alignment horizontal="center" vertical="center" wrapText="1"/>
    </xf>
    <xf numFmtId="0" fontId="15" fillId="0" borderId="0" xfId="3" applyFont="1"/>
    <xf numFmtId="49" fontId="15" fillId="0" borderId="0" xfId="3" applyNumberFormat="1" applyFont="1"/>
    <xf numFmtId="166" fontId="15" fillId="0" borderId="0" xfId="1" applyNumberFormat="1" applyFont="1" applyFill="1"/>
    <xf numFmtId="0" fontId="15" fillId="0" borderId="0" xfId="0" applyFont="1"/>
    <xf numFmtId="14" fontId="15" fillId="0" borderId="0" xfId="3" applyNumberFormat="1" applyFont="1" applyAlignment="1">
      <alignment horizontal="center" vertical="center"/>
    </xf>
    <xf numFmtId="49" fontId="15" fillId="0" borderId="0" xfId="3" applyNumberFormat="1" applyFont="1" applyAlignment="1">
      <alignment horizontal="center" vertical="center"/>
    </xf>
    <xf numFmtId="166" fontId="15" fillId="0" borderId="0" xfId="1" applyNumberFormat="1" applyFont="1" applyFill="1" applyAlignment="1">
      <alignment horizontal="center" vertical="center"/>
    </xf>
    <xf numFmtId="0" fontId="15" fillId="0" borderId="0" xfId="3" applyFont="1" applyAlignment="1">
      <alignment vertical="top"/>
    </xf>
    <xf numFmtId="0" fontId="15" fillId="0" borderId="0" xfId="3" applyFont="1" applyAlignment="1">
      <alignment horizontal="center" vertical="top"/>
    </xf>
    <xf numFmtId="49" fontId="15" fillId="0" borderId="0" xfId="3" applyNumberFormat="1" applyFont="1" applyAlignment="1">
      <alignment vertical="top"/>
    </xf>
    <xf numFmtId="166" fontId="15" fillId="0" borderId="0" xfId="1" applyNumberFormat="1" applyFont="1" applyFill="1" applyAlignment="1">
      <alignment vertical="top"/>
    </xf>
    <xf numFmtId="0" fontId="16" fillId="0" borderId="0" xfId="3" applyFont="1" applyAlignment="1">
      <alignment vertical="top"/>
    </xf>
    <xf numFmtId="49" fontId="15" fillId="0" borderId="0" xfId="3" applyNumberFormat="1" applyFont="1" applyAlignment="1">
      <alignment vertical="center"/>
    </xf>
    <xf numFmtId="166" fontId="15" fillId="0" borderId="0" xfId="1" applyNumberFormat="1" applyFont="1" applyFill="1" applyAlignment="1">
      <alignment vertical="center"/>
    </xf>
    <xf numFmtId="0" fontId="15" fillId="0" borderId="0" xfId="3" applyFont="1" applyAlignment="1">
      <alignment vertical="center"/>
    </xf>
    <xf numFmtId="0" fontId="15" fillId="0" borderId="0" xfId="3" applyFont="1" applyAlignment="1">
      <alignment horizontal="center" vertical="top" wrapText="1"/>
    </xf>
    <xf numFmtId="168" fontId="15" fillId="0" borderId="0" xfId="3" applyNumberFormat="1" applyFont="1" applyAlignment="1">
      <alignment vertical="center"/>
    </xf>
    <xf numFmtId="168" fontId="15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left" vertical="top"/>
    </xf>
    <xf numFmtId="14" fontId="15" fillId="0" borderId="0" xfId="3" applyNumberFormat="1" applyFont="1" applyAlignment="1">
      <alignment horizontal="left" vertical="top"/>
    </xf>
    <xf numFmtId="0" fontId="15" fillId="0" borderId="0" xfId="3" applyFont="1" applyAlignment="1">
      <alignment horizontal="left" vertical="center"/>
    </xf>
    <xf numFmtId="14" fontId="15" fillId="0" borderId="0" xfId="3" applyNumberFormat="1" applyFont="1" applyAlignment="1">
      <alignment horizontal="left" vertical="center"/>
    </xf>
    <xf numFmtId="49" fontId="15" fillId="0" borderId="0" xfId="3" applyNumberFormat="1" applyFont="1" applyAlignment="1">
      <alignment horizontal="left" vertical="center"/>
    </xf>
    <xf numFmtId="166" fontId="15" fillId="0" borderId="0" xfId="1" applyNumberFormat="1" applyFont="1" applyFill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7" fillId="0" borderId="4" xfId="3" applyFont="1" applyBorder="1" applyAlignment="1">
      <alignment horizontal="center" vertical="center" wrapText="1"/>
    </xf>
    <xf numFmtId="167" fontId="17" fillId="0" borderId="1" xfId="3" applyNumberFormat="1" applyFont="1" applyBorder="1" applyAlignment="1">
      <alignment horizontal="center" vertical="center" wrapText="1"/>
    </xf>
    <xf numFmtId="49" fontId="17" fillId="0" borderId="1" xfId="3" applyNumberFormat="1" applyFont="1" applyBorder="1" applyAlignment="1">
      <alignment horizontal="center" vertical="center"/>
    </xf>
    <xf numFmtId="166" fontId="1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6" fillId="0" borderId="0" xfId="0" applyFont="1"/>
    <xf numFmtId="166" fontId="17" fillId="0" borderId="1" xfId="1" applyNumberFormat="1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9" fontId="8" fillId="0" borderId="1" xfId="3" quotePrefix="1" applyNumberFormat="1" applyFont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 wrapText="1"/>
    </xf>
    <xf numFmtId="167" fontId="8" fillId="0" borderId="1" xfId="3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6" fontId="8" fillId="0" borderId="1" xfId="1" applyNumberFormat="1" applyFont="1" applyFill="1" applyBorder="1" applyAlignment="1">
      <alignment horizontal="center" vertical="center" wrapText="1"/>
    </xf>
    <xf numFmtId="0" fontId="8" fillId="0" borderId="1" xfId="2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2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1" fontId="1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2" applyBorder="1" applyAlignment="1">
      <alignment horizontal="center" vertical="center"/>
    </xf>
    <xf numFmtId="0" fontId="8" fillId="0" borderId="3" xfId="2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/>
    </xf>
    <xf numFmtId="166" fontId="8" fillId="0" borderId="2" xfId="1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67" fontId="19" fillId="0" borderId="1" xfId="3" applyNumberFormat="1" applyFont="1" applyBorder="1" applyAlignment="1">
      <alignment horizontal="center" vertical="center" wrapText="1"/>
    </xf>
    <xf numFmtId="166" fontId="19" fillId="0" borderId="1" xfId="1" applyNumberFormat="1" applyFont="1" applyFill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/>
    </xf>
    <xf numFmtId="0" fontId="20" fillId="0" borderId="0" xfId="0" applyFont="1"/>
    <xf numFmtId="0" fontId="19" fillId="0" borderId="1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4" xfId="3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 wrapText="1"/>
    </xf>
    <xf numFmtId="11" fontId="18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quotePrefix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166" fontId="8" fillId="0" borderId="4" xfId="1" applyNumberFormat="1" applyFont="1" applyFill="1" applyBorder="1" applyAlignment="1">
      <alignment horizontal="center" vertical="center" wrapText="1"/>
    </xf>
    <xf numFmtId="11" fontId="18" fillId="0" borderId="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11" fontId="8" fillId="0" borderId="1" xfId="0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center" vertical="center"/>
    </xf>
    <xf numFmtId="165" fontId="17" fillId="0" borderId="2" xfId="3" applyNumberFormat="1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center" vertical="center" wrapText="1"/>
    </xf>
    <xf numFmtId="49" fontId="8" fillId="0" borderId="4" xfId="3" applyNumberFormat="1" applyFont="1" applyBorder="1" applyAlignment="1">
      <alignment horizontal="center" vertical="center"/>
    </xf>
    <xf numFmtId="166" fontId="8" fillId="0" borderId="4" xfId="1" applyNumberFormat="1" applyFont="1" applyFill="1" applyBorder="1" applyAlignment="1">
      <alignment horizontal="center" vertical="center"/>
    </xf>
    <xf numFmtId="43" fontId="8" fillId="0" borderId="4" xfId="3" applyNumberFormat="1" applyFont="1" applyBorder="1" applyAlignment="1">
      <alignment horizontal="center" vertical="center"/>
    </xf>
    <xf numFmtId="14" fontId="17" fillId="0" borderId="0" xfId="3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3" applyFont="1" applyAlignment="1">
      <alignment horizontal="center" vertical="center"/>
    </xf>
    <xf numFmtId="49" fontId="17" fillId="0" borderId="0" xfId="3" applyNumberFormat="1" applyFont="1" applyAlignment="1">
      <alignment horizontal="center" vertical="center"/>
    </xf>
    <xf numFmtId="166" fontId="1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8" fillId="0" borderId="0" xfId="3" applyFont="1" applyAlignment="1">
      <alignment horizontal="center" vertical="center"/>
    </xf>
    <xf numFmtId="14" fontId="8" fillId="0" borderId="0" xfId="3" applyNumberFormat="1" applyFont="1" applyAlignment="1">
      <alignment horizontal="center" vertical="center"/>
    </xf>
    <xf numFmtId="166" fontId="17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49" fontId="8" fillId="0" borderId="0" xfId="3" applyNumberFormat="1" applyFont="1" applyAlignment="1">
      <alignment horizontal="center" vertical="center"/>
    </xf>
    <xf numFmtId="166" fontId="8" fillId="0" borderId="0" xfId="1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3" fontId="17" fillId="0" borderId="0" xfId="3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14" fontId="15" fillId="0" borderId="0" xfId="0" applyNumberFormat="1" applyFont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49" fontId="15" fillId="0" borderId="0" xfId="0" applyNumberFormat="1" applyFont="1"/>
    <xf numFmtId="0" fontId="15" fillId="0" borderId="0" xfId="0" applyFont="1" applyAlignment="1">
      <alignment horizontal="center" wrapText="1"/>
    </xf>
    <xf numFmtId="0" fontId="8" fillId="9" borderId="1" xfId="3" applyFont="1" applyFill="1" applyBorder="1" applyAlignment="1">
      <alignment horizontal="center" vertical="center"/>
    </xf>
    <xf numFmtId="14" fontId="8" fillId="9" borderId="1" xfId="3" applyNumberFormat="1" applyFont="1" applyFill="1" applyBorder="1" applyAlignment="1">
      <alignment horizontal="center" vertical="center"/>
    </xf>
    <xf numFmtId="0" fontId="8" fillId="9" borderId="1" xfId="3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8" fillId="9" borderId="1" xfId="3" quotePrefix="1" applyNumberFormat="1" applyFont="1" applyFill="1" applyBorder="1" applyAlignment="1">
      <alignment horizontal="center" vertical="center"/>
    </xf>
    <xf numFmtId="166" fontId="8" fillId="9" borderId="1" xfId="1" applyNumberFormat="1" applyFont="1" applyFill="1" applyBorder="1" applyAlignment="1">
      <alignment horizontal="center" vertical="center"/>
    </xf>
    <xf numFmtId="167" fontId="8" fillId="9" borderId="1" xfId="3" applyNumberFormat="1" applyFont="1" applyFill="1" applyBorder="1" applyAlignment="1">
      <alignment horizontal="center" vertical="center" wrapText="1"/>
    </xf>
    <xf numFmtId="167" fontId="17" fillId="9" borderId="1" xfId="3" applyNumberFormat="1" applyFont="1" applyFill="1" applyBorder="1" applyAlignment="1">
      <alignment horizontal="center" vertical="center" wrapText="1"/>
    </xf>
    <xf numFmtId="166" fontId="17" fillId="9" borderId="1" xfId="1" applyNumberFormat="1" applyFont="1" applyFill="1" applyBorder="1" applyAlignment="1">
      <alignment horizontal="center" vertical="center" wrapText="1"/>
    </xf>
    <xf numFmtId="167" fontId="8" fillId="9" borderId="1" xfId="3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16" fillId="9" borderId="0" xfId="0" applyFont="1" applyFill="1"/>
    <xf numFmtId="1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49" fontId="8" fillId="9" borderId="1" xfId="3" quotePrefix="1" applyNumberFormat="1" applyFont="1" applyFill="1" applyBorder="1" applyAlignment="1">
      <alignment horizontal="center" vertical="center" wrapText="1"/>
    </xf>
    <xf numFmtId="166" fontId="8" fillId="9" borderId="1" xfId="1" applyNumberFormat="1" applyFont="1" applyFill="1" applyBorder="1" applyAlignment="1">
      <alignment horizontal="center" vertical="center" wrapText="1"/>
    </xf>
    <xf numFmtId="0" fontId="8" fillId="9" borderId="1" xfId="2" applyFill="1" applyBorder="1" applyAlignment="1">
      <alignment horizontal="center" vertical="center"/>
    </xf>
    <xf numFmtId="0" fontId="8" fillId="9" borderId="1" xfId="0" quotePrefix="1" applyFont="1" applyFill="1" applyBorder="1" applyAlignment="1">
      <alignment horizontal="center" vertical="center" wrapText="1"/>
    </xf>
    <xf numFmtId="14" fontId="8" fillId="9" borderId="4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4" xfId="2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7" fillId="9" borderId="0" xfId="0" applyFont="1" applyFill="1"/>
    <xf numFmtId="0" fontId="8" fillId="9" borderId="1" xfId="0" quotePrefix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1" xfId="2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11" fontId="18" fillId="9" borderId="1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2" applyFill="1" applyBorder="1" applyAlignment="1">
      <alignment horizontal="center" vertical="center"/>
    </xf>
    <xf numFmtId="0" fontId="8" fillId="9" borderId="8" xfId="0" applyFont="1" applyFill="1" applyBorder="1" applyAlignment="1">
      <alignment vertical="center" wrapText="1"/>
    </xf>
    <xf numFmtId="0" fontId="8" fillId="9" borderId="3" xfId="2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4" xfId="3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49" fontId="8" fillId="9" borderId="9" xfId="3" quotePrefix="1" applyNumberFormat="1" applyFont="1" applyFill="1" applyBorder="1" applyAlignment="1">
      <alignment horizontal="center" vertical="center" wrapText="1"/>
    </xf>
    <xf numFmtId="0" fontId="8" fillId="9" borderId="0" xfId="0" quotePrefix="1" applyFont="1" applyFill="1" applyAlignment="1">
      <alignment horizontal="center" vertical="center"/>
    </xf>
    <xf numFmtId="166" fontId="8" fillId="9" borderId="2" xfId="1" applyNumberFormat="1" applyFont="1" applyFill="1" applyBorder="1" applyAlignment="1">
      <alignment horizontal="center" vertical="center" wrapText="1"/>
    </xf>
    <xf numFmtId="167" fontId="8" fillId="9" borderId="2" xfId="3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7" fontId="19" fillId="9" borderId="1" xfId="3" applyNumberFormat="1" applyFont="1" applyFill="1" applyBorder="1" applyAlignment="1">
      <alignment horizontal="center" vertical="center" wrapText="1"/>
    </xf>
    <xf numFmtId="166" fontId="19" fillId="9" borderId="1" xfId="1" applyNumberFormat="1" applyFont="1" applyFill="1" applyBorder="1" applyAlignment="1">
      <alignment horizontal="center" vertical="center" wrapText="1"/>
    </xf>
    <xf numFmtId="0" fontId="19" fillId="9" borderId="1" xfId="0" quotePrefix="1" applyFont="1" applyFill="1" applyBorder="1" applyAlignment="1">
      <alignment horizontal="center" vertical="center"/>
    </xf>
    <xf numFmtId="0" fontId="20" fillId="9" borderId="0" xfId="0" applyFont="1" applyFill="1"/>
    <xf numFmtId="0" fontId="19" fillId="9" borderId="1" xfId="0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/>
    </xf>
    <xf numFmtId="0" fontId="8" fillId="9" borderId="4" xfId="3" applyFont="1" applyFill="1" applyBorder="1" applyAlignment="1">
      <alignment horizontal="center" vertical="center" wrapText="1"/>
    </xf>
    <xf numFmtId="14" fontId="8" fillId="9" borderId="10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2" xfId="3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8" fillId="10" borderId="1" xfId="3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166" fontId="8" fillId="10" borderId="1" xfId="1" applyNumberFormat="1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166" fontId="16" fillId="5" borderId="0" xfId="1" applyNumberFormat="1" applyFont="1" applyFill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0" fontId="17" fillId="0" borderId="0" xfId="3" applyFont="1" applyAlignment="1">
      <alignment vertical="center"/>
    </xf>
    <xf numFmtId="0" fontId="26" fillId="4" borderId="0" xfId="0" applyFont="1" applyFill="1" applyAlignment="1">
      <alignment vertical="center"/>
    </xf>
    <xf numFmtId="167" fontId="25" fillId="0" borderId="14" xfId="0" applyNumberFormat="1" applyFont="1" applyBorder="1" applyAlignment="1">
      <alignment horizontal="center" vertical="center" wrapText="1"/>
    </xf>
    <xf numFmtId="167" fontId="28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8" fillId="11" borderId="1" xfId="3" applyFont="1" applyFill="1" applyBorder="1" applyAlignment="1">
      <alignment horizontal="center" vertical="center"/>
    </xf>
    <xf numFmtId="14" fontId="8" fillId="11" borderId="1" xfId="3" applyNumberFormat="1" applyFont="1" applyFill="1" applyBorder="1" applyAlignment="1">
      <alignment horizontal="center" vertical="center"/>
    </xf>
    <xf numFmtId="0" fontId="8" fillId="11" borderId="1" xfId="3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11" fontId="8" fillId="11" borderId="1" xfId="0" applyNumberFormat="1" applyFont="1" applyFill="1" applyBorder="1" applyAlignment="1">
      <alignment horizontal="center" vertical="center"/>
    </xf>
    <xf numFmtId="49" fontId="8" fillId="11" borderId="1" xfId="3" quotePrefix="1" applyNumberFormat="1" applyFont="1" applyFill="1" applyBorder="1" applyAlignment="1">
      <alignment horizontal="center" vertical="center"/>
    </xf>
    <xf numFmtId="166" fontId="8" fillId="11" borderId="1" xfId="1" applyNumberFormat="1" applyFont="1" applyFill="1" applyBorder="1" applyAlignment="1">
      <alignment horizontal="center" vertical="center"/>
    </xf>
    <xf numFmtId="167" fontId="25" fillId="11" borderId="14" xfId="0" applyNumberFormat="1" applyFont="1" applyFill="1" applyBorder="1" applyAlignment="1">
      <alignment horizontal="center" vertical="center" wrapText="1"/>
    </xf>
    <xf numFmtId="0" fontId="26" fillId="11" borderId="0" xfId="0" applyFont="1" applyFill="1" applyAlignment="1">
      <alignment vertical="center"/>
    </xf>
    <xf numFmtId="0" fontId="16" fillId="11" borderId="0" xfId="0" applyFont="1" applyFill="1"/>
    <xf numFmtId="14" fontId="8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49" fontId="8" fillId="11" borderId="1" xfId="3" quotePrefix="1" applyNumberFormat="1" applyFont="1" applyFill="1" applyBorder="1" applyAlignment="1">
      <alignment horizontal="center" vertical="center" wrapText="1"/>
    </xf>
    <xf numFmtId="166" fontId="8" fillId="11" borderId="1" xfId="1" applyNumberFormat="1" applyFont="1" applyFill="1" applyBorder="1" applyAlignment="1">
      <alignment horizontal="center" vertical="center" wrapText="1"/>
    </xf>
    <xf numFmtId="0" fontId="8" fillId="11" borderId="1" xfId="2" applyFill="1" applyBorder="1" applyAlignment="1">
      <alignment horizontal="center" vertical="center"/>
    </xf>
    <xf numFmtId="0" fontId="8" fillId="11" borderId="1" xfId="0" quotePrefix="1" applyFont="1" applyFill="1" applyBorder="1" applyAlignment="1">
      <alignment horizontal="center" vertical="center" wrapText="1"/>
    </xf>
    <xf numFmtId="14" fontId="8" fillId="11" borderId="4" xfId="0" applyNumberFormat="1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 wrapText="1"/>
    </xf>
    <xf numFmtId="0" fontId="8" fillId="11" borderId="4" xfId="2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7" fillId="11" borderId="0" xfId="0" applyFont="1" applyFill="1"/>
    <xf numFmtId="0" fontId="8" fillId="11" borderId="1" xfId="0" quotePrefix="1" applyFont="1" applyFill="1" applyBorder="1" applyAlignment="1">
      <alignment horizontal="center" vertical="center"/>
    </xf>
    <xf numFmtId="11" fontId="8" fillId="11" borderId="0" xfId="0" applyNumberFormat="1" applyFont="1" applyFill="1" applyAlignment="1">
      <alignment horizontal="center" vertical="center"/>
    </xf>
    <xf numFmtId="0" fontId="8" fillId="11" borderId="1" xfId="2" applyFill="1" applyBorder="1" applyAlignment="1">
      <alignment vertical="center"/>
    </xf>
    <xf numFmtId="0" fontId="8" fillId="11" borderId="1" xfId="0" applyFont="1" applyFill="1" applyBorder="1" applyAlignment="1">
      <alignment vertical="center" wrapText="1"/>
    </xf>
    <xf numFmtId="11" fontId="18" fillId="11" borderId="1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2" xfId="2" applyFill="1" applyBorder="1" applyAlignment="1">
      <alignment horizontal="center" vertical="center"/>
    </xf>
    <xf numFmtId="0" fontId="8" fillId="11" borderId="8" xfId="0" applyFont="1" applyFill="1" applyBorder="1" applyAlignment="1">
      <alignment vertical="center" wrapText="1"/>
    </xf>
    <xf numFmtId="0" fontId="8" fillId="11" borderId="3" xfId="2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8" fillId="11" borderId="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 wrapText="1"/>
    </xf>
    <xf numFmtId="49" fontId="8" fillId="11" borderId="9" xfId="3" quotePrefix="1" applyNumberFormat="1" applyFont="1" applyFill="1" applyBorder="1" applyAlignment="1">
      <alignment horizontal="center" vertical="center" wrapText="1"/>
    </xf>
    <xf numFmtId="0" fontId="8" fillId="11" borderId="0" xfId="0" quotePrefix="1" applyFont="1" applyFill="1" applyAlignment="1">
      <alignment horizontal="center" vertical="center"/>
    </xf>
    <xf numFmtId="166" fontId="8" fillId="11" borderId="2" xfId="1" applyNumberFormat="1" applyFont="1" applyFill="1" applyBorder="1" applyAlignment="1">
      <alignment horizontal="center" vertical="center" wrapText="1"/>
    </xf>
    <xf numFmtId="167" fontId="25" fillId="11" borderId="15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/>
    </xf>
    <xf numFmtId="11" fontId="8" fillId="11" borderId="1" xfId="0" applyNumberFormat="1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9" fillId="11" borderId="1" xfId="0" quotePrefix="1" applyFont="1" applyFill="1" applyBorder="1" applyAlignment="1">
      <alignment horizontal="center" vertical="center"/>
    </xf>
    <xf numFmtId="0" fontId="20" fillId="11" borderId="0" xfId="0" applyFont="1" applyFill="1"/>
    <xf numFmtId="14" fontId="8" fillId="11" borderId="2" xfId="0" applyNumberFormat="1" applyFont="1" applyFill="1" applyBorder="1" applyAlignment="1">
      <alignment horizontal="center" vertical="center"/>
    </xf>
    <xf numFmtId="14" fontId="8" fillId="11" borderId="10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29" fillId="11" borderId="14" xfId="0" applyFont="1" applyFill="1" applyBorder="1" applyAlignment="1">
      <alignment horizontal="center" vertical="center" wrapText="1"/>
    </xf>
    <xf numFmtId="0" fontId="29" fillId="11" borderId="14" xfId="0" applyFont="1" applyFill="1" applyBorder="1" applyAlignment="1">
      <alignment horizontal="center" vertical="center"/>
    </xf>
    <xf numFmtId="0" fontId="29" fillId="11" borderId="16" xfId="0" applyFont="1" applyFill="1" applyBorder="1" applyAlignment="1">
      <alignment horizontal="center" vertical="center"/>
    </xf>
    <xf numFmtId="0" fontId="29" fillId="11" borderId="16" xfId="0" applyFont="1" applyFill="1" applyBorder="1" applyAlignment="1">
      <alignment horizontal="center" vertical="center" wrapText="1"/>
    </xf>
    <xf numFmtId="0" fontId="29" fillId="11" borderId="15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2" fillId="2" borderId="1" xfId="3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2" fillId="2" borderId="1" xfId="3" applyFont="1" applyFill="1" applyBorder="1" applyAlignment="1">
      <alignment horizontal="center" vertical="center" wrapText="1"/>
    </xf>
    <xf numFmtId="49" fontId="32" fillId="2" borderId="1" xfId="3" quotePrefix="1" applyNumberFormat="1" applyFont="1" applyFill="1" applyBorder="1" applyAlignment="1">
      <alignment horizontal="center" vertical="center" wrapText="1"/>
    </xf>
    <xf numFmtId="166" fontId="32" fillId="2" borderId="1" xfId="1" applyNumberFormat="1" applyFont="1" applyFill="1" applyBorder="1" applyAlignment="1">
      <alignment horizontal="center" vertical="center" wrapText="1"/>
    </xf>
    <xf numFmtId="167" fontId="32" fillId="2" borderId="1" xfId="3" applyNumberFormat="1" applyFont="1" applyFill="1" applyBorder="1" applyAlignment="1">
      <alignment horizontal="center" vertical="center" wrapText="1"/>
    </xf>
    <xf numFmtId="0" fontId="32" fillId="0" borderId="1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32" fillId="2" borderId="1" xfId="2" applyFont="1" applyFill="1" applyBorder="1" applyAlignment="1">
      <alignment horizontal="center" vertical="center"/>
    </xf>
    <xf numFmtId="0" fontId="32" fillId="2" borderId="4" xfId="2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6" fontId="32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2" fillId="0" borderId="1" xfId="0" quotePrefix="1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1" xfId="2" applyFont="1" applyBorder="1" applyAlignment="1">
      <alignment vertical="center"/>
    </xf>
    <xf numFmtId="0" fontId="32" fillId="3" borderId="1" xfId="0" applyFont="1" applyFill="1" applyBorder="1" applyAlignment="1">
      <alignment vertical="center" wrapText="1"/>
    </xf>
    <xf numFmtId="0" fontId="33" fillId="0" borderId="8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49" fontId="32" fillId="0" borderId="1" xfId="3" quotePrefix="1" applyNumberFormat="1" applyFont="1" applyBorder="1" applyAlignment="1">
      <alignment horizontal="center" vertical="center" wrapText="1"/>
    </xf>
    <xf numFmtId="0" fontId="32" fillId="0" borderId="2" xfId="2" applyFont="1" applyBorder="1" applyAlignment="1">
      <alignment horizontal="center" vertical="center"/>
    </xf>
    <xf numFmtId="0" fontId="32" fillId="3" borderId="8" xfId="0" applyFont="1" applyFill="1" applyBorder="1" applyAlignment="1">
      <alignment vertical="center" wrapText="1"/>
    </xf>
    <xf numFmtId="0" fontId="32" fillId="0" borderId="3" xfId="2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4" xfId="2" applyFont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49" fontId="32" fillId="2" borderId="9" xfId="3" quotePrefix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49" fontId="32" fillId="0" borderId="9" xfId="3" quotePrefix="1" applyNumberFormat="1" applyFont="1" applyBorder="1" applyAlignment="1">
      <alignment horizontal="center" vertical="center" wrapText="1"/>
    </xf>
    <xf numFmtId="0" fontId="32" fillId="0" borderId="0" xfId="0" quotePrefix="1" applyFont="1" applyAlignment="1">
      <alignment horizontal="center" vertical="center"/>
    </xf>
    <xf numFmtId="166" fontId="32" fillId="0" borderId="2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8" fillId="0" borderId="15" xfId="3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6" fontId="17" fillId="5" borderId="0" xfId="1" applyNumberFormat="1" applyFont="1" applyFill="1" applyAlignment="1">
      <alignment horizontal="center" vertical="center"/>
    </xf>
    <xf numFmtId="0" fontId="8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35" fillId="0" borderId="0" xfId="3" applyFont="1" applyAlignment="1">
      <alignment horizontal="center" vertical="center" wrapText="1"/>
    </xf>
    <xf numFmtId="166" fontId="35" fillId="0" borderId="0" xfId="1" applyNumberFormat="1" applyFont="1" applyFill="1" applyBorder="1" applyAlignment="1">
      <alignment horizontal="center" vertical="center"/>
    </xf>
    <xf numFmtId="166" fontId="8" fillId="0" borderId="0" xfId="1" applyNumberFormat="1" applyFont="1" applyAlignment="1">
      <alignment horizontal="right" vertical="center"/>
    </xf>
    <xf numFmtId="0" fontId="8" fillId="2" borderId="1" xfId="3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49" fontId="8" fillId="2" borderId="1" xfId="3" quotePrefix="1" applyNumberFormat="1" applyFont="1" applyFill="1" applyBorder="1" applyAlignment="1">
      <alignment horizontal="center" vertical="center" wrapText="1"/>
    </xf>
    <xf numFmtId="166" fontId="8" fillId="2" borderId="1" xfId="1" applyNumberFormat="1" applyFont="1" applyFill="1" applyBorder="1" applyAlignment="1">
      <alignment horizontal="center" vertical="center" wrapText="1"/>
    </xf>
    <xf numFmtId="167" fontId="8" fillId="2" borderId="1" xfId="3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49" fontId="8" fillId="2" borderId="9" xfId="3" quotePrefix="1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6" fontId="8" fillId="2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6" fillId="4" borderId="17" xfId="0" applyFont="1" applyFill="1" applyBorder="1" applyAlignment="1">
      <alignment horizontal="center" vertical="center" wrapText="1"/>
    </xf>
    <xf numFmtId="0" fontId="36" fillId="4" borderId="18" xfId="0" applyFont="1" applyFill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165" fontId="17" fillId="0" borderId="15" xfId="3" applyNumberFormat="1" applyFont="1" applyBorder="1" applyAlignment="1">
      <alignment horizontal="center" vertical="center"/>
    </xf>
    <xf numFmtId="0" fontId="26" fillId="12" borderId="0" xfId="0" applyFont="1" applyFill="1" applyAlignment="1">
      <alignment vertical="center"/>
    </xf>
    <xf numFmtId="0" fontId="20" fillId="12" borderId="0" xfId="0" applyFont="1" applyFill="1"/>
    <xf numFmtId="0" fontId="29" fillId="12" borderId="14" xfId="0" applyFont="1" applyFill="1" applyBorder="1" applyAlignment="1">
      <alignment horizontal="center" vertical="center"/>
    </xf>
    <xf numFmtId="0" fontId="30" fillId="12" borderId="14" xfId="0" applyFont="1" applyFill="1" applyBorder="1" applyAlignment="1">
      <alignment horizontal="center" vertical="center"/>
    </xf>
    <xf numFmtId="0" fontId="29" fillId="12" borderId="14" xfId="0" applyFont="1" applyFill="1" applyBorder="1" applyAlignment="1">
      <alignment horizontal="center" vertical="center" wrapText="1"/>
    </xf>
    <xf numFmtId="0" fontId="30" fillId="12" borderId="14" xfId="0" applyFont="1" applyFill="1" applyBorder="1" applyAlignment="1">
      <alignment horizontal="center" vertical="center" wrapText="1"/>
    </xf>
    <xf numFmtId="49" fontId="29" fillId="12" borderId="14" xfId="0" quotePrefix="1" applyNumberFormat="1" applyFont="1" applyFill="1" applyBorder="1" applyAlignment="1">
      <alignment horizontal="center" vertical="center" wrapText="1"/>
    </xf>
    <xf numFmtId="166" fontId="29" fillId="12" borderId="14" xfId="0" applyNumberFormat="1" applyFont="1" applyFill="1" applyBorder="1" applyAlignment="1">
      <alignment horizontal="center" vertical="center" wrapText="1"/>
    </xf>
    <xf numFmtId="167" fontId="29" fillId="12" borderId="14" xfId="0" applyNumberFormat="1" applyFont="1" applyFill="1" applyBorder="1" applyAlignment="1">
      <alignment horizontal="center" vertical="center" wrapText="1"/>
    </xf>
    <xf numFmtId="0" fontId="25" fillId="4" borderId="16" xfId="0" applyFont="1" applyFill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0" fontId="34" fillId="3" borderId="16" xfId="0" applyFont="1" applyFill="1" applyBorder="1" applyAlignment="1">
      <alignment horizontal="center" vertical="center" wrapText="1"/>
    </xf>
    <xf numFmtId="0" fontId="25" fillId="3" borderId="16" xfId="0" applyFont="1" applyFill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/>
    </xf>
    <xf numFmtId="11" fontId="25" fillId="0" borderId="16" xfId="0" applyNumberFormat="1" applyFont="1" applyBorder="1" applyAlignment="1">
      <alignment horizontal="center" vertical="center"/>
    </xf>
    <xf numFmtId="0" fontId="25" fillId="4" borderId="16" xfId="0" applyFont="1" applyFill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49" fontId="25" fillId="4" borderId="16" xfId="0" quotePrefix="1" applyNumberFormat="1" applyFont="1" applyFill="1" applyBorder="1" applyAlignment="1">
      <alignment horizontal="center" vertical="center" wrapText="1"/>
    </xf>
    <xf numFmtId="166" fontId="25" fillId="4" borderId="16" xfId="0" applyNumberFormat="1" applyFont="1" applyFill="1" applyBorder="1" applyAlignment="1">
      <alignment horizontal="center" vertical="center" wrapText="1"/>
    </xf>
    <xf numFmtId="166" fontId="25" fillId="0" borderId="16" xfId="0" applyNumberFormat="1" applyFont="1" applyBorder="1" applyAlignment="1">
      <alignment horizontal="center" vertical="center" wrapText="1"/>
    </xf>
    <xf numFmtId="167" fontId="25" fillId="4" borderId="16" xfId="0" applyNumberFormat="1" applyFont="1" applyFill="1" applyBorder="1" applyAlignment="1">
      <alignment horizontal="center" vertical="center" wrapText="1"/>
    </xf>
    <xf numFmtId="167" fontId="28" fillId="0" borderId="16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165" fontId="17" fillId="0" borderId="15" xfId="3" applyNumberFormat="1" applyFont="1" applyBorder="1" applyAlignment="1">
      <alignment horizontal="center" vertical="center" wrapText="1"/>
    </xf>
    <xf numFmtId="49" fontId="17" fillId="0" borderId="15" xfId="3" applyNumberFormat="1" applyFont="1" applyBorder="1" applyAlignment="1">
      <alignment horizontal="center" vertical="center"/>
    </xf>
    <xf numFmtId="166" fontId="17" fillId="0" borderId="15" xfId="1" applyNumberFormat="1" applyFont="1" applyFill="1" applyBorder="1" applyAlignment="1">
      <alignment horizontal="center" vertical="center"/>
    </xf>
    <xf numFmtId="11" fontId="29" fillId="12" borderId="14" xfId="0" applyNumberFormat="1" applyFont="1" applyFill="1" applyBorder="1" applyAlignment="1">
      <alignment horizontal="center" vertical="center"/>
    </xf>
    <xf numFmtId="0" fontId="16" fillId="12" borderId="14" xfId="0" applyFont="1" applyFill="1" applyBorder="1"/>
    <xf numFmtId="0" fontId="2" fillId="12" borderId="14" xfId="0" applyFont="1" applyFill="1" applyBorder="1" applyAlignment="1">
      <alignment horizontal="center" vertical="center" wrapText="1"/>
    </xf>
    <xf numFmtId="0" fontId="31" fillId="12" borderId="14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/>
    </xf>
    <xf numFmtId="14" fontId="29" fillId="0" borderId="16" xfId="0" applyNumberFormat="1" applyFont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/>
    </xf>
    <xf numFmtId="0" fontId="8" fillId="2" borderId="15" xfId="3" applyFont="1" applyFill="1" applyBorder="1" applyAlignment="1">
      <alignment horizontal="center" vertical="center" wrapText="1"/>
    </xf>
    <xf numFmtId="0" fontId="36" fillId="4" borderId="14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14" fontId="0" fillId="0" borderId="0" xfId="0" applyNumberFormat="1"/>
    <xf numFmtId="0" fontId="36" fillId="13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66" fontId="17" fillId="0" borderId="14" xfId="1" applyNumberFormat="1" applyFont="1" applyFill="1" applyBorder="1" applyAlignment="1">
      <alignment horizontal="center" vertical="center"/>
    </xf>
    <xf numFmtId="166" fontId="8" fillId="0" borderId="15" xfId="1" applyNumberFormat="1" applyFont="1" applyFill="1" applyBorder="1" applyAlignment="1">
      <alignment horizontal="center" vertical="center" wrapText="1"/>
    </xf>
    <xf numFmtId="166" fontId="8" fillId="10" borderId="15" xfId="1" applyNumberFormat="1" applyFont="1" applyFill="1" applyBorder="1" applyAlignment="1">
      <alignment horizontal="center" vertical="center" wrapText="1"/>
    </xf>
    <xf numFmtId="166" fontId="32" fillId="2" borderId="14" xfId="1" applyNumberFormat="1" applyFont="1" applyFill="1" applyBorder="1" applyAlignment="1">
      <alignment horizontal="center" vertical="center" wrapText="1"/>
    </xf>
    <xf numFmtId="166" fontId="32" fillId="0" borderId="14" xfId="1" applyNumberFormat="1" applyFont="1" applyFill="1" applyBorder="1" applyAlignment="1">
      <alignment horizontal="center" vertical="center" wrapText="1"/>
    </xf>
    <xf numFmtId="166" fontId="32" fillId="0" borderId="15" xfId="1" applyNumberFormat="1" applyFont="1" applyFill="1" applyBorder="1" applyAlignment="1">
      <alignment horizontal="center" vertical="center" wrapText="1"/>
    </xf>
    <xf numFmtId="166" fontId="17" fillId="0" borderId="16" xfId="1" applyNumberFormat="1" applyFont="1" applyFill="1" applyBorder="1" applyAlignment="1">
      <alignment horizontal="center" vertical="center"/>
    </xf>
    <xf numFmtId="166" fontId="8" fillId="11" borderId="14" xfId="1" applyNumberFormat="1" applyFont="1" applyFill="1" applyBorder="1" applyAlignment="1">
      <alignment horizontal="center" vertical="center"/>
    </xf>
    <xf numFmtId="166" fontId="8" fillId="11" borderId="14" xfId="1" applyNumberFormat="1" applyFont="1" applyFill="1" applyBorder="1" applyAlignment="1">
      <alignment horizontal="center" vertical="center" wrapText="1"/>
    </xf>
    <xf numFmtId="166" fontId="8" fillId="11" borderId="15" xfId="1" applyNumberFormat="1" applyFont="1" applyFill="1" applyBorder="1" applyAlignment="1">
      <alignment horizontal="center" vertical="center" wrapText="1"/>
    </xf>
    <xf numFmtId="0" fontId="15" fillId="0" borderId="0" xfId="1" applyNumberFormat="1" applyFont="1" applyFill="1"/>
    <xf numFmtId="0" fontId="15" fillId="0" borderId="0" xfId="1" applyNumberFormat="1" applyFont="1" applyFill="1" applyAlignment="1">
      <alignment horizontal="center" vertical="center"/>
    </xf>
    <xf numFmtId="0" fontId="15" fillId="0" borderId="0" xfId="1" applyNumberFormat="1" applyFont="1" applyFill="1" applyAlignment="1">
      <alignment vertical="top"/>
    </xf>
    <xf numFmtId="0" fontId="15" fillId="0" borderId="0" xfId="1" applyNumberFormat="1" applyFont="1" applyFill="1" applyAlignment="1">
      <alignment vertical="center"/>
    </xf>
    <xf numFmtId="0" fontId="15" fillId="0" borderId="0" xfId="1" applyNumberFormat="1" applyFont="1" applyFill="1" applyAlignment="1">
      <alignment horizontal="left" vertical="center"/>
    </xf>
    <xf numFmtId="0" fontId="17" fillId="0" borderId="15" xfId="1" applyNumberFormat="1" applyFont="1" applyFill="1" applyBorder="1" applyAlignment="1">
      <alignment horizontal="center" vertical="center"/>
    </xf>
    <xf numFmtId="0" fontId="8" fillId="10" borderId="15" xfId="1" applyNumberFormat="1" applyFont="1" applyFill="1" applyBorder="1" applyAlignment="1">
      <alignment horizontal="center" vertical="center" wrapText="1"/>
    </xf>
    <xf numFmtId="0" fontId="32" fillId="2" borderId="14" xfId="1" applyNumberFormat="1" applyFont="1" applyFill="1" applyBorder="1" applyAlignment="1">
      <alignment horizontal="center" vertical="center" wrapText="1"/>
    </xf>
    <xf numFmtId="0" fontId="32" fillId="0" borderId="14" xfId="1" applyNumberFormat="1" applyFont="1" applyFill="1" applyBorder="1" applyAlignment="1">
      <alignment horizontal="center" vertical="center" wrapText="1"/>
    </xf>
    <xf numFmtId="0" fontId="32" fillId="0" borderId="15" xfId="1" applyNumberFormat="1" applyFont="1" applyFill="1" applyBorder="1" applyAlignment="1">
      <alignment horizontal="center" vertical="center" wrapText="1"/>
    </xf>
    <xf numFmtId="0" fontId="8" fillId="0" borderId="0" xfId="1" applyNumberFormat="1" applyFont="1" applyFill="1" applyBorder="1" applyAlignment="1">
      <alignment horizontal="center" vertical="center"/>
    </xf>
    <xf numFmtId="0" fontId="17" fillId="0" borderId="0" xfId="1" applyNumberFormat="1" applyFont="1" applyFill="1" applyBorder="1" applyAlignment="1">
      <alignment horizontal="center" vertical="center"/>
    </xf>
    <xf numFmtId="0" fontId="17" fillId="5" borderId="0" xfId="1" applyNumberFormat="1" applyFont="1" applyFill="1" applyAlignment="1">
      <alignment horizontal="center" vertical="center"/>
    </xf>
    <xf numFmtId="0" fontId="17" fillId="0" borderId="14" xfId="1" applyNumberFormat="1" applyFont="1" applyFill="1" applyBorder="1" applyAlignment="1">
      <alignment horizontal="center" vertical="center"/>
    </xf>
    <xf numFmtId="0" fontId="8" fillId="11" borderId="14" xfId="1" applyNumberFormat="1" applyFont="1" applyFill="1" applyBorder="1" applyAlignment="1">
      <alignment horizontal="center" vertical="center"/>
    </xf>
    <xf numFmtId="0" fontId="8" fillId="11" borderId="14" xfId="1" applyNumberFormat="1" applyFont="1" applyFill="1" applyBorder="1" applyAlignment="1">
      <alignment horizontal="center" vertical="center" wrapText="1"/>
    </xf>
    <xf numFmtId="0" fontId="8" fillId="11" borderId="15" xfId="1" applyNumberFormat="1" applyFont="1" applyFill="1" applyBorder="1" applyAlignment="1">
      <alignment horizontal="center" vertical="center" wrapText="1"/>
    </xf>
    <xf numFmtId="0" fontId="35" fillId="0" borderId="0" xfId="1" applyNumberFormat="1" applyFont="1" applyFill="1" applyBorder="1" applyAlignment="1">
      <alignment horizontal="center" vertical="center"/>
    </xf>
    <xf numFmtId="0" fontId="16" fillId="5" borderId="0" xfId="1" applyNumberFormat="1" applyFont="1" applyFill="1" applyAlignment="1">
      <alignment horizontal="center" vertical="center"/>
    </xf>
    <xf numFmtId="166" fontId="16" fillId="0" borderId="0" xfId="1" applyNumberFormat="1" applyFont="1" applyFill="1" applyAlignment="1">
      <alignment horizontal="center" vertical="center"/>
    </xf>
    <xf numFmtId="166" fontId="36" fillId="4" borderId="14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7" fontId="15" fillId="0" borderId="0" xfId="0" applyNumberFormat="1" applyFont="1"/>
    <xf numFmtId="0" fontId="32" fillId="5" borderId="1" xfId="0" applyFont="1" applyFill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166" fontId="19" fillId="0" borderId="15" xfId="1" applyNumberFormat="1" applyFont="1" applyFill="1" applyBorder="1" applyAlignment="1">
      <alignment horizontal="center" vertical="center" wrapText="1"/>
    </xf>
    <xf numFmtId="0" fontId="8" fillId="10" borderId="1" xfId="3" applyFont="1" applyFill="1" applyBorder="1" applyAlignment="1">
      <alignment horizontal="center" vertical="center"/>
    </xf>
    <xf numFmtId="14" fontId="8" fillId="10" borderId="1" xfId="0" applyNumberFormat="1" applyFont="1" applyFill="1" applyBorder="1" applyAlignment="1">
      <alignment horizontal="center" vertical="center"/>
    </xf>
    <xf numFmtId="0" fontId="8" fillId="10" borderId="1" xfId="2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29" fillId="10" borderId="14" xfId="0" applyFont="1" applyFill="1" applyBorder="1" applyAlignment="1">
      <alignment horizontal="center" vertical="center" wrapText="1"/>
    </xf>
    <xf numFmtId="0" fontId="8" fillId="10" borderId="1" xfId="0" quotePrefix="1" applyFont="1" applyFill="1" applyBorder="1" applyAlignment="1">
      <alignment horizontal="center" vertical="center"/>
    </xf>
    <xf numFmtId="166" fontId="8" fillId="10" borderId="2" xfId="1" applyNumberFormat="1" applyFont="1" applyFill="1" applyBorder="1" applyAlignment="1">
      <alignment horizontal="center" vertical="center" wrapText="1"/>
    </xf>
    <xf numFmtId="167" fontId="25" fillId="10" borderId="14" xfId="0" applyNumberFormat="1" applyFont="1" applyFill="1" applyBorder="1" applyAlignment="1">
      <alignment horizontal="center" vertical="center" wrapText="1"/>
    </xf>
    <xf numFmtId="167" fontId="28" fillId="10" borderId="14" xfId="0" applyNumberFormat="1" applyFont="1" applyFill="1" applyBorder="1" applyAlignment="1">
      <alignment horizontal="center" vertical="center" wrapText="1"/>
    </xf>
    <xf numFmtId="0" fontId="20" fillId="10" borderId="0" xfId="0" applyFont="1" applyFill="1"/>
    <xf numFmtId="14" fontId="8" fillId="10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8" fillId="10" borderId="4" xfId="2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11" fontId="8" fillId="10" borderId="1" xfId="0" applyNumberFormat="1" applyFont="1" applyFill="1" applyBorder="1" applyAlignment="1">
      <alignment horizontal="center" vertical="center"/>
    </xf>
    <xf numFmtId="0" fontId="29" fillId="10" borderId="16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14" fontId="8" fillId="10" borderId="2" xfId="0" applyNumberFormat="1" applyFont="1" applyFill="1" applyBorder="1" applyAlignment="1">
      <alignment horizontal="center" vertical="center"/>
    </xf>
    <xf numFmtId="0" fontId="8" fillId="10" borderId="2" xfId="2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11" xfId="0" applyFont="1" applyFill="1" applyBorder="1" applyAlignment="1">
      <alignment horizontal="center" vertical="center"/>
    </xf>
    <xf numFmtId="0" fontId="29" fillId="10" borderId="14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 wrapText="1"/>
    </xf>
    <xf numFmtId="0" fontId="21" fillId="10" borderId="1" xfId="0" quotePrefix="1" applyFont="1" applyFill="1" applyBorder="1" applyAlignment="1">
      <alignment horizontal="center" vertical="center"/>
    </xf>
    <xf numFmtId="0" fontId="8" fillId="10" borderId="3" xfId="2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9" fillId="10" borderId="1" xfId="0" quotePrefix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8" fillId="10" borderId="1" xfId="0" quotePrefix="1" applyFont="1" applyFill="1" applyBorder="1" applyAlignment="1">
      <alignment horizontal="center" vertical="center" wrapText="1"/>
    </xf>
    <xf numFmtId="0" fontId="8" fillId="10" borderId="1" xfId="0" quotePrefix="1" applyFont="1" applyFill="1" applyBorder="1" applyAlignment="1">
      <alignment horizontal="center" wrapText="1"/>
    </xf>
    <xf numFmtId="0" fontId="8" fillId="10" borderId="0" xfId="0" applyFont="1" applyFill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14" fontId="8" fillId="10" borderId="10" xfId="0" applyNumberFormat="1" applyFont="1" applyFill="1" applyBorder="1" applyAlignment="1">
      <alignment horizontal="center" vertical="center"/>
    </xf>
    <xf numFmtId="0" fontId="29" fillId="10" borderId="16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0" fontId="29" fillId="10" borderId="15" xfId="0" applyFont="1" applyFill="1" applyBorder="1" applyAlignment="1">
      <alignment horizontal="center" vertical="center" wrapText="1"/>
    </xf>
    <xf numFmtId="11" fontId="18" fillId="10" borderId="1" xfId="0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8" fillId="10" borderId="2" xfId="3" applyFont="1" applyFill="1" applyBorder="1" applyAlignment="1">
      <alignment horizontal="center" vertical="center" wrapText="1"/>
    </xf>
    <xf numFmtId="0" fontId="8" fillId="10" borderId="3" xfId="3" applyFont="1" applyFill="1" applyBorder="1" applyAlignment="1">
      <alignment horizontal="center" vertical="center" wrapText="1"/>
    </xf>
    <xf numFmtId="0" fontId="8" fillId="10" borderId="0" xfId="0" quotePrefix="1" applyFont="1" applyFill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4" xfId="3" applyFont="1" applyFill="1" applyBorder="1" applyAlignment="1">
      <alignment horizontal="center" vertical="center" wrapText="1"/>
    </xf>
    <xf numFmtId="11" fontId="18" fillId="10" borderId="0" xfId="0" applyNumberFormat="1" applyFont="1" applyFill="1" applyAlignment="1">
      <alignment horizontal="center" vertical="center"/>
    </xf>
    <xf numFmtId="166" fontId="8" fillId="10" borderId="14" xfId="1" applyNumberFormat="1" applyFont="1" applyFill="1" applyBorder="1" applyAlignment="1">
      <alignment horizontal="center" vertical="center" wrapText="1"/>
    </xf>
    <xf numFmtId="0" fontId="8" fillId="10" borderId="14" xfId="1" applyNumberFormat="1" applyFont="1" applyFill="1" applyBorder="1" applyAlignment="1">
      <alignment horizontal="center" vertical="center" wrapText="1"/>
    </xf>
    <xf numFmtId="0" fontId="21" fillId="10" borderId="2" xfId="0" quotePrefix="1" applyFont="1" applyFill="1" applyBorder="1" applyAlignment="1">
      <alignment horizontal="center" vertical="center"/>
    </xf>
    <xf numFmtId="14" fontId="8" fillId="10" borderId="8" xfId="0" applyNumberFormat="1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center" vertical="center"/>
    </xf>
    <xf numFmtId="0" fontId="21" fillId="10" borderId="4" xfId="0" quotePrefix="1" applyFont="1" applyFill="1" applyBorder="1" applyAlignment="1">
      <alignment horizontal="center" vertical="center"/>
    </xf>
    <xf numFmtId="0" fontId="30" fillId="10" borderId="14" xfId="0" applyFont="1" applyFill="1" applyBorder="1" applyAlignment="1">
      <alignment horizontal="center" vertical="center"/>
    </xf>
    <xf numFmtId="166" fontId="19" fillId="10" borderId="15" xfId="1" applyNumberFormat="1" applyFont="1" applyFill="1" applyBorder="1" applyAlignment="1">
      <alignment horizontal="center" vertical="center" wrapText="1"/>
    </xf>
    <xf numFmtId="166" fontId="8" fillId="10" borderId="4" xfId="1" applyNumberFormat="1" applyFont="1" applyFill="1" applyBorder="1" applyAlignment="1">
      <alignment horizontal="center" vertical="center" wrapText="1"/>
    </xf>
    <xf numFmtId="166" fontId="8" fillId="10" borderId="3" xfId="1" applyNumberFormat="1" applyFont="1" applyFill="1" applyBorder="1" applyAlignment="1">
      <alignment horizontal="center" vertical="center" wrapText="1"/>
    </xf>
    <xf numFmtId="0" fontId="8" fillId="10" borderId="3" xfId="1" applyNumberFormat="1" applyFont="1" applyFill="1" applyBorder="1" applyAlignment="1">
      <alignment horizontal="center" vertical="center" wrapText="1"/>
    </xf>
    <xf numFmtId="11" fontId="18" fillId="10" borderId="4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vertical="center" wrapText="1"/>
    </xf>
    <xf numFmtId="49" fontId="8" fillId="10" borderId="1" xfId="3" quotePrefix="1" applyNumberFormat="1" applyFont="1" applyFill="1" applyBorder="1" applyAlignment="1">
      <alignment horizontal="center" vertical="center"/>
    </xf>
    <xf numFmtId="166" fontId="8" fillId="10" borderId="1" xfId="1" applyNumberFormat="1" applyFont="1" applyFill="1" applyBorder="1" applyAlignment="1">
      <alignment horizontal="center" vertical="center"/>
    </xf>
    <xf numFmtId="166" fontId="8" fillId="10" borderId="14" xfId="1" applyNumberFormat="1" applyFont="1" applyFill="1" applyBorder="1" applyAlignment="1">
      <alignment horizontal="center" vertical="center"/>
    </xf>
    <xf numFmtId="0" fontId="8" fillId="10" borderId="14" xfId="1" applyNumberFormat="1" applyFont="1" applyFill="1" applyBorder="1" applyAlignment="1">
      <alignment horizontal="center" vertical="center"/>
    </xf>
    <xf numFmtId="0" fontId="8" fillId="10" borderId="2" xfId="0" quotePrefix="1" applyFont="1" applyFill="1" applyBorder="1" applyAlignment="1">
      <alignment horizontal="center" vertical="center"/>
    </xf>
    <xf numFmtId="11" fontId="18" fillId="10" borderId="1" xfId="0" applyNumberFormat="1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/>
    </xf>
    <xf numFmtId="0" fontId="8" fillId="10" borderId="14" xfId="3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31" fillId="10" borderId="19" xfId="0" applyFont="1" applyFill="1" applyBorder="1" applyAlignment="1">
      <alignment horizontal="center" vertical="center" wrapText="1"/>
    </xf>
    <xf numFmtId="0" fontId="20" fillId="10" borderId="14" xfId="0" applyFont="1" applyFill="1" applyBorder="1"/>
    <xf numFmtId="0" fontId="18" fillId="10" borderId="14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/>
    </xf>
    <xf numFmtId="0" fontId="8" fillId="10" borderId="15" xfId="3" applyFont="1" applyFill="1" applyBorder="1" applyAlignment="1">
      <alignment horizontal="center" vertical="center" wrapText="1"/>
    </xf>
    <xf numFmtId="0" fontId="21" fillId="10" borderId="15" xfId="0" quotePrefix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 wrapText="1"/>
    </xf>
    <xf numFmtId="0" fontId="31" fillId="10" borderId="20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2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 vertical="center"/>
    </xf>
    <xf numFmtId="166" fontId="8" fillId="2" borderId="15" xfId="1" applyNumberFormat="1" applyFont="1" applyFill="1" applyBorder="1" applyAlignment="1">
      <alignment horizontal="center" vertical="center" wrapText="1"/>
    </xf>
    <xf numFmtId="0" fontId="8" fillId="2" borderId="15" xfId="1" applyNumberFormat="1" applyFont="1" applyFill="1" applyBorder="1" applyAlignment="1">
      <alignment horizontal="center" vertical="center" wrapText="1"/>
    </xf>
    <xf numFmtId="166" fontId="8" fillId="2" borderId="2" xfId="1" applyNumberFormat="1" applyFont="1" applyFill="1" applyBorder="1" applyAlignment="1">
      <alignment horizontal="center" vertical="center" wrapText="1"/>
    </xf>
    <xf numFmtId="167" fontId="8" fillId="2" borderId="14" xfId="0" applyNumberFormat="1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/>
    </xf>
    <xf numFmtId="0" fontId="8" fillId="2" borderId="4" xfId="2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1" fontId="8" fillId="2" borderId="1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0" fontId="8" fillId="2" borderId="2" xfId="2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quotePrefix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2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  <xf numFmtId="14" fontId="8" fillId="2" borderId="10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3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8" fillId="2" borderId="0" xfId="0" quotePrefix="1" applyFont="1" applyFill="1" applyAlignment="1">
      <alignment horizontal="center" vertical="center"/>
    </xf>
    <xf numFmtId="0" fontId="8" fillId="2" borderId="4" xfId="3" applyFont="1" applyFill="1" applyBorder="1" applyAlignment="1">
      <alignment horizontal="center" vertical="center" wrapText="1"/>
    </xf>
    <xf numFmtId="11" fontId="8" fillId="2" borderId="0" xfId="0" applyNumberFormat="1" applyFont="1" applyFill="1" applyAlignment="1">
      <alignment horizontal="center" vertical="center"/>
    </xf>
    <xf numFmtId="166" fontId="8" fillId="2" borderId="14" xfId="1" applyNumberFormat="1" applyFont="1" applyFill="1" applyBorder="1" applyAlignment="1">
      <alignment horizontal="center" vertical="center" wrapText="1"/>
    </xf>
    <xf numFmtId="0" fontId="8" fillId="2" borderId="14" xfId="1" applyNumberFormat="1" applyFont="1" applyFill="1" applyBorder="1" applyAlignment="1">
      <alignment horizontal="center" vertical="center" wrapText="1"/>
    </xf>
    <xf numFmtId="0" fontId="8" fillId="2" borderId="2" xfId="0" quotePrefix="1" applyFont="1" applyFill="1" applyBorder="1" applyAlignment="1">
      <alignment horizontal="center" vertical="center"/>
    </xf>
    <xf numFmtId="14" fontId="8" fillId="2" borderId="8" xfId="0" applyNumberFormat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166" fontId="8" fillId="2" borderId="4" xfId="1" applyNumberFormat="1" applyFont="1" applyFill="1" applyBorder="1" applyAlignment="1">
      <alignment horizontal="center" vertical="center" wrapText="1"/>
    </xf>
    <xf numFmtId="166" fontId="8" fillId="2" borderId="3" xfId="1" applyNumberFormat="1" applyFont="1" applyFill="1" applyBorder="1" applyAlignment="1">
      <alignment horizontal="center" vertical="center" wrapText="1"/>
    </xf>
    <xf numFmtId="0" fontId="8" fillId="2" borderId="3" xfId="1" applyNumberFormat="1" applyFont="1" applyFill="1" applyBorder="1" applyAlignment="1">
      <alignment horizontal="center" vertical="center" wrapText="1"/>
    </xf>
    <xf numFmtId="11" fontId="8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49" fontId="8" fillId="2" borderId="1" xfId="3" quotePrefix="1" applyNumberFormat="1" applyFont="1" applyFill="1" applyBorder="1" applyAlignment="1">
      <alignment horizontal="center" vertical="center"/>
    </xf>
    <xf numFmtId="166" fontId="8" fillId="2" borderId="14" xfId="1" applyNumberFormat="1" applyFont="1" applyFill="1" applyBorder="1" applyAlignment="1">
      <alignment horizontal="center" vertical="center"/>
    </xf>
    <xf numFmtId="0" fontId="8" fillId="2" borderId="14" xfId="1" applyNumberFormat="1" applyFont="1" applyFill="1" applyBorder="1" applyAlignment="1">
      <alignment horizontal="center" vertical="center"/>
    </xf>
    <xf numFmtId="11" fontId="8" fillId="2" borderId="1" xfId="0" applyNumberFormat="1" applyFont="1" applyFill="1" applyBorder="1" applyAlignment="1">
      <alignment horizontal="center" vertical="center" wrapText="1"/>
    </xf>
    <xf numFmtId="0" fontId="8" fillId="2" borderId="14" xfId="3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7" fillId="2" borderId="14" xfId="0" applyFont="1" applyFill="1" applyBorder="1"/>
    <xf numFmtId="0" fontId="8" fillId="2" borderId="18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166" fontId="35" fillId="0" borderId="0" xfId="3" applyNumberFormat="1" applyFont="1" applyAlignment="1">
      <alignment horizontal="center" vertical="center"/>
    </xf>
    <xf numFmtId="0" fontId="38" fillId="5" borderId="0" xfId="3" applyFont="1" applyFill="1" applyAlignment="1">
      <alignment horizontal="center" vertical="center" wrapText="1"/>
    </xf>
    <xf numFmtId="0" fontId="35" fillId="0" borderId="1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vertical="center" wrapText="1"/>
    </xf>
    <xf numFmtId="0" fontId="40" fillId="0" borderId="14" xfId="3" applyFont="1" applyBorder="1" applyAlignment="1">
      <alignment horizontal="center" vertical="center"/>
    </xf>
    <xf numFmtId="0" fontId="40" fillId="0" borderId="14" xfId="3" applyFont="1" applyBorder="1" applyAlignment="1">
      <alignment horizontal="center" vertical="center" wrapText="1"/>
    </xf>
    <xf numFmtId="166" fontId="40" fillId="0" borderId="14" xfId="3" applyNumberFormat="1" applyFont="1" applyBorder="1" applyAlignment="1">
      <alignment horizontal="center" vertical="center"/>
    </xf>
    <xf numFmtId="166" fontId="40" fillId="0" borderId="14" xfId="1" applyNumberFormat="1" applyFont="1" applyFill="1" applyBorder="1" applyAlignment="1">
      <alignment horizontal="center" vertical="center"/>
    </xf>
    <xf numFmtId="0" fontId="40" fillId="0" borderId="14" xfId="1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8" fillId="0" borderId="1" xfId="2" applyBorder="1" applyAlignment="1">
      <alignment vertical="center"/>
    </xf>
    <xf numFmtId="0" fontId="8" fillId="12" borderId="14" xfId="0" applyFont="1" applyFill="1" applyBorder="1" applyAlignment="1">
      <alignment horizontal="center"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 vertical="center" wrapText="1"/>
    </xf>
    <xf numFmtId="11" fontId="8" fillId="2" borderId="16" xfId="0" applyNumberFormat="1" applyFont="1" applyFill="1" applyBorder="1" applyAlignment="1">
      <alignment horizontal="center" vertical="center"/>
    </xf>
    <xf numFmtId="49" fontId="8" fillId="2" borderId="16" xfId="0" quotePrefix="1" applyNumberFormat="1" applyFont="1" applyFill="1" applyBorder="1" applyAlignment="1">
      <alignment horizontal="center" vertical="center" wrapText="1"/>
    </xf>
    <xf numFmtId="166" fontId="8" fillId="2" borderId="16" xfId="0" applyNumberFormat="1" applyFont="1" applyFill="1" applyBorder="1" applyAlignment="1">
      <alignment horizontal="center" vertical="center" wrapText="1"/>
    </xf>
    <xf numFmtId="167" fontId="8" fillId="2" borderId="16" xfId="0" applyNumberFormat="1" applyFont="1" applyFill="1" applyBorder="1" applyAlignment="1">
      <alignment horizontal="center" vertical="center" wrapText="1"/>
    </xf>
    <xf numFmtId="11" fontId="8" fillId="2" borderId="14" xfId="0" applyNumberFormat="1" applyFont="1" applyFill="1" applyBorder="1" applyAlignment="1">
      <alignment horizontal="center" vertical="center"/>
    </xf>
    <xf numFmtId="49" fontId="8" fillId="2" borderId="14" xfId="0" quotePrefix="1" applyNumberFormat="1" applyFont="1" applyFill="1" applyBorder="1" applyAlignment="1">
      <alignment horizontal="center" vertical="center" wrapText="1"/>
    </xf>
    <xf numFmtId="166" fontId="8" fillId="2" borderId="14" xfId="0" applyNumberFormat="1" applyFont="1" applyFill="1" applyBorder="1" applyAlignment="1">
      <alignment horizontal="center" vertical="center" wrapText="1"/>
    </xf>
    <xf numFmtId="43" fontId="8" fillId="0" borderId="0" xfId="3" applyNumberFormat="1" applyFont="1" applyAlignment="1">
      <alignment horizontal="center" vertical="center"/>
    </xf>
    <xf numFmtId="165" fontId="17" fillId="0" borderId="14" xfId="3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165" fontId="17" fillId="0" borderId="14" xfId="3" applyNumberFormat="1" applyFont="1" applyBorder="1" applyAlignment="1">
      <alignment horizontal="center" vertical="center" wrapText="1"/>
    </xf>
    <xf numFmtId="166" fontId="17" fillId="0" borderId="14" xfId="3" applyNumberFormat="1" applyFont="1" applyBorder="1" applyAlignment="1">
      <alignment horizontal="center" vertical="center"/>
    </xf>
    <xf numFmtId="166" fontId="20" fillId="0" borderId="0" xfId="1" applyNumberFormat="1" applyFont="1" applyFill="1" applyBorder="1" applyAlignment="1">
      <alignment horizontal="center" vertical="center"/>
    </xf>
    <xf numFmtId="166" fontId="17" fillId="0" borderId="15" xfId="3" applyNumberFormat="1" applyFont="1" applyBorder="1" applyAlignment="1">
      <alignment horizontal="center" vertical="center"/>
    </xf>
    <xf numFmtId="166" fontId="15" fillId="0" borderId="0" xfId="1" applyNumberFormat="1" applyFont="1" applyFill="1" applyAlignment="1">
      <alignment horizontal="left" vertical="top" wrapText="1"/>
    </xf>
    <xf numFmtId="166" fontId="19" fillId="0" borderId="0" xfId="1" applyNumberFormat="1" applyFont="1" applyFill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49" fontId="8" fillId="2" borderId="14" xfId="0" applyNumberFormat="1" applyFont="1" applyFill="1" applyBorder="1" applyAlignment="1">
      <alignment wrapText="1"/>
    </xf>
    <xf numFmtId="0" fontId="1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166" fontId="16" fillId="0" borderId="0" xfId="1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6" fontId="38" fillId="0" borderId="0" xfId="0" applyNumberFormat="1" applyFont="1"/>
    <xf numFmtId="167" fontId="8" fillId="12" borderId="14" xfId="0" applyNumberFormat="1" applyFont="1" applyFill="1" applyBorder="1" applyAlignment="1">
      <alignment horizontal="center" vertic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vertical="center"/>
    </xf>
    <xf numFmtId="0" fontId="4" fillId="2" borderId="1" xfId="3" applyFont="1" applyFill="1" applyBorder="1" applyAlignment="1">
      <alignment horizontal="center" vertical="center" wrapText="1"/>
    </xf>
    <xf numFmtId="167" fontId="4" fillId="2" borderId="8" xfId="3" applyNumberFormat="1" applyFont="1" applyFill="1" applyBorder="1" applyAlignment="1">
      <alignment horizontal="center" vertical="center" wrapText="1"/>
    </xf>
    <xf numFmtId="167" fontId="4" fillId="2" borderId="12" xfId="3" applyNumberFormat="1" applyFont="1" applyFill="1" applyBorder="1" applyAlignment="1">
      <alignment horizontal="center" vertical="center" wrapText="1"/>
    </xf>
    <xf numFmtId="167" fontId="4" fillId="2" borderId="9" xfId="3" applyNumberFormat="1" applyFont="1" applyFill="1" applyBorder="1" applyAlignment="1">
      <alignment horizontal="center" vertical="center" wrapText="1"/>
    </xf>
    <xf numFmtId="165" fontId="4" fillId="2" borderId="8" xfId="3" applyNumberFormat="1" applyFont="1" applyFill="1" applyBorder="1" applyAlignment="1">
      <alignment vertical="center"/>
    </xf>
    <xf numFmtId="165" fontId="4" fillId="2" borderId="12" xfId="3" applyNumberFormat="1" applyFont="1" applyFill="1" applyBorder="1" applyAlignment="1">
      <alignment vertical="center"/>
    </xf>
    <xf numFmtId="165" fontId="4" fillId="2" borderId="9" xfId="3" applyNumberFormat="1" applyFont="1" applyFill="1" applyBorder="1" applyAlignment="1">
      <alignment vertical="center"/>
    </xf>
    <xf numFmtId="0" fontId="4" fillId="2" borderId="0" xfId="3" applyFont="1" applyFill="1" applyAlignment="1">
      <alignment horizontal="center" vertical="center"/>
    </xf>
    <xf numFmtId="14" fontId="4" fillId="2" borderId="1" xfId="3" applyNumberFormat="1" applyFont="1" applyFill="1" applyBorder="1" applyAlignment="1">
      <alignment horizontal="center" vertical="center" wrapText="1"/>
    </xf>
    <xf numFmtId="14" fontId="4" fillId="2" borderId="1" xfId="3" applyNumberFormat="1" applyFont="1" applyFill="1" applyBorder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49" fontId="4" fillId="2" borderId="4" xfId="3" applyNumberFormat="1" applyFont="1" applyFill="1" applyBorder="1" applyAlignment="1">
      <alignment horizontal="center" vertical="center"/>
    </xf>
    <xf numFmtId="49" fontId="4" fillId="2" borderId="2" xfId="3" applyNumberFormat="1" applyFont="1" applyFill="1" applyBorder="1" applyAlignment="1">
      <alignment horizontal="center" vertical="center"/>
    </xf>
    <xf numFmtId="166" fontId="4" fillId="2" borderId="4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0" fontId="5" fillId="2" borderId="0" xfId="3" applyFont="1" applyFill="1" applyAlignment="1">
      <alignment horizontal="left" vertical="top" wrapText="1" readingOrder="1"/>
    </xf>
    <xf numFmtId="0" fontId="5" fillId="2" borderId="0" xfId="3" applyFont="1" applyFill="1" applyAlignment="1">
      <alignment horizontal="left" vertical="top" readingOrder="1"/>
    </xf>
    <xf numFmtId="0" fontId="5" fillId="2" borderId="0" xfId="3" applyFont="1" applyFill="1" applyAlignment="1">
      <alignment vertical="center"/>
    </xf>
    <xf numFmtId="0" fontId="5" fillId="2" borderId="0" xfId="3" applyFont="1" applyFill="1" applyAlignment="1">
      <alignment horizontal="center" vertical="center"/>
    </xf>
    <xf numFmtId="49" fontId="17" fillId="0" borderId="1" xfId="3" applyNumberFormat="1" applyFont="1" applyBorder="1" applyAlignment="1">
      <alignment horizontal="center" vertical="center"/>
    </xf>
    <xf numFmtId="166" fontId="17" fillId="0" borderId="1" xfId="1" applyNumberFormat="1" applyFont="1" applyFill="1" applyBorder="1" applyAlignment="1">
      <alignment horizontal="center" vertical="center"/>
    </xf>
    <xf numFmtId="167" fontId="17" fillId="0" borderId="16" xfId="3" applyNumberFormat="1" applyFont="1" applyBorder="1" applyAlignment="1">
      <alignment horizontal="center" vertical="center" wrapText="1"/>
    </xf>
    <xf numFmtId="167" fontId="17" fillId="0" borderId="15" xfId="3" applyNumberFormat="1" applyFont="1" applyBorder="1" applyAlignment="1">
      <alignment horizontal="center" vertical="center" wrapText="1"/>
    </xf>
    <xf numFmtId="0" fontId="8" fillId="2" borderId="16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166" fontId="17" fillId="0" borderId="16" xfId="1" applyNumberFormat="1" applyFont="1" applyFill="1" applyBorder="1" applyAlignment="1">
      <alignment horizontal="center" vertical="center"/>
    </xf>
    <xf numFmtId="166" fontId="17" fillId="0" borderId="15" xfId="1" applyNumberFormat="1" applyFont="1" applyFill="1" applyBorder="1" applyAlignment="1">
      <alignment horizontal="center" vertical="center"/>
    </xf>
    <xf numFmtId="0" fontId="17" fillId="0" borderId="16" xfId="1" applyNumberFormat="1" applyFont="1" applyFill="1" applyBorder="1" applyAlignment="1">
      <alignment horizontal="center" vertical="center"/>
    </xf>
    <xf numFmtId="0" fontId="17" fillId="0" borderId="15" xfId="1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/>
    </xf>
    <xf numFmtId="14" fontId="17" fillId="0" borderId="1" xfId="3" applyNumberFormat="1" applyFont="1" applyBorder="1" applyAlignment="1">
      <alignment horizontal="center" vertical="center" wrapText="1"/>
    </xf>
    <xf numFmtId="14" fontId="17" fillId="0" borderId="4" xfId="3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horizontal="left" vertical="top" readingOrder="1"/>
    </xf>
    <xf numFmtId="0" fontId="15" fillId="0" borderId="0" xfId="3" applyFont="1" applyAlignment="1">
      <alignment horizontal="center" vertical="top" readingOrder="1"/>
    </xf>
    <xf numFmtId="0" fontId="15" fillId="0" borderId="0" xfId="3" applyFont="1" applyAlignment="1">
      <alignment horizontal="left" vertical="top" wrapText="1" readingOrder="1"/>
    </xf>
    <xf numFmtId="0" fontId="15" fillId="0" borderId="0" xfId="3" applyFont="1" applyAlignment="1">
      <alignment horizontal="center" vertical="top" wrapText="1" readingOrder="1"/>
    </xf>
    <xf numFmtId="0" fontId="15" fillId="0" borderId="0" xfId="3" applyFont="1" applyAlignment="1">
      <alignment horizontal="left" vertical="top"/>
    </xf>
    <xf numFmtId="0" fontId="15" fillId="0" borderId="0" xfId="3" applyFont="1" applyAlignment="1">
      <alignment horizontal="center" vertical="top"/>
    </xf>
    <xf numFmtId="167" fontId="17" fillId="0" borderId="1" xfId="3" applyNumberFormat="1" applyFont="1" applyBorder="1" applyAlignment="1">
      <alignment horizontal="center" vertical="center" wrapText="1"/>
    </xf>
    <xf numFmtId="165" fontId="17" fillId="0" borderId="1" xfId="3" applyNumberFormat="1" applyFont="1" applyBorder="1" applyAlignment="1">
      <alignment horizontal="center" vertical="center"/>
    </xf>
    <xf numFmtId="165" fontId="17" fillId="0" borderId="2" xfId="3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5" fontId="17" fillId="0" borderId="14" xfId="3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17" fillId="0" borderId="15" xfId="3" applyNumberFormat="1" applyFont="1" applyBorder="1" applyAlignment="1">
      <alignment horizontal="center" vertical="center"/>
    </xf>
    <xf numFmtId="0" fontId="8" fillId="10" borderId="16" xfId="0" quotePrefix="1" applyFont="1" applyFill="1" applyBorder="1" applyAlignment="1">
      <alignment horizontal="center" vertical="center"/>
    </xf>
    <xf numFmtId="0" fontId="8" fillId="10" borderId="15" xfId="0" quotePrefix="1" applyFont="1" applyFill="1" applyBorder="1" applyAlignment="1">
      <alignment horizontal="center" vertical="center"/>
    </xf>
    <xf numFmtId="0" fontId="1" fillId="0" borderId="0" xfId="3" applyFont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31000000}"/>
    <cellStyle name="Normal 3" xfId="3" xr:uid="{00000000-0005-0000-0000-000032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CBAD"/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27430" cy="452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27430" cy="452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27430" cy="452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27430" cy="4527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696116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27430" cy="445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696116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F2E6DFD6-1039-474E-81A6-4D2C9AAAE8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517" y="148167"/>
          <a:ext cx="1027374" cy="445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696116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CAC4A3F5-1438-475A-8941-6A67600C3F8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517" y="148167"/>
          <a:ext cx="1027374" cy="445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696116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423978E-0557-4552-8451-75EF73EAB94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517" y="148167"/>
          <a:ext cx="1027374" cy="4452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ffice.nhansu" id="{E517F6B1-F7DC-4E24-BC5F-D184609493D4}" userId="S::office.nhansu@tntgarment-washing.com::3244e678-a38f-41e5-ac79-deb103e284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9" dT="2025-12-05T07:27:40.69" personId="{E517F6B1-F7DC-4E24-BC5F-D184609493D4}" id="{590670C6-A589-45FF-AE23-DB0A1643958F}">
    <text>NPL TỰ TT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U69"/>
  <sheetViews>
    <sheetView view="pageBreakPreview" topLeftCell="A10" zoomScale="85" zoomScaleNormal="69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2" width="17.5" style="6" customWidth="1"/>
    <col min="13" max="13" width="17.5" style="6" hidden="1" customWidth="1"/>
    <col min="14" max="15" width="20.33203125" style="3" customWidth="1"/>
    <col min="16" max="16" width="15.6640625" style="3" hidden="1" customWidth="1"/>
    <col min="17" max="17" width="16.5" style="3" hidden="1" customWidth="1"/>
    <col min="18" max="18" width="17.1640625" style="6" customWidth="1"/>
    <col min="19" max="19" width="17" style="3" customWidth="1"/>
    <col min="20" max="20" width="19.6640625" style="3" customWidth="1"/>
    <col min="21" max="16384" width="9" style="3"/>
  </cols>
  <sheetData>
    <row r="1" spans="1:21" x14ac:dyDescent="0.2">
      <c r="A1" s="7"/>
      <c r="B1" s="8"/>
      <c r="C1" s="9"/>
      <c r="D1" s="7"/>
      <c r="E1" s="7"/>
      <c r="F1" s="7"/>
      <c r="G1" s="10"/>
      <c r="H1" s="11"/>
      <c r="I1" s="9"/>
      <c r="J1" s="11"/>
      <c r="K1" s="55"/>
      <c r="N1" s="11"/>
      <c r="O1" s="11"/>
      <c r="P1" s="11"/>
      <c r="Q1" s="11"/>
      <c r="S1" s="11"/>
      <c r="T1" s="11"/>
    </row>
    <row r="2" spans="1:21" ht="30.5" customHeight="1" x14ac:dyDescent="0.2">
      <c r="A2" s="741" t="s">
        <v>0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</row>
    <row r="3" spans="1:21" x14ac:dyDescent="0.2">
      <c r="A3" s="752" t="s">
        <v>1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2"/>
      <c r="T3" s="752"/>
    </row>
    <row r="4" spans="1:21" ht="4.5" customHeight="1" x14ac:dyDescent="0.2">
      <c r="A4" s="752" t="s">
        <v>2</v>
      </c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  <c r="N4" s="752"/>
      <c r="O4" s="752"/>
      <c r="P4" s="752"/>
      <c r="Q4" s="752"/>
      <c r="R4" s="752"/>
      <c r="S4" s="752"/>
      <c r="T4" s="752"/>
    </row>
    <row r="5" spans="1:21" ht="4.5" customHeight="1" x14ac:dyDescent="0.2">
      <c r="A5" s="7"/>
      <c r="B5" s="13"/>
      <c r="C5" s="7"/>
      <c r="D5" s="7"/>
      <c r="E5" s="7"/>
      <c r="F5" s="7"/>
      <c r="G5" s="10"/>
      <c r="H5" s="7"/>
      <c r="I5" s="7"/>
      <c r="J5" s="7"/>
      <c r="K5" s="56"/>
      <c r="L5" s="57"/>
      <c r="M5" s="57"/>
      <c r="N5" s="7"/>
      <c r="O5" s="7"/>
      <c r="P5" s="7"/>
      <c r="Q5" s="7"/>
      <c r="R5" s="57"/>
      <c r="S5" s="7"/>
      <c r="T5" s="7"/>
    </row>
    <row r="6" spans="1:21" x14ac:dyDescent="0.2">
      <c r="A6" s="749" t="s">
        <v>3</v>
      </c>
      <c r="B6" s="749"/>
      <c r="C6" s="749"/>
      <c r="E6" s="14" t="s">
        <v>4</v>
      </c>
      <c r="F6" s="15"/>
      <c r="G6" s="16"/>
      <c r="H6" s="14"/>
      <c r="I6" s="58"/>
      <c r="J6" s="14"/>
      <c r="K6" s="59"/>
      <c r="L6" s="60"/>
      <c r="M6" s="60"/>
      <c r="N6" s="14"/>
      <c r="O6" s="14"/>
      <c r="P6" s="61"/>
      <c r="Q6" s="14"/>
      <c r="R6" s="60"/>
      <c r="S6" s="14"/>
      <c r="T6" s="14"/>
    </row>
    <row r="7" spans="1:21" x14ac:dyDescent="0.2">
      <c r="A7" s="749" t="s">
        <v>5</v>
      </c>
      <c r="B7" s="749"/>
      <c r="C7" s="749"/>
      <c r="E7" s="14" t="s">
        <v>6</v>
      </c>
      <c r="F7" s="15"/>
      <c r="G7" s="16"/>
      <c r="H7" s="17"/>
      <c r="I7" s="62"/>
      <c r="J7" s="17"/>
      <c r="K7" s="63"/>
      <c r="L7" s="64"/>
      <c r="M7" s="64"/>
      <c r="N7" s="14"/>
      <c r="O7" s="14"/>
      <c r="P7" s="14"/>
      <c r="Q7" s="14"/>
      <c r="R7" s="60"/>
      <c r="S7" s="14"/>
      <c r="T7" s="14"/>
    </row>
    <row r="8" spans="1:21" x14ac:dyDescent="0.2">
      <c r="A8" s="749" t="s">
        <v>7</v>
      </c>
      <c r="B8" s="749"/>
      <c r="C8" s="749"/>
      <c r="E8" s="113" t="s">
        <v>8</v>
      </c>
      <c r="F8" s="15"/>
      <c r="G8" s="16"/>
      <c r="H8" s="17"/>
      <c r="I8" s="62"/>
      <c r="J8" s="17"/>
      <c r="K8" s="63"/>
      <c r="L8" s="64"/>
      <c r="M8" s="64"/>
      <c r="N8" s="14"/>
      <c r="O8" s="14"/>
      <c r="P8" s="14"/>
      <c r="Q8" s="14"/>
      <c r="R8" s="60"/>
      <c r="S8" s="14"/>
      <c r="T8" s="14"/>
    </row>
    <row r="9" spans="1:21" x14ac:dyDescent="0.2">
      <c r="A9" s="749" t="s">
        <v>9</v>
      </c>
      <c r="B9" s="749"/>
      <c r="C9" s="749"/>
      <c r="E9" s="14"/>
      <c r="F9" s="15"/>
      <c r="G9" s="16"/>
      <c r="H9" s="17"/>
      <c r="I9" s="62"/>
      <c r="J9" s="17"/>
      <c r="K9" s="63"/>
      <c r="L9" s="64"/>
      <c r="M9" s="64"/>
      <c r="N9" s="14"/>
      <c r="O9" s="14"/>
      <c r="P9" s="14"/>
      <c r="Q9" s="14"/>
      <c r="R9" s="60"/>
      <c r="S9" s="14"/>
      <c r="T9" s="14"/>
    </row>
    <row r="10" spans="1:21" x14ac:dyDescent="0.2">
      <c r="A10" s="18"/>
      <c r="B10" s="19"/>
      <c r="C10" s="18"/>
      <c r="E10" s="14"/>
      <c r="F10" s="15"/>
      <c r="G10" s="16"/>
      <c r="H10" s="17"/>
      <c r="I10" s="62"/>
      <c r="J10" s="17"/>
      <c r="K10" s="63"/>
      <c r="L10" s="64"/>
      <c r="M10" s="64"/>
      <c r="N10" s="14"/>
      <c r="O10" s="14"/>
      <c r="P10" s="14"/>
      <c r="Q10" s="14"/>
      <c r="R10" s="60"/>
      <c r="S10" s="14"/>
      <c r="T10" s="14"/>
    </row>
    <row r="11" spans="1:21" x14ac:dyDescent="0.2">
      <c r="A11" s="750" t="s">
        <v>10</v>
      </c>
      <c r="B11" s="750"/>
      <c r="C11" s="750"/>
      <c r="E11" s="14" t="s">
        <v>11</v>
      </c>
      <c r="F11" s="15"/>
      <c r="G11" s="16"/>
      <c r="H11" s="14"/>
      <c r="I11" s="58"/>
      <c r="J11" s="14"/>
      <c r="K11" s="59"/>
      <c r="L11" s="60"/>
      <c r="M11" s="60"/>
      <c r="N11" s="14"/>
      <c r="O11" s="14"/>
      <c r="P11" s="61"/>
      <c r="Q11" s="14"/>
      <c r="R11" s="60"/>
      <c r="S11" s="14"/>
      <c r="T11" s="14"/>
    </row>
    <row r="12" spans="1:21" x14ac:dyDescent="0.2">
      <c r="A12" s="749" t="s">
        <v>5</v>
      </c>
      <c r="B12" s="749"/>
      <c r="C12" s="749"/>
      <c r="E12" s="14" t="s">
        <v>12</v>
      </c>
      <c r="F12" s="15"/>
      <c r="G12" s="20"/>
      <c r="H12" s="17"/>
      <c r="I12" s="62"/>
      <c r="J12" s="17"/>
      <c r="K12" s="63"/>
      <c r="L12" s="64"/>
      <c r="M12" s="64"/>
      <c r="N12" s="14"/>
      <c r="O12" s="14"/>
      <c r="P12" s="14"/>
      <c r="Q12" s="14"/>
      <c r="R12" s="60"/>
      <c r="S12" s="14"/>
      <c r="T12" s="14"/>
    </row>
    <row r="13" spans="1:21" ht="20.25" customHeight="1" x14ac:dyDescent="0.2">
      <c r="A13" s="14" t="s">
        <v>13</v>
      </c>
      <c r="B13" s="21"/>
      <c r="C13" s="15"/>
      <c r="E13" s="114" t="s">
        <v>14</v>
      </c>
      <c r="F13" s="15"/>
      <c r="G13" s="751"/>
      <c r="H13" s="751"/>
      <c r="I13" s="7"/>
      <c r="J13" s="15"/>
      <c r="K13" s="63"/>
      <c r="L13" s="64"/>
      <c r="M13" s="64"/>
      <c r="N13" s="15"/>
      <c r="O13" s="15"/>
      <c r="P13" s="15"/>
      <c r="Q13" s="15"/>
      <c r="R13" s="64"/>
      <c r="S13" s="15"/>
      <c r="T13" s="15"/>
    </row>
    <row r="14" spans="1:21" x14ac:dyDescent="0.2">
      <c r="A14" s="22"/>
      <c r="B14" s="23"/>
      <c r="C14" s="22"/>
      <c r="D14" s="22"/>
      <c r="E14" s="22"/>
      <c r="F14" s="22"/>
      <c r="G14" s="10"/>
      <c r="H14" s="22"/>
      <c r="I14" s="7"/>
      <c r="J14" s="22"/>
      <c r="K14" s="65"/>
      <c r="L14" s="66"/>
      <c r="M14" s="66"/>
      <c r="N14" s="22"/>
      <c r="O14" s="22"/>
      <c r="P14" s="67"/>
      <c r="Q14" s="22"/>
      <c r="R14" s="66"/>
      <c r="S14" s="22"/>
      <c r="T14" s="22"/>
    </row>
    <row r="15" spans="1:21" s="1" customFormat="1" ht="30" customHeight="1" x14ac:dyDescent="0.2">
      <c r="A15" s="734" t="s">
        <v>15</v>
      </c>
      <c r="B15" s="742" t="s">
        <v>16</v>
      </c>
      <c r="C15" s="734" t="s">
        <v>17</v>
      </c>
      <c r="D15" s="734" t="s">
        <v>18</v>
      </c>
      <c r="E15" s="734"/>
      <c r="F15" s="734" t="s">
        <v>19</v>
      </c>
      <c r="G15" s="734" t="s">
        <v>20</v>
      </c>
      <c r="H15" s="734" t="s">
        <v>21</v>
      </c>
      <c r="I15" s="732" t="s">
        <v>22</v>
      </c>
      <c r="J15" s="732" t="s">
        <v>23</v>
      </c>
      <c r="K15" s="745" t="s">
        <v>24</v>
      </c>
      <c r="L15" s="747" t="s">
        <v>25</v>
      </c>
      <c r="M15" s="747" t="s">
        <v>26</v>
      </c>
      <c r="N15" s="735" t="s">
        <v>27</v>
      </c>
      <c r="O15" s="736"/>
      <c r="P15" s="736"/>
      <c r="Q15" s="736"/>
      <c r="R15" s="736"/>
      <c r="S15" s="737"/>
      <c r="T15" s="732" t="s">
        <v>28</v>
      </c>
      <c r="U15" s="3"/>
    </row>
    <row r="16" spans="1:21" s="1" customFormat="1" ht="68.25" customHeight="1" x14ac:dyDescent="0.2">
      <c r="A16" s="733"/>
      <c r="B16" s="743"/>
      <c r="C16" s="734"/>
      <c r="D16" s="24">
        <v>20</v>
      </c>
      <c r="E16" s="24">
        <v>40</v>
      </c>
      <c r="F16" s="733"/>
      <c r="G16" s="734"/>
      <c r="H16" s="733"/>
      <c r="I16" s="744"/>
      <c r="J16" s="733"/>
      <c r="K16" s="746"/>
      <c r="L16" s="748"/>
      <c r="M16" s="748"/>
      <c r="N16" s="69" t="s">
        <v>29</v>
      </c>
      <c r="O16" s="68" t="s">
        <v>30</v>
      </c>
      <c r="P16" s="68" t="s">
        <v>31</v>
      </c>
      <c r="Q16" s="68" t="s">
        <v>32</v>
      </c>
      <c r="R16" s="90" t="s">
        <v>33</v>
      </c>
      <c r="S16" s="68" t="s">
        <v>30</v>
      </c>
      <c r="T16" s="733"/>
      <c r="U16" s="3"/>
    </row>
    <row r="17" spans="1:21" s="1" customFormat="1" ht="39.75" customHeight="1" x14ac:dyDescent="0.2">
      <c r="A17" s="30">
        <v>1</v>
      </c>
      <c r="B17" s="106" t="s">
        <v>34</v>
      </c>
      <c r="C17" s="107" t="s">
        <v>35</v>
      </c>
      <c r="D17" s="107"/>
      <c r="E17" s="33">
        <v>1</v>
      </c>
      <c r="F17" s="107" t="s">
        <v>36</v>
      </c>
      <c r="G17" s="108" t="s">
        <v>37</v>
      </c>
      <c r="H17" s="33" t="s">
        <v>38</v>
      </c>
      <c r="I17" s="74" t="s">
        <v>39</v>
      </c>
      <c r="J17" s="74" t="s">
        <v>40</v>
      </c>
      <c r="K17" s="75" t="s">
        <v>41</v>
      </c>
      <c r="L17" s="76">
        <v>1500000</v>
      </c>
      <c r="M17" s="76"/>
      <c r="N17" s="77">
        <v>4100000</v>
      </c>
      <c r="O17" s="77">
        <f>N17*0.08</f>
        <v>328000</v>
      </c>
      <c r="P17" s="77"/>
      <c r="Q17" s="77"/>
      <c r="R17" s="111">
        <v>203704</v>
      </c>
      <c r="S17" s="112">
        <f>R17*0.08</f>
        <v>16296.32</v>
      </c>
      <c r="T17" s="94">
        <f>N17+O17+R17+S17</f>
        <v>4648000.32</v>
      </c>
      <c r="U17" s="2"/>
    </row>
    <row r="18" spans="1:21" s="1" customFormat="1" ht="39.75" customHeight="1" x14ac:dyDescent="0.2">
      <c r="A18" s="30">
        <v>2</v>
      </c>
      <c r="B18" s="106" t="s">
        <v>34</v>
      </c>
      <c r="C18" s="107" t="s">
        <v>35</v>
      </c>
      <c r="D18" s="107"/>
      <c r="E18" s="33">
        <v>1</v>
      </c>
      <c r="F18" s="107" t="s">
        <v>42</v>
      </c>
      <c r="G18" s="108" t="s">
        <v>37</v>
      </c>
      <c r="H18" s="33" t="s">
        <v>38</v>
      </c>
      <c r="I18" s="74" t="s">
        <v>39</v>
      </c>
      <c r="J18" s="74" t="s">
        <v>40</v>
      </c>
      <c r="K18" s="75" t="s">
        <v>43</v>
      </c>
      <c r="L18" s="76">
        <v>1500000</v>
      </c>
      <c r="M18" s="76"/>
      <c r="N18" s="77">
        <v>4100000</v>
      </c>
      <c r="O18" s="77">
        <f t="shared" ref="O18:O22" si="0">N18*0.08</f>
        <v>328000</v>
      </c>
      <c r="P18" s="77"/>
      <c r="Q18" s="77"/>
      <c r="R18" s="111">
        <v>203704</v>
      </c>
      <c r="S18" s="112">
        <f t="shared" ref="S18:S22" si="1">R18*0.08</f>
        <v>16296.32</v>
      </c>
      <c r="T18" s="94">
        <f t="shared" ref="T18:T22" si="2">N18+O18+R18+S18</f>
        <v>4648000.32</v>
      </c>
      <c r="U18" s="2"/>
    </row>
    <row r="19" spans="1:21" s="1" customFormat="1" ht="39.75" customHeight="1" x14ac:dyDescent="0.2">
      <c r="A19" s="30">
        <v>3</v>
      </c>
      <c r="B19" s="106" t="s">
        <v>34</v>
      </c>
      <c r="C19" s="107" t="s">
        <v>35</v>
      </c>
      <c r="D19" s="107"/>
      <c r="E19" s="33">
        <v>1</v>
      </c>
      <c r="F19" s="107" t="s">
        <v>44</v>
      </c>
      <c r="G19" s="108" t="s">
        <v>37</v>
      </c>
      <c r="H19" s="33" t="s">
        <v>38</v>
      </c>
      <c r="I19" s="74" t="s">
        <v>39</v>
      </c>
      <c r="J19" s="74" t="s">
        <v>40</v>
      </c>
      <c r="K19" s="75" t="s">
        <v>45</v>
      </c>
      <c r="L19" s="76">
        <v>1500000</v>
      </c>
      <c r="M19" s="76"/>
      <c r="N19" s="77">
        <v>4100000</v>
      </c>
      <c r="O19" s="77">
        <f t="shared" si="0"/>
        <v>328000</v>
      </c>
      <c r="P19" s="77"/>
      <c r="Q19" s="77"/>
      <c r="R19" s="111">
        <v>203704</v>
      </c>
      <c r="S19" s="112">
        <f t="shared" si="1"/>
        <v>16296.32</v>
      </c>
      <c r="T19" s="94">
        <f t="shared" si="2"/>
        <v>4648000.32</v>
      </c>
      <c r="U19" s="2"/>
    </row>
    <row r="20" spans="1:21" s="1" customFormat="1" ht="39.75" customHeight="1" x14ac:dyDescent="0.2">
      <c r="A20" s="30">
        <v>4</v>
      </c>
      <c r="B20" s="106" t="s">
        <v>34</v>
      </c>
      <c r="C20" s="107" t="s">
        <v>35</v>
      </c>
      <c r="D20" s="107"/>
      <c r="E20" s="33">
        <v>1</v>
      </c>
      <c r="F20" s="107" t="s">
        <v>46</v>
      </c>
      <c r="G20" s="108" t="s">
        <v>37</v>
      </c>
      <c r="H20" s="33" t="s">
        <v>38</v>
      </c>
      <c r="I20" s="74" t="s">
        <v>39</v>
      </c>
      <c r="J20" s="74" t="s">
        <v>40</v>
      </c>
      <c r="K20" s="75" t="s">
        <v>47</v>
      </c>
      <c r="L20" s="76">
        <v>1500000</v>
      </c>
      <c r="M20" s="76"/>
      <c r="N20" s="77">
        <v>4100000</v>
      </c>
      <c r="O20" s="77">
        <f t="shared" si="0"/>
        <v>328000</v>
      </c>
      <c r="P20" s="77"/>
      <c r="Q20" s="77"/>
      <c r="R20" s="111">
        <v>203704</v>
      </c>
      <c r="S20" s="112">
        <f t="shared" si="1"/>
        <v>16296.32</v>
      </c>
      <c r="T20" s="94">
        <f t="shared" si="2"/>
        <v>4648000.32</v>
      </c>
      <c r="U20" s="2"/>
    </row>
    <row r="21" spans="1:21" s="1" customFormat="1" ht="39.75" customHeight="1" x14ac:dyDescent="0.2">
      <c r="A21" s="30">
        <v>5</v>
      </c>
      <c r="B21" s="106" t="s">
        <v>34</v>
      </c>
      <c r="C21" s="107" t="s">
        <v>35</v>
      </c>
      <c r="D21" s="107"/>
      <c r="E21" s="33">
        <v>1</v>
      </c>
      <c r="F21" s="107" t="s">
        <v>48</v>
      </c>
      <c r="G21" s="108" t="s">
        <v>37</v>
      </c>
      <c r="H21" s="33" t="s">
        <v>38</v>
      </c>
      <c r="I21" s="74" t="s">
        <v>39</v>
      </c>
      <c r="J21" s="74" t="s">
        <v>40</v>
      </c>
      <c r="K21" s="75" t="s">
        <v>49</v>
      </c>
      <c r="L21" s="76">
        <v>1500000</v>
      </c>
      <c r="M21" s="76"/>
      <c r="N21" s="77">
        <v>4100000</v>
      </c>
      <c r="O21" s="77">
        <f t="shared" si="0"/>
        <v>328000</v>
      </c>
      <c r="P21" s="77"/>
      <c r="Q21" s="77"/>
      <c r="R21" s="111">
        <v>203704</v>
      </c>
      <c r="S21" s="112">
        <f t="shared" si="1"/>
        <v>16296.32</v>
      </c>
      <c r="T21" s="94">
        <f t="shared" si="2"/>
        <v>4648000.32</v>
      </c>
      <c r="U21" s="2"/>
    </row>
    <row r="22" spans="1:21" s="1" customFormat="1" ht="39.75" customHeight="1" x14ac:dyDescent="0.2">
      <c r="A22" s="30">
        <v>6</v>
      </c>
      <c r="B22" s="106" t="s">
        <v>34</v>
      </c>
      <c r="C22" s="107" t="s">
        <v>35</v>
      </c>
      <c r="D22" s="107"/>
      <c r="E22" s="33">
        <v>1</v>
      </c>
      <c r="F22" s="107" t="s">
        <v>50</v>
      </c>
      <c r="G22" s="108" t="s">
        <v>37</v>
      </c>
      <c r="H22" s="33" t="s">
        <v>38</v>
      </c>
      <c r="I22" s="74" t="s">
        <v>39</v>
      </c>
      <c r="J22" s="74" t="s">
        <v>40</v>
      </c>
      <c r="K22" s="75" t="s">
        <v>51</v>
      </c>
      <c r="L22" s="76">
        <v>1500000</v>
      </c>
      <c r="M22" s="76"/>
      <c r="N22" s="77">
        <v>4100000</v>
      </c>
      <c r="O22" s="77">
        <f t="shared" si="0"/>
        <v>328000</v>
      </c>
      <c r="P22" s="77"/>
      <c r="Q22" s="77"/>
      <c r="R22" s="111">
        <v>203704</v>
      </c>
      <c r="S22" s="112">
        <f t="shared" si="1"/>
        <v>16296.32</v>
      </c>
      <c r="T22" s="94">
        <f t="shared" si="2"/>
        <v>4648000.32</v>
      </c>
      <c r="U22" s="2"/>
    </row>
    <row r="23" spans="1:21" ht="33" customHeight="1" x14ac:dyDescent="0.2">
      <c r="A23" s="738" t="s">
        <v>52</v>
      </c>
      <c r="B23" s="739"/>
      <c r="C23" s="740"/>
      <c r="D23" s="45">
        <f>SUM(D17:D22)</f>
        <v>0</v>
      </c>
      <c r="E23" s="45">
        <f>SUM(E17:E22)</f>
        <v>6</v>
      </c>
      <c r="F23" s="46"/>
      <c r="G23" s="47"/>
      <c r="H23" s="46"/>
      <c r="I23" s="74"/>
      <c r="J23" s="46"/>
      <c r="K23" s="86"/>
      <c r="L23" s="87">
        <f>SUM(L17:L22)</f>
        <v>9000000</v>
      </c>
      <c r="M23" s="87">
        <f t="shared" ref="M23:T23" si="3">SUM(M17:M22)</f>
        <v>0</v>
      </c>
      <c r="N23" s="87">
        <f t="shared" si="3"/>
        <v>24600000</v>
      </c>
      <c r="O23" s="87">
        <f t="shared" si="3"/>
        <v>1968000</v>
      </c>
      <c r="P23" s="87">
        <f t="shared" si="3"/>
        <v>0</v>
      </c>
      <c r="Q23" s="87">
        <f t="shared" si="3"/>
        <v>0</v>
      </c>
      <c r="R23" s="87">
        <f t="shared" si="3"/>
        <v>1222224</v>
      </c>
      <c r="S23" s="87">
        <f t="shared" si="3"/>
        <v>97777.920000000013</v>
      </c>
      <c r="T23" s="87">
        <f t="shared" si="3"/>
        <v>27888001.920000002</v>
      </c>
      <c r="U23" s="2"/>
    </row>
    <row r="24" spans="1:21" ht="18" customHeight="1" x14ac:dyDescent="0.2">
      <c r="A24" s="48" t="s">
        <v>53</v>
      </c>
      <c r="B24" s="48"/>
      <c r="H24" s="15"/>
      <c r="I24" s="10"/>
      <c r="J24" s="15"/>
      <c r="K24" s="63"/>
      <c r="L24" s="64"/>
      <c r="M24" s="64"/>
      <c r="N24" s="15"/>
      <c r="O24" s="15"/>
      <c r="P24" s="15"/>
      <c r="Q24" s="15"/>
      <c r="R24" s="64"/>
      <c r="S24" s="15"/>
      <c r="T24" s="15"/>
    </row>
    <row r="25" spans="1:21" s="2" customFormat="1" ht="23.25" customHeight="1" x14ac:dyDescent="0.2">
      <c r="A25" s="49"/>
      <c r="B25" s="50"/>
      <c r="C25" s="51" t="s">
        <v>29</v>
      </c>
      <c r="D25" s="52"/>
      <c r="E25" s="52"/>
      <c r="F25" s="52">
        <f>T23</f>
        <v>27888001.920000002</v>
      </c>
      <c r="G25" s="53"/>
      <c r="H25" s="54"/>
      <c r="I25" s="12"/>
      <c r="J25" s="54"/>
      <c r="K25" s="88"/>
      <c r="L25" s="89"/>
      <c r="M25" s="89"/>
      <c r="N25" s="54"/>
      <c r="O25" s="54"/>
      <c r="P25" s="54"/>
      <c r="Q25" s="54"/>
      <c r="R25" s="89"/>
      <c r="S25" s="54"/>
      <c r="T25" s="54"/>
    </row>
    <row r="26" spans="1:21" x14ac:dyDescent="0.2">
      <c r="A26" s="15"/>
      <c r="B26" s="99"/>
      <c r="C26" s="54" t="s">
        <v>54</v>
      </c>
      <c r="D26" s="15"/>
      <c r="E26" s="15"/>
      <c r="F26" s="100">
        <f>L23</f>
        <v>9000000</v>
      </c>
      <c r="G26" s="10"/>
      <c r="H26" s="15"/>
      <c r="I26" s="7"/>
      <c r="J26" s="15"/>
      <c r="K26" s="63"/>
      <c r="L26" s="64"/>
      <c r="M26" s="64"/>
      <c r="N26" s="15"/>
      <c r="O26" s="15"/>
      <c r="P26" s="15"/>
      <c r="Q26" s="15"/>
      <c r="R26" s="64"/>
      <c r="S26" s="15"/>
      <c r="T26" s="15"/>
    </row>
    <row r="27" spans="1:21" x14ac:dyDescent="0.2">
      <c r="A27" s="15"/>
      <c r="B27" s="99"/>
      <c r="C27" s="54" t="s">
        <v>55</v>
      </c>
      <c r="D27" s="15"/>
      <c r="E27" s="15"/>
      <c r="F27" s="100">
        <f>M23</f>
        <v>0</v>
      </c>
      <c r="G27" s="10"/>
      <c r="H27" s="15"/>
      <c r="I27" s="7"/>
      <c r="J27" s="15"/>
      <c r="K27" s="63"/>
      <c r="L27" s="64"/>
      <c r="M27" s="64"/>
      <c r="N27" s="15"/>
      <c r="O27" s="15"/>
      <c r="P27" s="15"/>
      <c r="Q27" s="15"/>
      <c r="R27" s="64"/>
      <c r="S27" s="15"/>
      <c r="T27" s="15"/>
    </row>
    <row r="28" spans="1:21" ht="23.25" customHeight="1" x14ac:dyDescent="0.2">
      <c r="A28" s="741" t="s">
        <v>56</v>
      </c>
      <c r="B28" s="741"/>
      <c r="C28" s="741"/>
      <c r="D28" s="741"/>
      <c r="E28" s="741"/>
      <c r="F28" s="741"/>
      <c r="G28" s="101"/>
      <c r="H28" s="102"/>
      <c r="I28" s="104"/>
      <c r="J28" s="741" t="s">
        <v>57</v>
      </c>
      <c r="K28" s="741"/>
      <c r="L28" s="741"/>
      <c r="M28" s="741"/>
      <c r="N28" s="741"/>
      <c r="O28" s="741"/>
      <c r="P28" s="741"/>
      <c r="Q28" s="741"/>
      <c r="R28" s="741"/>
      <c r="S28" s="741"/>
      <c r="T28" s="12"/>
    </row>
    <row r="29" spans="1:21" x14ac:dyDescent="0.2">
      <c r="G29" s="103"/>
      <c r="I29" s="105"/>
    </row>
    <row r="30" spans="1:21" x14ac:dyDescent="0.2">
      <c r="G30" s="103"/>
      <c r="I30" s="105"/>
    </row>
    <row r="31" spans="1:21" x14ac:dyDescent="0.2">
      <c r="G31" s="103"/>
      <c r="I31" s="105"/>
    </row>
    <row r="32" spans="1:21" x14ac:dyDescent="0.2">
      <c r="G32" s="103"/>
      <c r="I32" s="105"/>
    </row>
    <row r="33" spans="7:9" x14ac:dyDescent="0.2">
      <c r="G33" s="103"/>
      <c r="I33" s="105"/>
    </row>
    <row r="34" spans="7:9" x14ac:dyDescent="0.2">
      <c r="G34" s="103"/>
      <c r="I34" s="105"/>
    </row>
    <row r="35" spans="7:9" x14ac:dyDescent="0.2">
      <c r="G35" s="103"/>
      <c r="I35" s="105"/>
    </row>
    <row r="36" spans="7:9" x14ac:dyDescent="0.2">
      <c r="G36" s="103"/>
      <c r="I36" s="105"/>
    </row>
    <row r="37" spans="7:9" x14ac:dyDescent="0.2">
      <c r="G37" s="103"/>
      <c r="I37" s="105"/>
    </row>
    <row r="38" spans="7:9" x14ac:dyDescent="0.2">
      <c r="G38" s="103"/>
      <c r="I38" s="105"/>
    </row>
    <row r="39" spans="7:9" x14ac:dyDescent="0.2">
      <c r="G39" s="103"/>
      <c r="I39" s="105"/>
    </row>
    <row r="40" spans="7:9" x14ac:dyDescent="0.2">
      <c r="G40" s="103"/>
      <c r="I40" s="105"/>
    </row>
    <row r="41" spans="7:9" x14ac:dyDescent="0.2">
      <c r="G41" s="103"/>
      <c r="I41" s="105"/>
    </row>
    <row r="42" spans="7:9" x14ac:dyDescent="0.2">
      <c r="G42" s="103"/>
      <c r="I42" s="105"/>
    </row>
    <row r="43" spans="7:9" x14ac:dyDescent="0.2">
      <c r="G43" s="103"/>
      <c r="I43" s="105"/>
    </row>
    <row r="44" spans="7:9" x14ac:dyDescent="0.2">
      <c r="G44" s="103"/>
      <c r="I44" s="105"/>
    </row>
    <row r="45" spans="7:9" x14ac:dyDescent="0.2">
      <c r="G45" s="103"/>
      <c r="I45" s="105"/>
    </row>
    <row r="46" spans="7:9" x14ac:dyDescent="0.2">
      <c r="G46" s="103"/>
      <c r="I46" s="105"/>
    </row>
    <row r="47" spans="7:9" x14ac:dyDescent="0.2">
      <c r="G47" s="103"/>
      <c r="I47" s="105"/>
    </row>
    <row r="48" spans="7:9" x14ac:dyDescent="0.2">
      <c r="G48" s="103"/>
      <c r="I48" s="105"/>
    </row>
    <row r="49" spans="7:9" x14ac:dyDescent="0.2">
      <c r="G49" s="103"/>
      <c r="I49" s="105"/>
    </row>
    <row r="50" spans="7:9" x14ac:dyDescent="0.2">
      <c r="G50" s="103"/>
      <c r="I50" s="105"/>
    </row>
    <row r="51" spans="7:9" x14ac:dyDescent="0.2">
      <c r="G51" s="103"/>
      <c r="I51" s="105"/>
    </row>
    <row r="52" spans="7:9" x14ac:dyDescent="0.2">
      <c r="G52" s="103"/>
      <c r="I52" s="105"/>
    </row>
    <row r="53" spans="7:9" x14ac:dyDescent="0.2">
      <c r="G53" s="103"/>
      <c r="I53" s="105"/>
    </row>
    <row r="54" spans="7:9" x14ac:dyDescent="0.2">
      <c r="G54" s="103"/>
      <c r="I54" s="105"/>
    </row>
    <row r="55" spans="7:9" x14ac:dyDescent="0.2">
      <c r="G55" s="103"/>
      <c r="I55" s="105"/>
    </row>
    <row r="56" spans="7:9" x14ac:dyDescent="0.2">
      <c r="G56" s="103"/>
      <c r="I56" s="105"/>
    </row>
    <row r="57" spans="7:9" x14ac:dyDescent="0.2">
      <c r="G57" s="103"/>
      <c r="I57" s="105"/>
    </row>
    <row r="58" spans="7:9" x14ac:dyDescent="0.2">
      <c r="G58" s="103"/>
      <c r="I58" s="105"/>
    </row>
    <row r="59" spans="7:9" x14ac:dyDescent="0.2">
      <c r="G59" s="103"/>
      <c r="I59" s="105"/>
    </row>
    <row r="60" spans="7:9" x14ac:dyDescent="0.2">
      <c r="G60" s="103"/>
      <c r="I60" s="105"/>
    </row>
    <row r="61" spans="7:9" x14ac:dyDescent="0.2">
      <c r="G61" s="103"/>
      <c r="I61" s="105"/>
    </row>
    <row r="62" spans="7:9" x14ac:dyDescent="0.2">
      <c r="G62" s="103"/>
      <c r="I62" s="105"/>
    </row>
    <row r="63" spans="7:9" x14ac:dyDescent="0.2">
      <c r="G63" s="103"/>
      <c r="I63" s="105"/>
    </row>
    <row r="64" spans="7:9" x14ac:dyDescent="0.2">
      <c r="G64" s="103"/>
      <c r="I64" s="105"/>
    </row>
    <row r="65" spans="7:9" x14ac:dyDescent="0.2">
      <c r="G65" s="103"/>
      <c r="I65" s="105"/>
    </row>
    <row r="66" spans="7:9" x14ac:dyDescent="0.2">
      <c r="G66" s="103"/>
      <c r="I66" s="105"/>
    </row>
    <row r="67" spans="7:9" x14ac:dyDescent="0.2">
      <c r="G67" s="103"/>
      <c r="I67" s="105"/>
    </row>
    <row r="68" spans="7:9" x14ac:dyDescent="0.2">
      <c r="G68" s="103"/>
      <c r="I68" s="105"/>
    </row>
    <row r="69" spans="7:9" x14ac:dyDescent="0.2">
      <c r="G69" s="103"/>
      <c r="I69" s="105"/>
    </row>
  </sheetData>
  <autoFilter ref="A16:T28" xr:uid="{00000000-0009-0000-0000-000000000000}"/>
  <mergeCells count="27">
    <mergeCell ref="A2:T2"/>
    <mergeCell ref="A3:T3"/>
    <mergeCell ref="A4:T4"/>
    <mergeCell ref="A6:C6"/>
    <mergeCell ref="A7:C7"/>
    <mergeCell ref="M15:M16"/>
    <mergeCell ref="A8:C8"/>
    <mergeCell ref="A9:C9"/>
    <mergeCell ref="A11:C11"/>
    <mergeCell ref="A12:C12"/>
    <mergeCell ref="G13:H13"/>
    <mergeCell ref="T15:T16"/>
    <mergeCell ref="D15:E15"/>
    <mergeCell ref="N15:S15"/>
    <mergeCell ref="A23:C23"/>
    <mergeCell ref="A28:F28"/>
    <mergeCell ref="J28:S28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80"/>
  <sheetViews>
    <sheetView topLeftCell="A16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hidden="1" customWidth="1"/>
    <col min="16" max="16" width="16.5" style="3" hidden="1" customWidth="1"/>
    <col min="17" max="17" width="17.1640625" style="6" hidden="1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11"/>
      <c r="I1" s="9"/>
      <c r="J1" s="11"/>
      <c r="K1" s="55"/>
      <c r="N1" s="11"/>
      <c r="O1" s="11"/>
      <c r="P1" s="11"/>
      <c r="R1" s="11"/>
      <c r="S1" s="11"/>
    </row>
    <row r="2" spans="1:20" ht="30.5" customHeight="1" x14ac:dyDescent="0.2">
      <c r="A2" s="741" t="s">
        <v>0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</row>
    <row r="3" spans="1:20" x14ac:dyDescent="0.2">
      <c r="A3" s="752" t="s">
        <v>58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2"/>
    </row>
    <row r="4" spans="1:20" ht="4.5" customHeight="1" x14ac:dyDescent="0.2">
      <c r="A4" s="752" t="s">
        <v>2</v>
      </c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  <c r="N4" s="752"/>
      <c r="O4" s="752"/>
      <c r="P4" s="752"/>
      <c r="Q4" s="752"/>
      <c r="R4" s="752"/>
      <c r="S4" s="752"/>
    </row>
    <row r="5" spans="1:20" ht="4.5" customHeight="1" x14ac:dyDescent="0.2">
      <c r="A5" s="7"/>
      <c r="B5" s="13"/>
      <c r="C5" s="7"/>
      <c r="D5" s="7"/>
      <c r="E5" s="7"/>
      <c r="F5" s="7"/>
      <c r="G5" s="10"/>
      <c r="H5" s="7"/>
      <c r="I5" s="7"/>
      <c r="J5" s="7"/>
      <c r="K5" s="56"/>
      <c r="L5" s="57"/>
      <c r="M5" s="57"/>
      <c r="N5" s="7"/>
      <c r="O5" s="7"/>
      <c r="P5" s="7"/>
      <c r="Q5" s="57"/>
      <c r="R5" s="7"/>
      <c r="S5" s="7"/>
    </row>
    <row r="6" spans="1:20" x14ac:dyDescent="0.2">
      <c r="A6" s="749" t="s">
        <v>3</v>
      </c>
      <c r="B6" s="749"/>
      <c r="C6" s="749"/>
      <c r="E6" s="14" t="s">
        <v>4</v>
      </c>
      <c r="F6" s="15"/>
      <c r="G6" s="16"/>
      <c r="H6" s="14"/>
      <c r="I6" s="58"/>
      <c r="J6" s="14"/>
      <c r="K6" s="59"/>
      <c r="L6" s="60"/>
      <c r="M6" s="60"/>
      <c r="N6" s="14"/>
      <c r="O6" s="61"/>
      <c r="P6" s="14"/>
      <c r="Q6" s="60"/>
      <c r="R6" s="14"/>
      <c r="S6" s="14"/>
    </row>
    <row r="7" spans="1:20" x14ac:dyDescent="0.2">
      <c r="A7" s="749" t="s">
        <v>5</v>
      </c>
      <c r="B7" s="749"/>
      <c r="C7" s="749"/>
      <c r="E7" s="14" t="s">
        <v>6</v>
      </c>
      <c r="F7" s="15"/>
      <c r="G7" s="16"/>
      <c r="H7" s="17"/>
      <c r="I7" s="62"/>
      <c r="J7" s="17"/>
      <c r="K7" s="63"/>
      <c r="L7" s="64"/>
      <c r="M7" s="64"/>
      <c r="N7" s="14"/>
      <c r="O7" s="14"/>
      <c r="P7" s="14"/>
      <c r="Q7" s="60"/>
      <c r="R7" s="14"/>
      <c r="S7" s="14"/>
    </row>
    <row r="8" spans="1:20" x14ac:dyDescent="0.2">
      <c r="A8" s="749" t="s">
        <v>7</v>
      </c>
      <c r="B8" s="749"/>
      <c r="C8" s="749"/>
      <c r="E8" s="113" t="s">
        <v>8</v>
      </c>
      <c r="F8" s="15"/>
      <c r="G8" s="16"/>
      <c r="H8" s="17"/>
      <c r="I8" s="62"/>
      <c r="J8" s="17"/>
      <c r="K8" s="63"/>
      <c r="L8" s="64"/>
      <c r="M8" s="64"/>
      <c r="N8" s="14"/>
      <c r="O8" s="14"/>
      <c r="P8" s="14"/>
      <c r="Q8" s="60"/>
      <c r="R8" s="14"/>
      <c r="S8" s="14"/>
    </row>
    <row r="9" spans="1:20" x14ac:dyDescent="0.2">
      <c r="A9" s="749" t="s">
        <v>9</v>
      </c>
      <c r="B9" s="749"/>
      <c r="C9" s="749"/>
      <c r="E9" s="14"/>
      <c r="F9" s="15"/>
      <c r="G9" s="16"/>
      <c r="H9" s="17"/>
      <c r="I9" s="62"/>
      <c r="J9" s="17"/>
      <c r="K9" s="63"/>
      <c r="L9" s="64"/>
      <c r="M9" s="64"/>
      <c r="N9" s="14"/>
      <c r="O9" s="14"/>
      <c r="P9" s="14"/>
      <c r="Q9" s="60"/>
      <c r="R9" s="14"/>
      <c r="S9" s="14"/>
    </row>
    <row r="10" spans="1:20" x14ac:dyDescent="0.2">
      <c r="A10" s="18"/>
      <c r="B10" s="19"/>
      <c r="C10" s="18"/>
      <c r="E10" s="14"/>
      <c r="F10" s="15"/>
      <c r="G10" s="16"/>
      <c r="H10" s="17"/>
      <c r="I10" s="62"/>
      <c r="J10" s="17"/>
      <c r="K10" s="63"/>
      <c r="L10" s="64"/>
      <c r="M10" s="64"/>
      <c r="N10" s="14"/>
      <c r="O10" s="14"/>
      <c r="P10" s="14"/>
      <c r="Q10" s="60"/>
      <c r="R10" s="14"/>
      <c r="S10" s="14"/>
    </row>
    <row r="11" spans="1:20" x14ac:dyDescent="0.2">
      <c r="A11" s="750" t="s">
        <v>10</v>
      </c>
      <c r="B11" s="750"/>
      <c r="C11" s="750"/>
      <c r="E11" s="14" t="s">
        <v>11</v>
      </c>
      <c r="F11" s="15"/>
      <c r="G11" s="16"/>
      <c r="H11" s="14"/>
      <c r="I11" s="58"/>
      <c r="J11" s="14"/>
      <c r="K11" s="59"/>
      <c r="L11" s="60"/>
      <c r="M11" s="60"/>
      <c r="N11" s="14"/>
      <c r="O11" s="61"/>
      <c r="P11" s="14"/>
      <c r="Q11" s="60"/>
      <c r="R11" s="14"/>
      <c r="S11" s="14"/>
    </row>
    <row r="12" spans="1:20" x14ac:dyDescent="0.2">
      <c r="A12" s="749" t="s">
        <v>5</v>
      </c>
      <c r="B12" s="749"/>
      <c r="C12" s="749"/>
      <c r="E12" s="14" t="s">
        <v>12</v>
      </c>
      <c r="F12" s="15"/>
      <c r="G12" s="20"/>
      <c r="H12" s="17"/>
      <c r="I12" s="62"/>
      <c r="J12" s="17"/>
      <c r="K12" s="63"/>
      <c r="L12" s="64"/>
      <c r="M12" s="64"/>
      <c r="N12" s="14"/>
      <c r="O12" s="14"/>
      <c r="P12" s="14"/>
      <c r="Q12" s="60"/>
      <c r="R12" s="14"/>
      <c r="S12" s="14"/>
    </row>
    <row r="13" spans="1:20" ht="20.25" customHeight="1" x14ac:dyDescent="0.2">
      <c r="A13" s="14" t="s">
        <v>13</v>
      </c>
      <c r="B13" s="21"/>
      <c r="C13" s="15"/>
      <c r="E13" s="114" t="s">
        <v>14</v>
      </c>
      <c r="F13" s="15"/>
      <c r="G13" s="751"/>
      <c r="H13" s="751"/>
      <c r="I13" s="7"/>
      <c r="J13" s="15"/>
      <c r="K13" s="63"/>
      <c r="L13" s="64"/>
      <c r="M13" s="64"/>
      <c r="N13" s="15"/>
      <c r="O13" s="15"/>
      <c r="P13" s="15"/>
      <c r="Q13" s="64"/>
      <c r="R13" s="15"/>
      <c r="S13" s="15"/>
    </row>
    <row r="14" spans="1:20" x14ac:dyDescent="0.2">
      <c r="A14" s="22"/>
      <c r="B14" s="23"/>
      <c r="C14" s="22"/>
      <c r="D14" s="22"/>
      <c r="E14" s="22"/>
      <c r="F14" s="22"/>
      <c r="G14" s="10"/>
      <c r="H14" s="22"/>
      <c r="I14" s="7"/>
      <c r="J14" s="22"/>
      <c r="K14" s="65"/>
      <c r="L14" s="66"/>
      <c r="M14" s="66"/>
      <c r="N14" s="22"/>
      <c r="O14" s="67"/>
      <c r="P14" s="22"/>
      <c r="Q14" s="66"/>
      <c r="R14" s="22"/>
      <c r="S14" s="22"/>
    </row>
    <row r="15" spans="1:20" s="1" customFormat="1" ht="30" customHeight="1" x14ac:dyDescent="0.2">
      <c r="A15" s="734" t="s">
        <v>15</v>
      </c>
      <c r="B15" s="742" t="s">
        <v>16</v>
      </c>
      <c r="C15" s="734" t="s">
        <v>17</v>
      </c>
      <c r="D15" s="734" t="s">
        <v>18</v>
      </c>
      <c r="E15" s="734"/>
      <c r="F15" s="734" t="s">
        <v>19</v>
      </c>
      <c r="G15" s="734" t="s">
        <v>20</v>
      </c>
      <c r="H15" s="734" t="s">
        <v>21</v>
      </c>
      <c r="I15" s="732" t="s">
        <v>22</v>
      </c>
      <c r="J15" s="732" t="s">
        <v>23</v>
      </c>
      <c r="K15" s="745" t="s">
        <v>24</v>
      </c>
      <c r="L15" s="747" t="s">
        <v>25</v>
      </c>
      <c r="M15" s="747" t="s">
        <v>26</v>
      </c>
      <c r="N15" s="735" t="s">
        <v>27</v>
      </c>
      <c r="O15" s="736"/>
      <c r="P15" s="736"/>
      <c r="Q15" s="736"/>
      <c r="R15" s="737"/>
      <c r="S15" s="732" t="s">
        <v>28</v>
      </c>
      <c r="T15" s="3"/>
    </row>
    <row r="16" spans="1:20" s="1" customFormat="1" ht="68.25" customHeight="1" x14ac:dyDescent="0.2">
      <c r="A16" s="733"/>
      <c r="B16" s="743"/>
      <c r="C16" s="734"/>
      <c r="D16" s="24">
        <v>20</v>
      </c>
      <c r="E16" s="24">
        <v>40</v>
      </c>
      <c r="F16" s="733"/>
      <c r="G16" s="734"/>
      <c r="H16" s="733"/>
      <c r="I16" s="744"/>
      <c r="J16" s="733"/>
      <c r="K16" s="746"/>
      <c r="L16" s="748"/>
      <c r="M16" s="748"/>
      <c r="N16" s="69" t="s">
        <v>29</v>
      </c>
      <c r="O16" s="68" t="s">
        <v>31</v>
      </c>
      <c r="P16" s="68" t="s">
        <v>32</v>
      </c>
      <c r="Q16" s="90" t="s">
        <v>33</v>
      </c>
      <c r="R16" s="68" t="s">
        <v>30</v>
      </c>
      <c r="S16" s="733"/>
      <c r="T16" s="3"/>
    </row>
    <row r="17" spans="1:20" s="1" customFormat="1" ht="33" customHeight="1" x14ac:dyDescent="0.2">
      <c r="A17" s="30">
        <v>1</v>
      </c>
      <c r="B17" s="106" t="s">
        <v>34</v>
      </c>
      <c r="C17" s="107" t="s">
        <v>59</v>
      </c>
      <c r="D17" s="107"/>
      <c r="E17" s="33">
        <v>1</v>
      </c>
      <c r="F17" s="107" t="s">
        <v>60</v>
      </c>
      <c r="G17" s="108" t="s">
        <v>37</v>
      </c>
      <c r="H17" s="33" t="s">
        <v>38</v>
      </c>
      <c r="I17" s="74" t="s">
        <v>39</v>
      </c>
      <c r="J17" s="74" t="s">
        <v>61</v>
      </c>
      <c r="K17" s="75" t="s">
        <v>62</v>
      </c>
      <c r="L17" s="76">
        <v>1500000</v>
      </c>
      <c r="M17" s="76"/>
      <c r="N17" s="77">
        <v>4100000</v>
      </c>
      <c r="O17" s="77"/>
      <c r="P17" s="77"/>
      <c r="Q17" s="76"/>
      <c r="R17" s="93">
        <f t="shared" ref="R17:R33" si="0">(O17+P17+Q17+N17)*0.08</f>
        <v>328000</v>
      </c>
      <c r="S17" s="94">
        <f t="shared" ref="S17:S33" si="1">R17+Q17+P17+O17+N17</f>
        <v>4428000</v>
      </c>
      <c r="T17" s="2"/>
    </row>
    <row r="18" spans="1:20" s="1" customFormat="1" ht="33" customHeight="1" x14ac:dyDescent="0.2">
      <c r="A18" s="30">
        <v>2</v>
      </c>
      <c r="B18" s="106" t="s">
        <v>34</v>
      </c>
      <c r="C18" s="107" t="s">
        <v>59</v>
      </c>
      <c r="D18" s="107"/>
      <c r="E18" s="33">
        <v>1</v>
      </c>
      <c r="F18" s="107" t="s">
        <v>63</v>
      </c>
      <c r="G18" s="108" t="s">
        <v>37</v>
      </c>
      <c r="H18" s="33" t="s">
        <v>38</v>
      </c>
      <c r="I18" s="74" t="s">
        <v>39</v>
      </c>
      <c r="J18" s="74" t="s">
        <v>61</v>
      </c>
      <c r="K18" s="75" t="s">
        <v>64</v>
      </c>
      <c r="L18" s="76">
        <v>1500000</v>
      </c>
      <c r="M18" s="76"/>
      <c r="N18" s="77">
        <v>4100000</v>
      </c>
      <c r="O18" s="77"/>
      <c r="P18" s="77"/>
      <c r="Q18" s="76"/>
      <c r="R18" s="93">
        <f t="shared" si="0"/>
        <v>328000</v>
      </c>
      <c r="S18" s="94">
        <f t="shared" si="1"/>
        <v>4428000</v>
      </c>
      <c r="T18" s="2"/>
    </row>
    <row r="19" spans="1:20" s="1" customFormat="1" ht="33" customHeight="1" x14ac:dyDescent="0.2">
      <c r="A19" s="30">
        <v>3</v>
      </c>
      <c r="B19" s="106" t="s">
        <v>34</v>
      </c>
      <c r="C19" s="107" t="s">
        <v>59</v>
      </c>
      <c r="D19" s="107"/>
      <c r="E19" s="33">
        <v>1</v>
      </c>
      <c r="F19" s="107" t="s">
        <v>65</v>
      </c>
      <c r="G19" s="108" t="s">
        <v>37</v>
      </c>
      <c r="H19" s="33" t="s">
        <v>38</v>
      </c>
      <c r="I19" s="74" t="s">
        <v>39</v>
      </c>
      <c r="J19" s="74" t="s">
        <v>61</v>
      </c>
      <c r="K19" s="75" t="s">
        <v>66</v>
      </c>
      <c r="L19" s="76">
        <v>1500000</v>
      </c>
      <c r="M19" s="76"/>
      <c r="N19" s="77">
        <v>4100000</v>
      </c>
      <c r="O19" s="77"/>
      <c r="P19" s="77"/>
      <c r="Q19" s="76"/>
      <c r="R19" s="93">
        <f t="shared" si="0"/>
        <v>328000</v>
      </c>
      <c r="S19" s="94">
        <f t="shared" si="1"/>
        <v>4428000</v>
      </c>
      <c r="T19" s="2"/>
    </row>
    <row r="20" spans="1:20" s="1" customFormat="1" ht="33" customHeight="1" x14ac:dyDescent="0.2">
      <c r="A20" s="30">
        <v>4</v>
      </c>
      <c r="B20" s="106" t="s">
        <v>34</v>
      </c>
      <c r="C20" s="107" t="s">
        <v>59</v>
      </c>
      <c r="D20" s="107"/>
      <c r="E20" s="33">
        <v>1</v>
      </c>
      <c r="F20" s="107" t="s">
        <v>67</v>
      </c>
      <c r="G20" s="108" t="s">
        <v>37</v>
      </c>
      <c r="H20" s="33" t="s">
        <v>38</v>
      </c>
      <c r="I20" s="74" t="s">
        <v>39</v>
      </c>
      <c r="J20" s="74" t="s">
        <v>61</v>
      </c>
      <c r="K20" s="75" t="s">
        <v>68</v>
      </c>
      <c r="L20" s="76">
        <v>1500000</v>
      </c>
      <c r="M20" s="76"/>
      <c r="N20" s="77">
        <v>4100000</v>
      </c>
      <c r="O20" s="77"/>
      <c r="P20" s="77"/>
      <c r="Q20" s="76"/>
      <c r="R20" s="93">
        <f t="shared" si="0"/>
        <v>328000</v>
      </c>
      <c r="S20" s="94">
        <f t="shared" si="1"/>
        <v>4428000</v>
      </c>
      <c r="T20" s="2"/>
    </row>
    <row r="21" spans="1:20" s="1" customFormat="1" ht="33" customHeight="1" x14ac:dyDescent="0.2">
      <c r="A21" s="30">
        <v>5</v>
      </c>
      <c r="B21" s="106" t="s">
        <v>34</v>
      </c>
      <c r="C21" s="107" t="s">
        <v>59</v>
      </c>
      <c r="D21" s="107"/>
      <c r="E21" s="33">
        <v>1</v>
      </c>
      <c r="F21" s="107" t="s">
        <v>69</v>
      </c>
      <c r="G21" s="108" t="s">
        <v>37</v>
      </c>
      <c r="H21" s="33" t="s">
        <v>38</v>
      </c>
      <c r="I21" s="74" t="s">
        <v>39</v>
      </c>
      <c r="J21" s="74" t="s">
        <v>61</v>
      </c>
      <c r="K21" s="75" t="s">
        <v>70</v>
      </c>
      <c r="L21" s="76">
        <v>1500000</v>
      </c>
      <c r="M21" s="76"/>
      <c r="N21" s="77">
        <v>4100000</v>
      </c>
      <c r="O21" s="77"/>
      <c r="P21" s="77"/>
      <c r="Q21" s="76"/>
      <c r="R21" s="93">
        <f t="shared" si="0"/>
        <v>328000</v>
      </c>
      <c r="S21" s="94">
        <f t="shared" si="1"/>
        <v>4428000</v>
      </c>
      <c r="T21" s="2"/>
    </row>
    <row r="22" spans="1:20" s="1" customFormat="1" ht="33" customHeight="1" x14ac:dyDescent="0.2">
      <c r="A22" s="30">
        <v>6</v>
      </c>
      <c r="B22" s="106" t="s">
        <v>71</v>
      </c>
      <c r="C22" s="107" t="s">
        <v>72</v>
      </c>
      <c r="D22" s="107"/>
      <c r="E22" s="33">
        <v>1</v>
      </c>
      <c r="F22" s="107" t="s">
        <v>73</v>
      </c>
      <c r="G22" s="108" t="s">
        <v>37</v>
      </c>
      <c r="H22" s="33" t="s">
        <v>38</v>
      </c>
      <c r="I22" s="74" t="s">
        <v>39</v>
      </c>
      <c r="J22" s="74" t="s">
        <v>74</v>
      </c>
      <c r="K22" s="75" t="s">
        <v>75</v>
      </c>
      <c r="L22" s="76">
        <v>1500000</v>
      </c>
      <c r="M22" s="76"/>
      <c r="N22" s="77">
        <v>4100000</v>
      </c>
      <c r="O22" s="77"/>
      <c r="P22" s="77"/>
      <c r="Q22" s="76"/>
      <c r="R22" s="93">
        <f t="shared" si="0"/>
        <v>328000</v>
      </c>
      <c r="S22" s="94">
        <f t="shared" si="1"/>
        <v>4428000</v>
      </c>
      <c r="T22" s="2"/>
    </row>
    <row r="23" spans="1:20" s="1" customFormat="1" ht="33" customHeight="1" x14ac:dyDescent="0.2">
      <c r="A23" s="30">
        <v>7</v>
      </c>
      <c r="B23" s="106" t="s">
        <v>71</v>
      </c>
      <c r="C23" s="107" t="s">
        <v>72</v>
      </c>
      <c r="D23" s="107"/>
      <c r="E23" s="33">
        <v>1</v>
      </c>
      <c r="F23" s="107" t="s">
        <v>76</v>
      </c>
      <c r="G23" s="108" t="s">
        <v>37</v>
      </c>
      <c r="H23" s="33" t="s">
        <v>38</v>
      </c>
      <c r="I23" s="74" t="s">
        <v>39</v>
      </c>
      <c r="J23" s="74" t="s">
        <v>74</v>
      </c>
      <c r="K23" s="75" t="s">
        <v>77</v>
      </c>
      <c r="L23" s="76">
        <v>1500000</v>
      </c>
      <c r="M23" s="76"/>
      <c r="N23" s="77">
        <v>4100000</v>
      </c>
      <c r="O23" s="77"/>
      <c r="P23" s="77"/>
      <c r="Q23" s="76"/>
      <c r="R23" s="93">
        <f t="shared" si="0"/>
        <v>328000</v>
      </c>
      <c r="S23" s="94">
        <f t="shared" si="1"/>
        <v>4428000</v>
      </c>
      <c r="T23" s="2"/>
    </row>
    <row r="24" spans="1:20" s="109" customFormat="1" ht="33" customHeight="1" x14ac:dyDescent="0.2">
      <c r="A24" s="25">
        <v>8</v>
      </c>
      <c r="B24" s="26" t="s">
        <v>71</v>
      </c>
      <c r="C24" s="27" t="s">
        <v>72</v>
      </c>
      <c r="D24" s="27"/>
      <c r="E24" s="28">
        <v>1</v>
      </c>
      <c r="F24" s="27" t="s">
        <v>78</v>
      </c>
      <c r="G24" s="29" t="s">
        <v>37</v>
      </c>
      <c r="H24" s="28" t="s">
        <v>38</v>
      </c>
      <c r="I24" s="70" t="s">
        <v>39</v>
      </c>
      <c r="J24" s="70" t="s">
        <v>74</v>
      </c>
      <c r="K24" s="71" t="s">
        <v>79</v>
      </c>
      <c r="L24" s="72">
        <v>1500000</v>
      </c>
      <c r="M24" s="72"/>
      <c r="N24" s="73">
        <v>4100000</v>
      </c>
      <c r="O24" s="73"/>
      <c r="P24" s="73"/>
      <c r="Q24" s="72"/>
      <c r="R24" s="91">
        <f t="shared" si="0"/>
        <v>328000</v>
      </c>
      <c r="S24" s="92">
        <f t="shared" si="1"/>
        <v>4428000</v>
      </c>
      <c r="T24" s="110"/>
    </row>
    <row r="25" spans="1:20" s="109" customFormat="1" ht="33" customHeight="1" x14ac:dyDescent="0.2">
      <c r="A25" s="25">
        <v>9</v>
      </c>
      <c r="B25" s="26" t="s">
        <v>71</v>
      </c>
      <c r="C25" s="27" t="s">
        <v>72</v>
      </c>
      <c r="D25" s="27"/>
      <c r="E25" s="28">
        <v>1</v>
      </c>
      <c r="F25" s="27" t="s">
        <v>80</v>
      </c>
      <c r="G25" s="29" t="s">
        <v>37</v>
      </c>
      <c r="H25" s="28" t="s">
        <v>38</v>
      </c>
      <c r="I25" s="70" t="s">
        <v>39</v>
      </c>
      <c r="J25" s="70" t="s">
        <v>74</v>
      </c>
      <c r="K25" s="71" t="s">
        <v>81</v>
      </c>
      <c r="L25" s="72">
        <v>1500000</v>
      </c>
      <c r="M25" s="72"/>
      <c r="N25" s="73">
        <v>4100000</v>
      </c>
      <c r="O25" s="73"/>
      <c r="P25" s="73"/>
      <c r="Q25" s="72"/>
      <c r="R25" s="91">
        <f t="shared" si="0"/>
        <v>328000</v>
      </c>
      <c r="S25" s="92">
        <f t="shared" si="1"/>
        <v>4428000</v>
      </c>
      <c r="T25" s="110"/>
    </row>
    <row r="26" spans="1:20" s="1" customFormat="1" ht="33" customHeight="1" x14ac:dyDescent="0.2">
      <c r="A26" s="30">
        <v>10</v>
      </c>
      <c r="B26" s="106" t="s">
        <v>71</v>
      </c>
      <c r="C26" s="107" t="s">
        <v>72</v>
      </c>
      <c r="D26" s="107"/>
      <c r="E26" s="33">
        <v>1</v>
      </c>
      <c r="F26" s="107" t="s">
        <v>82</v>
      </c>
      <c r="G26" s="108" t="s">
        <v>37</v>
      </c>
      <c r="H26" s="33" t="s">
        <v>38</v>
      </c>
      <c r="I26" s="74" t="s">
        <v>39</v>
      </c>
      <c r="J26" s="74" t="s">
        <v>74</v>
      </c>
      <c r="K26" s="75" t="s">
        <v>83</v>
      </c>
      <c r="L26" s="76">
        <v>1500000</v>
      </c>
      <c r="M26" s="76"/>
      <c r="N26" s="77">
        <v>4100000</v>
      </c>
      <c r="O26" s="77"/>
      <c r="P26" s="77"/>
      <c r="Q26" s="76"/>
      <c r="R26" s="93">
        <f t="shared" si="0"/>
        <v>328000</v>
      </c>
      <c r="S26" s="94">
        <f t="shared" si="1"/>
        <v>4428000</v>
      </c>
      <c r="T26" s="2"/>
    </row>
    <row r="27" spans="1:20" s="1" customFormat="1" ht="33" customHeight="1" x14ac:dyDescent="0.2">
      <c r="A27" s="30">
        <v>11</v>
      </c>
      <c r="B27" s="106" t="s">
        <v>84</v>
      </c>
      <c r="C27" s="107" t="s">
        <v>85</v>
      </c>
      <c r="D27" s="107"/>
      <c r="E27" s="33">
        <v>1</v>
      </c>
      <c r="F27" s="107" t="s">
        <v>86</v>
      </c>
      <c r="G27" s="108" t="s">
        <v>37</v>
      </c>
      <c r="H27" s="33" t="s">
        <v>38</v>
      </c>
      <c r="I27" s="74" t="s">
        <v>39</v>
      </c>
      <c r="J27" s="74" t="s">
        <v>87</v>
      </c>
      <c r="K27" s="75" t="s">
        <v>88</v>
      </c>
      <c r="L27" s="76">
        <v>1500000</v>
      </c>
      <c r="M27" s="76"/>
      <c r="N27" s="77">
        <v>4100000</v>
      </c>
      <c r="O27" s="77"/>
      <c r="P27" s="77"/>
      <c r="Q27" s="76"/>
      <c r="R27" s="93">
        <f t="shared" si="0"/>
        <v>328000</v>
      </c>
      <c r="S27" s="94">
        <f t="shared" si="1"/>
        <v>4428000</v>
      </c>
      <c r="T27" s="2"/>
    </row>
    <row r="28" spans="1:20" s="1" customFormat="1" ht="33" customHeight="1" x14ac:dyDescent="0.2">
      <c r="A28" s="30">
        <v>12</v>
      </c>
      <c r="B28" s="106" t="s">
        <v>84</v>
      </c>
      <c r="C28" s="107" t="s">
        <v>85</v>
      </c>
      <c r="D28" s="107"/>
      <c r="E28" s="33">
        <v>1</v>
      </c>
      <c r="F28" s="107" t="s">
        <v>89</v>
      </c>
      <c r="G28" s="108" t="s">
        <v>37</v>
      </c>
      <c r="H28" s="33" t="s">
        <v>38</v>
      </c>
      <c r="I28" s="74" t="s">
        <v>39</v>
      </c>
      <c r="J28" s="74" t="s">
        <v>87</v>
      </c>
      <c r="K28" s="75" t="s">
        <v>90</v>
      </c>
      <c r="L28" s="76">
        <v>1500000</v>
      </c>
      <c r="M28" s="76"/>
      <c r="N28" s="77">
        <v>4100000</v>
      </c>
      <c r="O28" s="77"/>
      <c r="P28" s="77"/>
      <c r="Q28" s="76"/>
      <c r="R28" s="93">
        <f t="shared" si="0"/>
        <v>328000</v>
      </c>
      <c r="S28" s="94">
        <f t="shared" si="1"/>
        <v>4428000</v>
      </c>
      <c r="T28" s="2"/>
    </row>
    <row r="29" spans="1:20" s="1" customFormat="1" ht="33" customHeight="1" x14ac:dyDescent="0.2">
      <c r="A29" s="30">
        <v>13</v>
      </c>
      <c r="B29" s="106" t="s">
        <v>84</v>
      </c>
      <c r="C29" s="107" t="s">
        <v>85</v>
      </c>
      <c r="D29" s="107"/>
      <c r="E29" s="33">
        <v>1</v>
      </c>
      <c r="F29" s="107" t="s">
        <v>91</v>
      </c>
      <c r="G29" s="108" t="s">
        <v>37</v>
      </c>
      <c r="H29" s="33" t="s">
        <v>38</v>
      </c>
      <c r="I29" s="74" t="s">
        <v>39</v>
      </c>
      <c r="J29" s="74" t="s">
        <v>87</v>
      </c>
      <c r="K29" s="75" t="s">
        <v>92</v>
      </c>
      <c r="L29" s="76">
        <v>1500000</v>
      </c>
      <c r="M29" s="76">
        <v>5000000</v>
      </c>
      <c r="N29" s="77">
        <v>4100000</v>
      </c>
      <c r="O29" s="77"/>
      <c r="P29" s="77"/>
      <c r="Q29" s="76"/>
      <c r="R29" s="93">
        <f t="shared" si="0"/>
        <v>328000</v>
      </c>
      <c r="S29" s="94">
        <f t="shared" si="1"/>
        <v>4428000</v>
      </c>
      <c r="T29" s="2"/>
    </row>
    <row r="30" spans="1:20" s="1" customFormat="1" ht="33" customHeight="1" x14ac:dyDescent="0.2">
      <c r="A30" s="30">
        <v>14</v>
      </c>
      <c r="B30" s="106" t="s">
        <v>84</v>
      </c>
      <c r="C30" s="107" t="s">
        <v>85</v>
      </c>
      <c r="D30" s="107"/>
      <c r="E30" s="33">
        <v>1</v>
      </c>
      <c r="F30" s="107" t="s">
        <v>93</v>
      </c>
      <c r="G30" s="108" t="s">
        <v>37</v>
      </c>
      <c r="H30" s="33" t="s">
        <v>38</v>
      </c>
      <c r="I30" s="74" t="s">
        <v>39</v>
      </c>
      <c r="J30" s="74" t="s">
        <v>87</v>
      </c>
      <c r="K30" s="75" t="s">
        <v>94</v>
      </c>
      <c r="L30" s="76">
        <v>1500000</v>
      </c>
      <c r="M30" s="76">
        <v>700000</v>
      </c>
      <c r="N30" s="77">
        <v>4100000</v>
      </c>
      <c r="O30" s="77"/>
      <c r="P30" s="77"/>
      <c r="Q30" s="76"/>
      <c r="R30" s="93">
        <f t="shared" si="0"/>
        <v>328000</v>
      </c>
      <c r="S30" s="94">
        <f t="shared" si="1"/>
        <v>4428000</v>
      </c>
      <c r="T30" s="2"/>
    </row>
    <row r="31" spans="1:20" s="1" customFormat="1" ht="33" customHeight="1" x14ac:dyDescent="0.2">
      <c r="A31" s="30">
        <v>15</v>
      </c>
      <c r="B31" s="106" t="s">
        <v>84</v>
      </c>
      <c r="C31" s="107" t="s">
        <v>85</v>
      </c>
      <c r="D31" s="107"/>
      <c r="E31" s="33">
        <v>1</v>
      </c>
      <c r="F31" s="107" t="s">
        <v>95</v>
      </c>
      <c r="G31" s="108" t="s">
        <v>37</v>
      </c>
      <c r="H31" s="33" t="s">
        <v>38</v>
      </c>
      <c r="I31" s="74" t="s">
        <v>39</v>
      </c>
      <c r="J31" s="74" t="s">
        <v>87</v>
      </c>
      <c r="K31" s="75" t="s">
        <v>96</v>
      </c>
      <c r="L31" s="76">
        <v>1500000</v>
      </c>
      <c r="M31" s="76"/>
      <c r="N31" s="77">
        <v>4100000</v>
      </c>
      <c r="O31" s="77"/>
      <c r="P31" s="77"/>
      <c r="Q31" s="76"/>
      <c r="R31" s="93">
        <f t="shared" si="0"/>
        <v>328000</v>
      </c>
      <c r="S31" s="94">
        <f t="shared" si="1"/>
        <v>4428000</v>
      </c>
      <c r="T31" s="2"/>
    </row>
    <row r="32" spans="1:20" s="1" customFormat="1" ht="33" customHeight="1" x14ac:dyDescent="0.2">
      <c r="A32" s="30">
        <v>16</v>
      </c>
      <c r="B32" s="106" t="s">
        <v>84</v>
      </c>
      <c r="C32" s="107" t="s">
        <v>85</v>
      </c>
      <c r="D32" s="107"/>
      <c r="E32" s="33">
        <v>1</v>
      </c>
      <c r="F32" s="107" t="s">
        <v>97</v>
      </c>
      <c r="G32" s="108" t="s">
        <v>37</v>
      </c>
      <c r="H32" s="33" t="s">
        <v>38</v>
      </c>
      <c r="I32" s="74" t="s">
        <v>39</v>
      </c>
      <c r="J32" s="74" t="s">
        <v>87</v>
      </c>
      <c r="K32" s="75" t="s">
        <v>98</v>
      </c>
      <c r="L32" s="76">
        <v>1500000</v>
      </c>
      <c r="M32" s="76"/>
      <c r="N32" s="77">
        <v>4100000</v>
      </c>
      <c r="O32" s="77"/>
      <c r="P32" s="77"/>
      <c r="Q32" s="76"/>
      <c r="R32" s="93">
        <f t="shared" si="0"/>
        <v>328000</v>
      </c>
      <c r="S32" s="94">
        <f t="shared" si="1"/>
        <v>4428000</v>
      </c>
      <c r="T32" s="2"/>
    </row>
    <row r="33" spans="1:20" s="1" customFormat="1" ht="33" customHeight="1" x14ac:dyDescent="0.2">
      <c r="A33" s="30">
        <v>17</v>
      </c>
      <c r="B33" s="106" t="s">
        <v>84</v>
      </c>
      <c r="C33" s="107" t="s">
        <v>85</v>
      </c>
      <c r="D33" s="107"/>
      <c r="E33" s="33">
        <v>1</v>
      </c>
      <c r="F33" s="107" t="s">
        <v>99</v>
      </c>
      <c r="G33" s="108" t="s">
        <v>37</v>
      </c>
      <c r="H33" s="33" t="s">
        <v>38</v>
      </c>
      <c r="I33" s="74" t="s">
        <v>39</v>
      </c>
      <c r="J33" s="74" t="s">
        <v>87</v>
      </c>
      <c r="K33" s="75" t="s">
        <v>100</v>
      </c>
      <c r="L33" s="76">
        <v>1500000</v>
      </c>
      <c r="M33" s="76"/>
      <c r="N33" s="77">
        <v>4100000</v>
      </c>
      <c r="O33" s="77"/>
      <c r="P33" s="77"/>
      <c r="Q33" s="76"/>
      <c r="R33" s="93">
        <f t="shared" si="0"/>
        <v>328000</v>
      </c>
      <c r="S33" s="94">
        <f t="shared" si="1"/>
        <v>4428000</v>
      </c>
      <c r="T33" s="2"/>
    </row>
    <row r="34" spans="1:20" ht="33" customHeight="1" x14ac:dyDescent="0.2">
      <c r="A34" s="738" t="s">
        <v>52</v>
      </c>
      <c r="B34" s="739"/>
      <c r="C34" s="740"/>
      <c r="D34" s="45">
        <f>SUM(D17:D33)</f>
        <v>0</v>
      </c>
      <c r="E34" s="45">
        <f>SUM(E17:E33)</f>
        <v>17</v>
      </c>
      <c r="F34" s="46"/>
      <c r="G34" s="47"/>
      <c r="H34" s="46"/>
      <c r="I34" s="74"/>
      <c r="J34" s="46"/>
      <c r="K34" s="86"/>
      <c r="L34" s="87">
        <f>SUM(L17:L33)</f>
        <v>25500000</v>
      </c>
      <c r="M34" s="87">
        <f t="shared" ref="M34:S34" si="2">SUM(M17:M33)</f>
        <v>5700000</v>
      </c>
      <c r="N34" s="87">
        <f t="shared" si="2"/>
        <v>69700000</v>
      </c>
      <c r="O34" s="87">
        <f t="shared" si="2"/>
        <v>0</v>
      </c>
      <c r="P34" s="87">
        <f t="shared" si="2"/>
        <v>0</v>
      </c>
      <c r="Q34" s="87">
        <f t="shared" si="2"/>
        <v>0</v>
      </c>
      <c r="R34" s="87">
        <f t="shared" si="2"/>
        <v>5576000</v>
      </c>
      <c r="S34" s="87">
        <f t="shared" si="2"/>
        <v>75276000</v>
      </c>
      <c r="T34" s="2"/>
    </row>
    <row r="35" spans="1:20" ht="18" customHeight="1" x14ac:dyDescent="0.2">
      <c r="A35" s="48" t="s">
        <v>53</v>
      </c>
      <c r="B35" s="48"/>
      <c r="H35" s="15"/>
      <c r="I35" s="10"/>
      <c r="J35" s="15"/>
      <c r="K35" s="63"/>
      <c r="L35" s="64"/>
      <c r="M35" s="64"/>
      <c r="N35" s="15"/>
      <c r="O35" s="15"/>
      <c r="P35" s="15"/>
      <c r="Q35" s="64"/>
      <c r="R35" s="15"/>
      <c r="S35" s="15"/>
    </row>
    <row r="36" spans="1:20" s="2" customFormat="1" ht="23.25" customHeight="1" x14ac:dyDescent="0.2">
      <c r="A36" s="49"/>
      <c r="B36" s="50"/>
      <c r="C36" s="51" t="s">
        <v>29</v>
      </c>
      <c r="D36" s="52"/>
      <c r="E36" s="52"/>
      <c r="F36" s="52">
        <f>S34</f>
        <v>75276000</v>
      </c>
      <c r="G36" s="53"/>
      <c r="H36" s="54"/>
      <c r="I36" s="12"/>
      <c r="J36" s="54"/>
      <c r="K36" s="88"/>
      <c r="L36" s="89"/>
      <c r="M36" s="89"/>
      <c r="N36" s="54"/>
      <c r="O36" s="54"/>
      <c r="P36" s="54"/>
      <c r="Q36" s="89"/>
      <c r="R36" s="54"/>
      <c r="S36" s="54"/>
    </row>
    <row r="37" spans="1:20" x14ac:dyDescent="0.2">
      <c r="A37" s="15"/>
      <c r="B37" s="99"/>
      <c r="C37" s="54" t="s">
        <v>54</v>
      </c>
      <c r="D37" s="15"/>
      <c r="E37" s="15"/>
      <c r="F37" s="100">
        <f>L34</f>
        <v>25500000</v>
      </c>
      <c r="G37" s="10"/>
      <c r="H37" s="15"/>
      <c r="I37" s="7"/>
      <c r="J37" s="15"/>
      <c r="K37" s="63"/>
      <c r="L37" s="64"/>
      <c r="M37" s="64"/>
      <c r="N37" s="15"/>
      <c r="O37" s="15"/>
      <c r="P37" s="15"/>
      <c r="Q37" s="64"/>
      <c r="R37" s="15"/>
      <c r="S37" s="15"/>
    </row>
    <row r="38" spans="1:20" x14ac:dyDescent="0.2">
      <c r="A38" s="15"/>
      <c r="B38" s="99"/>
      <c r="C38" s="54" t="s">
        <v>55</v>
      </c>
      <c r="D38" s="15"/>
      <c r="E38" s="15"/>
      <c r="F38" s="100">
        <f>M34</f>
        <v>5700000</v>
      </c>
      <c r="G38" s="10"/>
      <c r="H38" s="15"/>
      <c r="I38" s="7"/>
      <c r="J38" s="15"/>
      <c r="K38" s="63"/>
      <c r="L38" s="64"/>
      <c r="M38" s="64"/>
      <c r="N38" s="15"/>
      <c r="O38" s="15"/>
      <c r="P38" s="15"/>
      <c r="Q38" s="64"/>
      <c r="R38" s="15"/>
      <c r="S38" s="15"/>
    </row>
    <row r="39" spans="1:20" ht="23.25" customHeight="1" x14ac:dyDescent="0.2">
      <c r="A39" s="741" t="s">
        <v>56</v>
      </c>
      <c r="B39" s="741"/>
      <c r="C39" s="741"/>
      <c r="D39" s="741"/>
      <c r="E39" s="741"/>
      <c r="F39" s="741"/>
      <c r="G39" s="101"/>
      <c r="H39" s="102"/>
      <c r="I39" s="104"/>
      <c r="J39" s="741" t="s">
        <v>57</v>
      </c>
      <c r="K39" s="741"/>
      <c r="L39" s="741"/>
      <c r="M39" s="741"/>
      <c r="N39" s="741"/>
      <c r="O39" s="741"/>
      <c r="P39" s="741"/>
      <c r="Q39" s="741"/>
      <c r="R39" s="741"/>
      <c r="S39" s="12"/>
    </row>
    <row r="40" spans="1:20" x14ac:dyDescent="0.2">
      <c r="G40" s="103"/>
      <c r="I40" s="105"/>
    </row>
    <row r="41" spans="1:20" x14ac:dyDescent="0.2">
      <c r="G41" s="103"/>
      <c r="I41" s="105"/>
    </row>
    <row r="42" spans="1:20" x14ac:dyDescent="0.2">
      <c r="G42" s="103"/>
      <c r="I42" s="105"/>
    </row>
    <row r="43" spans="1:20" x14ac:dyDescent="0.2">
      <c r="G43" s="103"/>
      <c r="I43" s="105"/>
    </row>
    <row r="44" spans="1:20" x14ac:dyDescent="0.2">
      <c r="G44" s="103"/>
      <c r="I44" s="105"/>
    </row>
    <row r="45" spans="1:20" x14ac:dyDescent="0.2">
      <c r="G45" s="103"/>
      <c r="I45" s="105"/>
    </row>
    <row r="46" spans="1:20" x14ac:dyDescent="0.2">
      <c r="G46" s="103"/>
      <c r="I46" s="105"/>
    </row>
    <row r="47" spans="1:20" x14ac:dyDescent="0.2">
      <c r="G47" s="103"/>
      <c r="I47" s="105"/>
    </row>
    <row r="48" spans="1:20" x14ac:dyDescent="0.2">
      <c r="G48" s="103"/>
      <c r="I48" s="105"/>
    </row>
    <row r="49" spans="7:9" x14ac:dyDescent="0.2">
      <c r="G49" s="103"/>
      <c r="I49" s="105"/>
    </row>
    <row r="50" spans="7:9" x14ac:dyDescent="0.2">
      <c r="G50" s="103"/>
      <c r="I50" s="105"/>
    </row>
    <row r="51" spans="7:9" x14ac:dyDescent="0.2">
      <c r="G51" s="103"/>
      <c r="I51" s="105"/>
    </row>
    <row r="52" spans="7:9" x14ac:dyDescent="0.2">
      <c r="G52" s="103"/>
      <c r="I52" s="105"/>
    </row>
    <row r="53" spans="7:9" x14ac:dyDescent="0.2">
      <c r="G53" s="103"/>
      <c r="I53" s="105"/>
    </row>
    <row r="54" spans="7:9" x14ac:dyDescent="0.2">
      <c r="G54" s="103"/>
      <c r="I54" s="105"/>
    </row>
    <row r="55" spans="7:9" x14ac:dyDescent="0.2">
      <c r="G55" s="103"/>
      <c r="I55" s="105"/>
    </row>
    <row r="56" spans="7:9" x14ac:dyDescent="0.2">
      <c r="G56" s="103"/>
      <c r="I56" s="105"/>
    </row>
    <row r="57" spans="7:9" x14ac:dyDescent="0.2">
      <c r="G57" s="103"/>
      <c r="I57" s="105"/>
    </row>
    <row r="58" spans="7:9" x14ac:dyDescent="0.2">
      <c r="G58" s="103"/>
      <c r="I58" s="105"/>
    </row>
    <row r="59" spans="7:9" x14ac:dyDescent="0.2">
      <c r="G59" s="103"/>
      <c r="I59" s="105"/>
    </row>
    <row r="60" spans="7:9" x14ac:dyDescent="0.2">
      <c r="G60" s="103"/>
      <c r="I60" s="105"/>
    </row>
    <row r="61" spans="7:9" x14ac:dyDescent="0.2">
      <c r="G61" s="103"/>
      <c r="I61" s="105"/>
    </row>
    <row r="62" spans="7:9" x14ac:dyDescent="0.2">
      <c r="G62" s="103"/>
      <c r="I62" s="105"/>
    </row>
    <row r="63" spans="7:9" x14ac:dyDescent="0.2">
      <c r="G63" s="103"/>
      <c r="I63" s="105"/>
    </row>
    <row r="64" spans="7:9" x14ac:dyDescent="0.2">
      <c r="G64" s="103"/>
      <c r="I64" s="105"/>
    </row>
    <row r="65" spans="7:9" x14ac:dyDescent="0.2">
      <c r="G65" s="103"/>
      <c r="I65" s="105"/>
    </row>
    <row r="66" spans="7:9" x14ac:dyDescent="0.2">
      <c r="G66" s="103"/>
      <c r="I66" s="105"/>
    </row>
    <row r="67" spans="7:9" x14ac:dyDescent="0.2">
      <c r="G67" s="103"/>
      <c r="I67" s="105"/>
    </row>
    <row r="68" spans="7:9" x14ac:dyDescent="0.2">
      <c r="G68" s="103"/>
      <c r="I68" s="105"/>
    </row>
    <row r="69" spans="7:9" x14ac:dyDescent="0.2">
      <c r="G69" s="103"/>
      <c r="I69" s="105"/>
    </row>
    <row r="70" spans="7:9" x14ac:dyDescent="0.2">
      <c r="G70" s="103"/>
      <c r="I70" s="105"/>
    </row>
    <row r="71" spans="7:9" x14ac:dyDescent="0.2">
      <c r="G71" s="103"/>
      <c r="I71" s="105"/>
    </row>
    <row r="72" spans="7:9" x14ac:dyDescent="0.2">
      <c r="G72" s="103"/>
      <c r="I72" s="105"/>
    </row>
    <row r="73" spans="7:9" x14ac:dyDescent="0.2">
      <c r="G73" s="103"/>
      <c r="I73" s="105"/>
    </row>
    <row r="74" spans="7:9" x14ac:dyDescent="0.2">
      <c r="G74" s="103"/>
      <c r="I74" s="105"/>
    </row>
    <row r="75" spans="7:9" x14ac:dyDescent="0.2">
      <c r="G75" s="103"/>
      <c r="I75" s="105"/>
    </row>
    <row r="76" spans="7:9" x14ac:dyDescent="0.2">
      <c r="G76" s="103"/>
      <c r="I76" s="105"/>
    </row>
    <row r="77" spans="7:9" x14ac:dyDescent="0.2">
      <c r="G77" s="103"/>
      <c r="I77" s="105"/>
    </row>
    <row r="78" spans="7:9" x14ac:dyDescent="0.2">
      <c r="G78" s="103"/>
      <c r="I78" s="105"/>
    </row>
    <row r="79" spans="7:9" x14ac:dyDescent="0.2">
      <c r="G79" s="103"/>
      <c r="I79" s="105"/>
    </row>
    <row r="80" spans="7:9" x14ac:dyDescent="0.2">
      <c r="G80" s="103"/>
      <c r="I80" s="105"/>
    </row>
  </sheetData>
  <autoFilter ref="A16:S39" xr:uid="{00000000-0009-0000-0000-000001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34:C34"/>
    <mergeCell ref="A39:F39"/>
    <mergeCell ref="J39:R39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T83"/>
  <sheetViews>
    <sheetView topLeftCell="A19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hidden="1" customWidth="1"/>
    <col min="16" max="16" width="16.5" style="3" hidden="1" customWidth="1"/>
    <col min="17" max="17" width="17.1640625" style="6" hidden="1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11"/>
      <c r="I1" s="9"/>
      <c r="J1" s="11"/>
      <c r="K1" s="55"/>
      <c r="N1" s="11"/>
      <c r="O1" s="11"/>
      <c r="P1" s="11"/>
      <c r="R1" s="11"/>
      <c r="S1" s="11"/>
    </row>
    <row r="2" spans="1:20" ht="30.5" customHeight="1" x14ac:dyDescent="0.2">
      <c r="A2" s="741" t="s">
        <v>0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</row>
    <row r="3" spans="1:20" x14ac:dyDescent="0.2">
      <c r="A3" s="752" t="s">
        <v>101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2"/>
    </row>
    <row r="4" spans="1:20" ht="4.5" customHeight="1" x14ac:dyDescent="0.2">
      <c r="A4" s="752" t="s">
        <v>2</v>
      </c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  <c r="N4" s="752"/>
      <c r="O4" s="752"/>
      <c r="P4" s="752"/>
      <c r="Q4" s="752"/>
      <c r="R4" s="752"/>
      <c r="S4" s="752"/>
    </row>
    <row r="5" spans="1:20" ht="4.5" customHeight="1" x14ac:dyDescent="0.2">
      <c r="A5" s="7"/>
      <c r="B5" s="13"/>
      <c r="C5" s="7"/>
      <c r="D5" s="7"/>
      <c r="E5" s="7"/>
      <c r="F5" s="7"/>
      <c r="G5" s="10"/>
      <c r="H5" s="7"/>
      <c r="I5" s="7"/>
      <c r="J5" s="7"/>
      <c r="K5" s="56"/>
      <c r="L5" s="57"/>
      <c r="M5" s="57"/>
      <c r="N5" s="7"/>
      <c r="O5" s="7"/>
      <c r="P5" s="7"/>
      <c r="Q5" s="57"/>
      <c r="R5" s="7"/>
      <c r="S5" s="7"/>
    </row>
    <row r="6" spans="1:20" x14ac:dyDescent="0.2">
      <c r="A6" s="749" t="s">
        <v>3</v>
      </c>
      <c r="B6" s="749"/>
      <c r="C6" s="749"/>
      <c r="E6" s="14" t="s">
        <v>4</v>
      </c>
      <c r="F6" s="15"/>
      <c r="G6" s="16"/>
      <c r="H6" s="14"/>
      <c r="I6" s="58"/>
      <c r="J6" s="14"/>
      <c r="K6" s="59"/>
      <c r="L6" s="60"/>
      <c r="M6" s="60"/>
      <c r="N6" s="14"/>
      <c r="O6" s="61"/>
      <c r="P6" s="14"/>
      <c r="Q6" s="60"/>
      <c r="R6" s="14"/>
      <c r="S6" s="14"/>
    </row>
    <row r="7" spans="1:20" x14ac:dyDescent="0.2">
      <c r="A7" s="749" t="s">
        <v>5</v>
      </c>
      <c r="B7" s="749"/>
      <c r="C7" s="749"/>
      <c r="E7" s="14" t="s">
        <v>6</v>
      </c>
      <c r="F7" s="15"/>
      <c r="G7" s="16"/>
      <c r="H7" s="17"/>
      <c r="I7" s="62"/>
      <c r="J7" s="17"/>
      <c r="K7" s="63"/>
      <c r="L7" s="64"/>
      <c r="M7" s="64"/>
      <c r="N7" s="14"/>
      <c r="O7" s="14"/>
      <c r="P7" s="14"/>
      <c r="Q7" s="60"/>
      <c r="R7" s="14"/>
      <c r="S7" s="14"/>
    </row>
    <row r="8" spans="1:20" x14ac:dyDescent="0.2">
      <c r="A8" s="749" t="s">
        <v>7</v>
      </c>
      <c r="B8" s="749"/>
      <c r="C8" s="749"/>
      <c r="E8" s="113" t="s">
        <v>8</v>
      </c>
      <c r="F8" s="15"/>
      <c r="G8" s="16"/>
      <c r="H8" s="17"/>
      <c r="I8" s="62"/>
      <c r="J8" s="17"/>
      <c r="K8" s="63"/>
      <c r="L8" s="64"/>
      <c r="M8" s="64"/>
      <c r="N8" s="14"/>
      <c r="O8" s="14"/>
      <c r="P8" s="14"/>
      <c r="Q8" s="60"/>
      <c r="R8" s="14"/>
      <c r="S8" s="14"/>
    </row>
    <row r="9" spans="1:20" x14ac:dyDescent="0.2">
      <c r="A9" s="749" t="s">
        <v>9</v>
      </c>
      <c r="B9" s="749"/>
      <c r="C9" s="749"/>
      <c r="E9" s="14"/>
      <c r="F9" s="15"/>
      <c r="G9" s="16"/>
      <c r="H9" s="17"/>
      <c r="I9" s="62"/>
      <c r="J9" s="17"/>
      <c r="K9" s="63"/>
      <c r="L9" s="64"/>
      <c r="M9" s="64"/>
      <c r="N9" s="14"/>
      <c r="O9" s="14"/>
      <c r="P9" s="14"/>
      <c r="Q9" s="60"/>
      <c r="R9" s="14"/>
      <c r="S9" s="14"/>
    </row>
    <row r="10" spans="1:20" x14ac:dyDescent="0.2">
      <c r="A10" s="18"/>
      <c r="B10" s="19"/>
      <c r="C10" s="18"/>
      <c r="E10" s="14"/>
      <c r="F10" s="15"/>
      <c r="G10" s="16"/>
      <c r="H10" s="17"/>
      <c r="I10" s="62"/>
      <c r="J10" s="17"/>
      <c r="K10" s="63"/>
      <c r="L10" s="64"/>
      <c r="M10" s="64"/>
      <c r="N10" s="14"/>
      <c r="O10" s="14"/>
      <c r="P10" s="14"/>
      <c r="Q10" s="60"/>
      <c r="R10" s="14"/>
      <c r="S10" s="14"/>
    </row>
    <row r="11" spans="1:20" x14ac:dyDescent="0.2">
      <c r="A11" s="750" t="s">
        <v>10</v>
      </c>
      <c r="B11" s="750"/>
      <c r="C11" s="750"/>
      <c r="E11" s="14" t="s">
        <v>11</v>
      </c>
      <c r="F11" s="15"/>
      <c r="G11" s="16"/>
      <c r="H11" s="14"/>
      <c r="I11" s="58"/>
      <c r="J11" s="14"/>
      <c r="K11" s="59"/>
      <c r="L11" s="60"/>
      <c r="M11" s="60"/>
      <c r="N11" s="14"/>
      <c r="O11" s="61"/>
      <c r="P11" s="14"/>
      <c r="Q11" s="60"/>
      <c r="R11" s="14"/>
      <c r="S11" s="14"/>
    </row>
    <row r="12" spans="1:20" x14ac:dyDescent="0.2">
      <c r="A12" s="749" t="s">
        <v>5</v>
      </c>
      <c r="B12" s="749"/>
      <c r="C12" s="749"/>
      <c r="E12" s="14" t="s">
        <v>12</v>
      </c>
      <c r="F12" s="15"/>
      <c r="G12" s="20"/>
      <c r="H12" s="17"/>
      <c r="I12" s="62"/>
      <c r="J12" s="17"/>
      <c r="K12" s="63"/>
      <c r="L12" s="64"/>
      <c r="M12" s="64"/>
      <c r="N12" s="14"/>
      <c r="O12" s="14"/>
      <c r="P12" s="14"/>
      <c r="Q12" s="60"/>
      <c r="R12" s="14"/>
      <c r="S12" s="14"/>
    </row>
    <row r="13" spans="1:20" ht="20.25" customHeight="1" x14ac:dyDescent="0.2">
      <c r="A13" s="14" t="s">
        <v>13</v>
      </c>
      <c r="B13" s="21"/>
      <c r="C13" s="15"/>
      <c r="E13" s="114" t="s">
        <v>14</v>
      </c>
      <c r="F13" s="15"/>
      <c r="G13" s="751"/>
      <c r="H13" s="751"/>
      <c r="I13" s="7"/>
      <c r="J13" s="15"/>
      <c r="K13" s="63"/>
      <c r="L13" s="64"/>
      <c r="M13" s="64"/>
      <c r="N13" s="15"/>
      <c r="O13" s="15"/>
      <c r="P13" s="15"/>
      <c r="Q13" s="64"/>
      <c r="R13" s="15"/>
      <c r="S13" s="15"/>
    </row>
    <row r="14" spans="1:20" x14ac:dyDescent="0.2">
      <c r="A14" s="22"/>
      <c r="B14" s="23"/>
      <c r="C14" s="22"/>
      <c r="D14" s="22"/>
      <c r="E14" s="22"/>
      <c r="F14" s="22"/>
      <c r="G14" s="10"/>
      <c r="H14" s="22"/>
      <c r="I14" s="7"/>
      <c r="J14" s="22"/>
      <c r="K14" s="65"/>
      <c r="L14" s="66"/>
      <c r="M14" s="66"/>
      <c r="N14" s="22"/>
      <c r="O14" s="67"/>
      <c r="P14" s="22"/>
      <c r="Q14" s="66"/>
      <c r="R14" s="22"/>
      <c r="S14" s="22"/>
    </row>
    <row r="15" spans="1:20" s="1" customFormat="1" ht="30" customHeight="1" x14ac:dyDescent="0.2">
      <c r="A15" s="734" t="s">
        <v>15</v>
      </c>
      <c r="B15" s="742" t="s">
        <v>16</v>
      </c>
      <c r="C15" s="734" t="s">
        <v>17</v>
      </c>
      <c r="D15" s="734" t="s">
        <v>18</v>
      </c>
      <c r="E15" s="734"/>
      <c r="F15" s="734" t="s">
        <v>19</v>
      </c>
      <c r="G15" s="734" t="s">
        <v>20</v>
      </c>
      <c r="H15" s="734" t="s">
        <v>21</v>
      </c>
      <c r="I15" s="732" t="s">
        <v>22</v>
      </c>
      <c r="J15" s="732" t="s">
        <v>23</v>
      </c>
      <c r="K15" s="745" t="s">
        <v>24</v>
      </c>
      <c r="L15" s="747" t="s">
        <v>25</v>
      </c>
      <c r="M15" s="747" t="s">
        <v>26</v>
      </c>
      <c r="N15" s="735" t="s">
        <v>102</v>
      </c>
      <c r="O15" s="736"/>
      <c r="P15" s="736"/>
      <c r="Q15" s="736"/>
      <c r="R15" s="737"/>
      <c r="S15" s="732" t="s">
        <v>28</v>
      </c>
      <c r="T15" s="3"/>
    </row>
    <row r="16" spans="1:20" s="1" customFormat="1" ht="68.25" customHeight="1" x14ac:dyDescent="0.2">
      <c r="A16" s="733"/>
      <c r="B16" s="743"/>
      <c r="C16" s="734"/>
      <c r="D16" s="24">
        <v>20</v>
      </c>
      <c r="E16" s="24">
        <v>40</v>
      </c>
      <c r="F16" s="733"/>
      <c r="G16" s="734"/>
      <c r="H16" s="733"/>
      <c r="I16" s="744"/>
      <c r="J16" s="733"/>
      <c r="K16" s="746"/>
      <c r="L16" s="748"/>
      <c r="M16" s="748"/>
      <c r="N16" s="69" t="s">
        <v>29</v>
      </c>
      <c r="O16" s="68" t="s">
        <v>31</v>
      </c>
      <c r="P16" s="68" t="s">
        <v>32</v>
      </c>
      <c r="Q16" s="90" t="s">
        <v>33</v>
      </c>
      <c r="R16" s="68" t="s">
        <v>30</v>
      </c>
      <c r="S16" s="733"/>
      <c r="T16" s="3"/>
    </row>
    <row r="17" spans="1:20" s="1" customFormat="1" ht="33" customHeight="1" x14ac:dyDescent="0.2">
      <c r="A17" s="30">
        <v>1</v>
      </c>
      <c r="B17" s="106">
        <v>45934</v>
      </c>
      <c r="C17" s="107" t="s">
        <v>103</v>
      </c>
      <c r="D17" s="107"/>
      <c r="E17" s="33">
        <v>1</v>
      </c>
      <c r="F17" s="107" t="s">
        <v>104</v>
      </c>
      <c r="G17" s="108" t="s">
        <v>37</v>
      </c>
      <c r="H17" s="33" t="s">
        <v>38</v>
      </c>
      <c r="I17" s="74" t="s">
        <v>39</v>
      </c>
      <c r="J17" s="74" t="s">
        <v>61</v>
      </c>
      <c r="K17" s="75" t="s">
        <v>105</v>
      </c>
      <c r="L17" s="76">
        <v>1500000</v>
      </c>
      <c r="M17" s="76">
        <v>3000000</v>
      </c>
      <c r="N17" s="77">
        <f>4428000/1.08</f>
        <v>4099999.9999999995</v>
      </c>
      <c r="O17" s="77"/>
      <c r="P17" s="77"/>
      <c r="Q17" s="76"/>
      <c r="R17" s="93">
        <f>(O17+P17+Q17+N17)*0.08</f>
        <v>327999.99999999994</v>
      </c>
      <c r="S17" s="94">
        <f>R17+Q17+P17+O17+N17</f>
        <v>4427999.9999999991</v>
      </c>
      <c r="T17" s="2"/>
    </row>
    <row r="18" spans="1:20" s="1" customFormat="1" ht="33" customHeight="1" x14ac:dyDescent="0.2">
      <c r="A18" s="30">
        <v>2</v>
      </c>
      <c r="B18" s="106">
        <v>45934</v>
      </c>
      <c r="C18" s="107" t="s">
        <v>103</v>
      </c>
      <c r="D18" s="107"/>
      <c r="E18" s="33">
        <v>1</v>
      </c>
      <c r="F18" s="107" t="s">
        <v>106</v>
      </c>
      <c r="G18" s="108" t="s">
        <v>37</v>
      </c>
      <c r="H18" s="33" t="s">
        <v>38</v>
      </c>
      <c r="I18" s="74" t="s">
        <v>39</v>
      </c>
      <c r="J18" s="74" t="s">
        <v>40</v>
      </c>
      <c r="K18" s="75" t="s">
        <v>107</v>
      </c>
      <c r="L18" s="76">
        <v>1500000</v>
      </c>
      <c r="M18" s="76"/>
      <c r="N18" s="77">
        <f t="shared" ref="N18:N26" si="0">4428000/1.08</f>
        <v>4099999.9999999995</v>
      </c>
      <c r="O18" s="77"/>
      <c r="P18" s="77"/>
      <c r="Q18" s="76"/>
      <c r="R18" s="93">
        <f t="shared" ref="R18:R36" si="1">(O18+P18+Q18+N18)*0.08</f>
        <v>327999.99999999994</v>
      </c>
      <c r="S18" s="94">
        <f t="shared" ref="S18:S36" si="2">R18+Q18+P18+O18+N18</f>
        <v>4427999.9999999991</v>
      </c>
      <c r="T18" s="2"/>
    </row>
    <row r="19" spans="1:20" s="1" customFormat="1" ht="33" customHeight="1" x14ac:dyDescent="0.2">
      <c r="A19" s="30">
        <v>3</v>
      </c>
      <c r="B19" s="106">
        <v>45934</v>
      </c>
      <c r="C19" s="107" t="s">
        <v>103</v>
      </c>
      <c r="D19" s="107"/>
      <c r="E19" s="33">
        <v>1</v>
      </c>
      <c r="F19" s="107" t="s">
        <v>108</v>
      </c>
      <c r="G19" s="108" t="s">
        <v>37</v>
      </c>
      <c r="H19" s="33" t="s">
        <v>38</v>
      </c>
      <c r="I19" s="74" t="s">
        <v>39</v>
      </c>
      <c r="J19" s="74" t="s">
        <v>87</v>
      </c>
      <c r="K19" s="75" t="s">
        <v>109</v>
      </c>
      <c r="L19" s="76">
        <v>1500000</v>
      </c>
      <c r="M19" s="76"/>
      <c r="N19" s="77">
        <f t="shared" si="0"/>
        <v>4099999.9999999995</v>
      </c>
      <c r="O19" s="77"/>
      <c r="P19" s="77"/>
      <c r="Q19" s="76"/>
      <c r="R19" s="93">
        <f t="shared" si="1"/>
        <v>327999.99999999994</v>
      </c>
      <c r="S19" s="94">
        <f t="shared" si="2"/>
        <v>4427999.9999999991</v>
      </c>
      <c r="T19" s="2"/>
    </row>
    <row r="20" spans="1:20" s="1" customFormat="1" ht="33" customHeight="1" x14ac:dyDescent="0.2">
      <c r="A20" s="30">
        <v>4</v>
      </c>
      <c r="B20" s="106">
        <v>45934</v>
      </c>
      <c r="C20" s="107" t="s">
        <v>103</v>
      </c>
      <c r="D20" s="107"/>
      <c r="E20" s="33">
        <v>1</v>
      </c>
      <c r="F20" s="107" t="s">
        <v>110</v>
      </c>
      <c r="G20" s="108" t="s">
        <v>37</v>
      </c>
      <c r="H20" s="33" t="s">
        <v>38</v>
      </c>
      <c r="I20" s="74" t="s">
        <v>39</v>
      </c>
      <c r="J20" s="74" t="s">
        <v>87</v>
      </c>
      <c r="K20" s="75" t="s">
        <v>111</v>
      </c>
      <c r="L20" s="76">
        <v>1500000</v>
      </c>
      <c r="M20" s="76"/>
      <c r="N20" s="77">
        <f t="shared" si="0"/>
        <v>4099999.9999999995</v>
      </c>
      <c r="O20" s="77"/>
      <c r="P20" s="77"/>
      <c r="Q20" s="76"/>
      <c r="R20" s="93">
        <f t="shared" si="1"/>
        <v>327999.99999999994</v>
      </c>
      <c r="S20" s="94">
        <f t="shared" si="2"/>
        <v>4427999.9999999991</v>
      </c>
      <c r="T20" s="2"/>
    </row>
    <row r="21" spans="1:20" s="1" customFormat="1" ht="33" customHeight="1" x14ac:dyDescent="0.2">
      <c r="A21" s="30">
        <v>5</v>
      </c>
      <c r="B21" s="106">
        <v>45934</v>
      </c>
      <c r="C21" s="107" t="s">
        <v>103</v>
      </c>
      <c r="D21" s="107"/>
      <c r="E21" s="33">
        <v>1</v>
      </c>
      <c r="F21" s="107" t="s">
        <v>112</v>
      </c>
      <c r="G21" s="108" t="s">
        <v>37</v>
      </c>
      <c r="H21" s="33" t="s">
        <v>38</v>
      </c>
      <c r="I21" s="74" t="s">
        <v>39</v>
      </c>
      <c r="J21" s="74" t="s">
        <v>87</v>
      </c>
      <c r="K21" s="75" t="s">
        <v>113</v>
      </c>
      <c r="L21" s="76">
        <v>1500000</v>
      </c>
      <c r="M21" s="76"/>
      <c r="N21" s="77">
        <f t="shared" si="0"/>
        <v>4099999.9999999995</v>
      </c>
      <c r="O21" s="77"/>
      <c r="P21" s="77"/>
      <c r="Q21" s="76"/>
      <c r="R21" s="93">
        <f t="shared" si="1"/>
        <v>327999.99999999994</v>
      </c>
      <c r="S21" s="94">
        <f t="shared" si="2"/>
        <v>4427999.9999999991</v>
      </c>
      <c r="T21" s="2"/>
    </row>
    <row r="22" spans="1:20" s="1" customFormat="1" ht="33" customHeight="1" x14ac:dyDescent="0.2">
      <c r="A22" s="30">
        <v>6</v>
      </c>
      <c r="B22" s="106">
        <v>45934</v>
      </c>
      <c r="C22" s="107" t="s">
        <v>103</v>
      </c>
      <c r="D22" s="107"/>
      <c r="E22" s="33">
        <v>1</v>
      </c>
      <c r="F22" s="107" t="s">
        <v>114</v>
      </c>
      <c r="G22" s="108" t="s">
        <v>37</v>
      </c>
      <c r="H22" s="33" t="s">
        <v>38</v>
      </c>
      <c r="I22" s="74" t="s">
        <v>39</v>
      </c>
      <c r="J22" s="74" t="s">
        <v>40</v>
      </c>
      <c r="K22" s="75" t="s">
        <v>115</v>
      </c>
      <c r="L22" s="76">
        <v>1500000</v>
      </c>
      <c r="M22" s="76"/>
      <c r="N22" s="77">
        <f t="shared" si="0"/>
        <v>4099999.9999999995</v>
      </c>
      <c r="O22" s="77"/>
      <c r="P22" s="77"/>
      <c r="Q22" s="76"/>
      <c r="R22" s="93">
        <f t="shared" si="1"/>
        <v>327999.99999999994</v>
      </c>
      <c r="S22" s="94">
        <f t="shared" si="2"/>
        <v>4427999.9999999991</v>
      </c>
      <c r="T22" s="2"/>
    </row>
    <row r="23" spans="1:20" s="1" customFormat="1" ht="33" customHeight="1" x14ac:dyDescent="0.2">
      <c r="A23" s="30">
        <v>7</v>
      </c>
      <c r="B23" s="106">
        <v>45934</v>
      </c>
      <c r="C23" s="107" t="s">
        <v>103</v>
      </c>
      <c r="D23" s="107"/>
      <c r="E23" s="33">
        <v>1</v>
      </c>
      <c r="F23" s="107" t="s">
        <v>116</v>
      </c>
      <c r="G23" s="108" t="s">
        <v>37</v>
      </c>
      <c r="H23" s="33" t="s">
        <v>38</v>
      </c>
      <c r="I23" s="74" t="s">
        <v>39</v>
      </c>
      <c r="J23" s="74" t="s">
        <v>87</v>
      </c>
      <c r="K23" s="75" t="s">
        <v>117</v>
      </c>
      <c r="L23" s="76">
        <v>1500000</v>
      </c>
      <c r="M23" s="76"/>
      <c r="N23" s="77">
        <f t="shared" si="0"/>
        <v>4099999.9999999995</v>
      </c>
      <c r="O23" s="77"/>
      <c r="P23" s="77"/>
      <c r="Q23" s="76"/>
      <c r="R23" s="93">
        <f t="shared" si="1"/>
        <v>327999.99999999994</v>
      </c>
      <c r="S23" s="94">
        <f t="shared" si="2"/>
        <v>4427999.9999999991</v>
      </c>
      <c r="T23" s="2"/>
    </row>
    <row r="24" spans="1:20" s="1" customFormat="1" ht="33" customHeight="1" x14ac:dyDescent="0.2">
      <c r="A24" s="30">
        <v>8</v>
      </c>
      <c r="B24" s="106">
        <v>45934</v>
      </c>
      <c r="C24" s="107" t="s">
        <v>103</v>
      </c>
      <c r="D24" s="107"/>
      <c r="E24" s="33">
        <v>1</v>
      </c>
      <c r="F24" s="107" t="s">
        <v>118</v>
      </c>
      <c r="G24" s="108" t="s">
        <v>37</v>
      </c>
      <c r="H24" s="33" t="s">
        <v>38</v>
      </c>
      <c r="I24" s="74" t="s">
        <v>39</v>
      </c>
      <c r="J24" s="74" t="s">
        <v>87</v>
      </c>
      <c r="K24" s="75" t="s">
        <v>119</v>
      </c>
      <c r="L24" s="76">
        <v>1500000</v>
      </c>
      <c r="M24" s="76"/>
      <c r="N24" s="77">
        <f t="shared" si="0"/>
        <v>4099999.9999999995</v>
      </c>
      <c r="O24" s="77"/>
      <c r="P24" s="77"/>
      <c r="Q24" s="76"/>
      <c r="R24" s="93">
        <f t="shared" si="1"/>
        <v>327999.99999999994</v>
      </c>
      <c r="S24" s="94">
        <f t="shared" si="2"/>
        <v>4427999.9999999991</v>
      </c>
      <c r="T24" s="2"/>
    </row>
    <row r="25" spans="1:20" s="1" customFormat="1" ht="33" customHeight="1" x14ac:dyDescent="0.2">
      <c r="A25" s="30">
        <v>9</v>
      </c>
      <c r="B25" s="106">
        <v>45934</v>
      </c>
      <c r="C25" s="107" t="s">
        <v>103</v>
      </c>
      <c r="D25" s="107"/>
      <c r="E25" s="33">
        <v>1</v>
      </c>
      <c r="F25" s="107" t="s">
        <v>120</v>
      </c>
      <c r="G25" s="108" t="s">
        <v>37</v>
      </c>
      <c r="H25" s="33" t="s">
        <v>38</v>
      </c>
      <c r="I25" s="74" t="s">
        <v>39</v>
      </c>
      <c r="J25" s="74" t="s">
        <v>87</v>
      </c>
      <c r="K25" s="75" t="s">
        <v>121</v>
      </c>
      <c r="L25" s="76">
        <v>1500000</v>
      </c>
      <c r="M25" s="76"/>
      <c r="N25" s="77">
        <f t="shared" si="0"/>
        <v>4099999.9999999995</v>
      </c>
      <c r="O25" s="77"/>
      <c r="P25" s="77"/>
      <c r="Q25" s="76"/>
      <c r="R25" s="93">
        <f t="shared" si="1"/>
        <v>327999.99999999994</v>
      </c>
      <c r="S25" s="94">
        <f t="shared" si="2"/>
        <v>4427999.9999999991</v>
      </c>
      <c r="T25" s="2"/>
    </row>
    <row r="26" spans="1:20" s="1" customFormat="1" ht="33" customHeight="1" x14ac:dyDescent="0.2">
      <c r="A26" s="30">
        <v>10</v>
      </c>
      <c r="B26" s="106">
        <v>45934</v>
      </c>
      <c r="C26" s="107" t="s">
        <v>103</v>
      </c>
      <c r="D26" s="107"/>
      <c r="E26" s="33">
        <v>1</v>
      </c>
      <c r="F26" s="107" t="s">
        <v>122</v>
      </c>
      <c r="G26" s="108" t="s">
        <v>37</v>
      </c>
      <c r="H26" s="33" t="s">
        <v>38</v>
      </c>
      <c r="I26" s="74" t="s">
        <v>39</v>
      </c>
      <c r="J26" s="74" t="s">
        <v>87</v>
      </c>
      <c r="K26" s="75" t="s">
        <v>123</v>
      </c>
      <c r="L26" s="76">
        <v>1500000</v>
      </c>
      <c r="M26" s="76"/>
      <c r="N26" s="77">
        <f t="shared" si="0"/>
        <v>4099999.9999999995</v>
      </c>
      <c r="O26" s="77"/>
      <c r="P26" s="77"/>
      <c r="Q26" s="76"/>
      <c r="R26" s="93">
        <f t="shared" si="1"/>
        <v>327999.99999999994</v>
      </c>
      <c r="S26" s="94">
        <f t="shared" si="2"/>
        <v>4427999.9999999991</v>
      </c>
      <c r="T26" s="2"/>
    </row>
    <row r="27" spans="1:20" s="1" customFormat="1" ht="33" customHeight="1" x14ac:dyDescent="0.2">
      <c r="A27" s="30">
        <v>11</v>
      </c>
      <c r="B27" s="106" t="s">
        <v>71</v>
      </c>
      <c r="C27" s="107" t="s">
        <v>124</v>
      </c>
      <c r="D27" s="107"/>
      <c r="E27" s="33">
        <v>1</v>
      </c>
      <c r="F27" s="107" t="s">
        <v>125</v>
      </c>
      <c r="G27" s="108" t="s">
        <v>37</v>
      </c>
      <c r="H27" s="33" t="s">
        <v>38</v>
      </c>
      <c r="I27" s="74" t="s">
        <v>39</v>
      </c>
      <c r="J27" s="74" t="s">
        <v>74</v>
      </c>
      <c r="K27" s="75" t="s">
        <v>126</v>
      </c>
      <c r="L27" s="76">
        <v>1500000</v>
      </c>
      <c r="M27" s="76"/>
      <c r="N27" s="77">
        <v>4100000</v>
      </c>
      <c r="O27" s="77"/>
      <c r="P27" s="77"/>
      <c r="Q27" s="76"/>
      <c r="R27" s="93">
        <f t="shared" si="1"/>
        <v>328000</v>
      </c>
      <c r="S27" s="94">
        <f t="shared" si="2"/>
        <v>4428000</v>
      </c>
      <c r="T27" s="2"/>
    </row>
    <row r="28" spans="1:20" s="1" customFormat="1" ht="33" customHeight="1" x14ac:dyDescent="0.2">
      <c r="A28" s="30">
        <v>12</v>
      </c>
      <c r="B28" s="106" t="s">
        <v>71</v>
      </c>
      <c r="C28" s="107" t="s">
        <v>124</v>
      </c>
      <c r="D28" s="107"/>
      <c r="E28" s="33">
        <v>1</v>
      </c>
      <c r="F28" s="107" t="s">
        <v>127</v>
      </c>
      <c r="G28" s="108" t="s">
        <v>37</v>
      </c>
      <c r="H28" s="33" t="s">
        <v>38</v>
      </c>
      <c r="I28" s="74" t="s">
        <v>39</v>
      </c>
      <c r="J28" s="74" t="s">
        <v>74</v>
      </c>
      <c r="K28" s="75" t="s">
        <v>128</v>
      </c>
      <c r="L28" s="76">
        <v>1500000</v>
      </c>
      <c r="M28" s="76"/>
      <c r="N28" s="77">
        <v>4100000</v>
      </c>
      <c r="O28" s="77"/>
      <c r="P28" s="77"/>
      <c r="Q28" s="76"/>
      <c r="R28" s="93">
        <f t="shared" si="1"/>
        <v>328000</v>
      </c>
      <c r="S28" s="94">
        <f t="shared" si="2"/>
        <v>4428000</v>
      </c>
      <c r="T28" s="2"/>
    </row>
    <row r="29" spans="1:20" s="1" customFormat="1" ht="33" customHeight="1" x14ac:dyDescent="0.2">
      <c r="A29" s="30">
        <v>13</v>
      </c>
      <c r="B29" s="106" t="s">
        <v>71</v>
      </c>
      <c r="C29" s="107" t="s">
        <v>124</v>
      </c>
      <c r="D29" s="107"/>
      <c r="E29" s="33">
        <v>1</v>
      </c>
      <c r="F29" s="107" t="s">
        <v>129</v>
      </c>
      <c r="G29" s="108" t="s">
        <v>37</v>
      </c>
      <c r="H29" s="33" t="s">
        <v>38</v>
      </c>
      <c r="I29" s="74" t="s">
        <v>39</v>
      </c>
      <c r="J29" s="74" t="s">
        <v>74</v>
      </c>
      <c r="K29" s="75" t="s">
        <v>130</v>
      </c>
      <c r="L29" s="76">
        <v>1500000</v>
      </c>
      <c r="M29" s="76"/>
      <c r="N29" s="77">
        <v>4100000</v>
      </c>
      <c r="O29" s="77"/>
      <c r="P29" s="77"/>
      <c r="Q29" s="76"/>
      <c r="R29" s="93">
        <f t="shared" si="1"/>
        <v>328000</v>
      </c>
      <c r="S29" s="94">
        <f t="shared" si="2"/>
        <v>4428000</v>
      </c>
      <c r="T29" s="2"/>
    </row>
    <row r="30" spans="1:20" s="1" customFormat="1" ht="33" customHeight="1" x14ac:dyDescent="0.2">
      <c r="A30" s="30">
        <v>14</v>
      </c>
      <c r="B30" s="106" t="s">
        <v>71</v>
      </c>
      <c r="C30" s="107" t="s">
        <v>124</v>
      </c>
      <c r="D30" s="107"/>
      <c r="E30" s="33">
        <v>1</v>
      </c>
      <c r="F30" s="107" t="s">
        <v>131</v>
      </c>
      <c r="G30" s="108" t="s">
        <v>37</v>
      </c>
      <c r="H30" s="33" t="s">
        <v>38</v>
      </c>
      <c r="I30" s="74" t="s">
        <v>39</v>
      </c>
      <c r="J30" s="74" t="s">
        <v>74</v>
      </c>
      <c r="K30" s="75" t="s">
        <v>132</v>
      </c>
      <c r="L30" s="76">
        <v>1500000</v>
      </c>
      <c r="M30" s="76"/>
      <c r="N30" s="77">
        <v>4100000</v>
      </c>
      <c r="O30" s="77"/>
      <c r="P30" s="77"/>
      <c r="Q30" s="76"/>
      <c r="R30" s="93">
        <f t="shared" si="1"/>
        <v>328000</v>
      </c>
      <c r="S30" s="94">
        <f t="shared" si="2"/>
        <v>4428000</v>
      </c>
      <c r="T30" s="2"/>
    </row>
    <row r="31" spans="1:20" s="1" customFormat="1" ht="33" customHeight="1" x14ac:dyDescent="0.2">
      <c r="A31" s="30">
        <v>15</v>
      </c>
      <c r="B31" s="106" t="s">
        <v>71</v>
      </c>
      <c r="C31" s="107" t="s">
        <v>124</v>
      </c>
      <c r="D31" s="107"/>
      <c r="E31" s="33">
        <v>1</v>
      </c>
      <c r="F31" s="107" t="s">
        <v>133</v>
      </c>
      <c r="G31" s="108" t="s">
        <v>37</v>
      </c>
      <c r="H31" s="33" t="s">
        <v>38</v>
      </c>
      <c r="I31" s="74" t="s">
        <v>39</v>
      </c>
      <c r="J31" s="74" t="s">
        <v>74</v>
      </c>
      <c r="K31" s="75" t="s">
        <v>134</v>
      </c>
      <c r="L31" s="76">
        <v>1500000</v>
      </c>
      <c r="M31" s="76"/>
      <c r="N31" s="77">
        <v>4100000</v>
      </c>
      <c r="O31" s="77"/>
      <c r="P31" s="77"/>
      <c r="Q31" s="76"/>
      <c r="R31" s="93">
        <f t="shared" si="1"/>
        <v>328000</v>
      </c>
      <c r="S31" s="94">
        <f t="shared" si="2"/>
        <v>4428000</v>
      </c>
      <c r="T31" s="2"/>
    </row>
    <row r="32" spans="1:20" s="1" customFormat="1" ht="33" customHeight="1" x14ac:dyDescent="0.2">
      <c r="A32" s="30">
        <v>16</v>
      </c>
      <c r="B32" s="106" t="s">
        <v>135</v>
      </c>
      <c r="C32" s="107" t="s">
        <v>124</v>
      </c>
      <c r="D32" s="107"/>
      <c r="E32" s="33">
        <v>1</v>
      </c>
      <c r="F32" s="107" t="s">
        <v>136</v>
      </c>
      <c r="G32" s="108" t="s">
        <v>37</v>
      </c>
      <c r="H32" s="33" t="s">
        <v>38</v>
      </c>
      <c r="I32" s="74" t="s">
        <v>39</v>
      </c>
      <c r="J32" s="74" t="s">
        <v>74</v>
      </c>
      <c r="K32" s="75" t="s">
        <v>137</v>
      </c>
      <c r="L32" s="76">
        <v>1500000</v>
      </c>
      <c r="M32" s="76"/>
      <c r="N32" s="77">
        <v>4100000</v>
      </c>
      <c r="O32" s="77"/>
      <c r="P32" s="77"/>
      <c r="Q32" s="76"/>
      <c r="R32" s="93">
        <f t="shared" si="1"/>
        <v>328000</v>
      </c>
      <c r="S32" s="94">
        <f t="shared" si="2"/>
        <v>4428000</v>
      </c>
      <c r="T32" s="2"/>
    </row>
    <row r="33" spans="1:20" s="1" customFormat="1" ht="33" customHeight="1" x14ac:dyDescent="0.2">
      <c r="A33" s="30">
        <v>17</v>
      </c>
      <c r="B33" s="106" t="s">
        <v>135</v>
      </c>
      <c r="C33" s="107" t="s">
        <v>124</v>
      </c>
      <c r="D33" s="107"/>
      <c r="E33" s="33">
        <v>1</v>
      </c>
      <c r="F33" s="107" t="s">
        <v>138</v>
      </c>
      <c r="G33" s="108" t="s">
        <v>37</v>
      </c>
      <c r="H33" s="33" t="s">
        <v>38</v>
      </c>
      <c r="I33" s="74" t="s">
        <v>39</v>
      </c>
      <c r="J33" s="74" t="s">
        <v>74</v>
      </c>
      <c r="K33" s="75" t="s">
        <v>139</v>
      </c>
      <c r="L33" s="76">
        <v>1500000</v>
      </c>
      <c r="M33" s="76"/>
      <c r="N33" s="77">
        <v>4100000</v>
      </c>
      <c r="O33" s="77"/>
      <c r="P33" s="77"/>
      <c r="Q33" s="76"/>
      <c r="R33" s="93">
        <f t="shared" si="1"/>
        <v>328000</v>
      </c>
      <c r="S33" s="94">
        <f t="shared" si="2"/>
        <v>4428000</v>
      </c>
      <c r="T33" s="2"/>
    </row>
    <row r="34" spans="1:20" s="1" customFormat="1" ht="33" customHeight="1" x14ac:dyDescent="0.2">
      <c r="A34" s="30">
        <v>18</v>
      </c>
      <c r="B34" s="106" t="s">
        <v>135</v>
      </c>
      <c r="C34" s="107" t="s">
        <v>124</v>
      </c>
      <c r="D34" s="107"/>
      <c r="E34" s="33">
        <v>1</v>
      </c>
      <c r="F34" s="107" t="s">
        <v>140</v>
      </c>
      <c r="G34" s="108" t="s">
        <v>37</v>
      </c>
      <c r="H34" s="33" t="s">
        <v>38</v>
      </c>
      <c r="I34" s="74" t="s">
        <v>39</v>
      </c>
      <c r="J34" s="74" t="s">
        <v>74</v>
      </c>
      <c r="K34" s="75" t="s">
        <v>141</v>
      </c>
      <c r="L34" s="76">
        <v>1500000</v>
      </c>
      <c r="M34" s="76"/>
      <c r="N34" s="77">
        <v>4100000</v>
      </c>
      <c r="O34" s="77"/>
      <c r="P34" s="77"/>
      <c r="Q34" s="76"/>
      <c r="R34" s="93">
        <f t="shared" si="1"/>
        <v>328000</v>
      </c>
      <c r="S34" s="94">
        <f t="shared" si="2"/>
        <v>4428000</v>
      </c>
      <c r="T34" s="2"/>
    </row>
    <row r="35" spans="1:20" s="1" customFormat="1" ht="33" customHeight="1" x14ac:dyDescent="0.2">
      <c r="A35" s="30">
        <v>19</v>
      </c>
      <c r="B35" s="106" t="s">
        <v>135</v>
      </c>
      <c r="C35" s="107" t="s">
        <v>124</v>
      </c>
      <c r="D35" s="107"/>
      <c r="E35" s="33">
        <v>1</v>
      </c>
      <c r="F35" s="107" t="s">
        <v>142</v>
      </c>
      <c r="G35" s="108" t="s">
        <v>37</v>
      </c>
      <c r="H35" s="33" t="s">
        <v>38</v>
      </c>
      <c r="I35" s="74" t="s">
        <v>39</v>
      </c>
      <c r="J35" s="74" t="s">
        <v>74</v>
      </c>
      <c r="K35" s="75" t="s">
        <v>143</v>
      </c>
      <c r="L35" s="76">
        <v>1500000</v>
      </c>
      <c r="M35" s="76"/>
      <c r="N35" s="77">
        <v>4100000</v>
      </c>
      <c r="O35" s="77"/>
      <c r="P35" s="77"/>
      <c r="Q35" s="76"/>
      <c r="R35" s="93">
        <f t="shared" si="1"/>
        <v>328000</v>
      </c>
      <c r="S35" s="94">
        <f t="shared" si="2"/>
        <v>4428000</v>
      </c>
      <c r="T35" s="2"/>
    </row>
    <row r="36" spans="1:20" s="1" customFormat="1" ht="33" customHeight="1" x14ac:dyDescent="0.2">
      <c r="A36" s="30">
        <v>20</v>
      </c>
      <c r="B36" s="106" t="s">
        <v>135</v>
      </c>
      <c r="C36" s="107" t="s">
        <v>124</v>
      </c>
      <c r="D36" s="107"/>
      <c r="E36" s="33">
        <v>1</v>
      </c>
      <c r="F36" s="107" t="s">
        <v>144</v>
      </c>
      <c r="G36" s="108" t="s">
        <v>37</v>
      </c>
      <c r="H36" s="33" t="s">
        <v>38</v>
      </c>
      <c r="I36" s="74" t="s">
        <v>39</v>
      </c>
      <c r="J36" s="74" t="s">
        <v>74</v>
      </c>
      <c r="K36" s="75" t="s">
        <v>145</v>
      </c>
      <c r="L36" s="76">
        <v>1500000</v>
      </c>
      <c r="M36" s="76"/>
      <c r="N36" s="77">
        <v>4100000</v>
      </c>
      <c r="O36" s="77"/>
      <c r="P36" s="77"/>
      <c r="Q36" s="76"/>
      <c r="R36" s="93">
        <f t="shared" si="1"/>
        <v>328000</v>
      </c>
      <c r="S36" s="94">
        <f t="shared" si="2"/>
        <v>4428000</v>
      </c>
      <c r="T36" s="2"/>
    </row>
    <row r="37" spans="1:20" ht="33" customHeight="1" x14ac:dyDescent="0.2">
      <c r="A37" s="738" t="s">
        <v>52</v>
      </c>
      <c r="B37" s="739"/>
      <c r="C37" s="740"/>
      <c r="D37" s="45">
        <f>SUM(D17:D36)</f>
        <v>0</v>
      </c>
      <c r="E37" s="45">
        <f>SUM(E17:E36)</f>
        <v>20</v>
      </c>
      <c r="F37" s="46"/>
      <c r="G37" s="47"/>
      <c r="H37" s="46"/>
      <c r="I37" s="74"/>
      <c r="J37" s="46"/>
      <c r="K37" s="86"/>
      <c r="L37" s="87">
        <f t="shared" ref="L37:S37" si="3">SUM(L17:L36)</f>
        <v>30000000</v>
      </c>
      <c r="M37" s="87">
        <f t="shared" si="3"/>
        <v>3000000</v>
      </c>
      <c r="N37" s="87">
        <f t="shared" si="3"/>
        <v>82000000</v>
      </c>
      <c r="O37" s="87">
        <f t="shared" si="3"/>
        <v>0</v>
      </c>
      <c r="P37" s="87">
        <f t="shared" si="3"/>
        <v>0</v>
      </c>
      <c r="Q37" s="87">
        <f t="shared" si="3"/>
        <v>0</v>
      </c>
      <c r="R37" s="87">
        <f t="shared" si="3"/>
        <v>6560000</v>
      </c>
      <c r="S37" s="87">
        <f t="shared" si="3"/>
        <v>88560000</v>
      </c>
      <c r="T37" s="2"/>
    </row>
    <row r="38" spans="1:20" ht="18" customHeight="1" x14ac:dyDescent="0.2">
      <c r="A38" s="48" t="s">
        <v>53</v>
      </c>
      <c r="B38" s="48"/>
      <c r="H38" s="15"/>
      <c r="I38" s="10"/>
      <c r="J38" s="15"/>
      <c r="K38" s="63"/>
      <c r="L38" s="64"/>
      <c r="M38" s="64"/>
      <c r="N38" s="15"/>
      <c r="O38" s="15"/>
      <c r="P38" s="15"/>
      <c r="Q38" s="64"/>
      <c r="R38" s="15"/>
      <c r="S38" s="15"/>
    </row>
    <row r="39" spans="1:20" s="2" customFormat="1" ht="23.25" customHeight="1" x14ac:dyDescent="0.2">
      <c r="A39" s="49"/>
      <c r="B39" s="50"/>
      <c r="C39" s="51" t="s">
        <v>29</v>
      </c>
      <c r="D39" s="52"/>
      <c r="E39" s="52"/>
      <c r="F39" s="52">
        <f>S37</f>
        <v>88560000</v>
      </c>
      <c r="G39" s="53"/>
      <c r="H39" s="54"/>
      <c r="I39" s="12"/>
      <c r="J39" s="54"/>
      <c r="K39" s="88"/>
      <c r="L39" s="89"/>
      <c r="M39" s="89"/>
      <c r="N39" s="54"/>
      <c r="O39" s="54"/>
      <c r="P39" s="54"/>
      <c r="Q39" s="89"/>
      <c r="R39" s="54"/>
      <c r="S39" s="54"/>
    </row>
    <row r="40" spans="1:20" x14ac:dyDescent="0.2">
      <c r="A40" s="15"/>
      <c r="B40" s="99"/>
      <c r="C40" s="54" t="s">
        <v>54</v>
      </c>
      <c r="D40" s="15"/>
      <c r="E40" s="15"/>
      <c r="F40" s="100">
        <f>L37</f>
        <v>30000000</v>
      </c>
      <c r="G40" s="10"/>
      <c r="H40" s="15"/>
      <c r="I40" s="7"/>
      <c r="J40" s="15"/>
      <c r="K40" s="63"/>
      <c r="L40" s="64"/>
      <c r="M40" s="64"/>
      <c r="N40" s="15"/>
      <c r="O40" s="15"/>
      <c r="P40" s="15"/>
      <c r="Q40" s="64"/>
      <c r="R40" s="15"/>
      <c r="S40" s="15"/>
    </row>
    <row r="41" spans="1:20" x14ac:dyDescent="0.2">
      <c r="A41" s="15"/>
      <c r="B41" s="99"/>
      <c r="C41" s="54" t="s">
        <v>55</v>
      </c>
      <c r="D41" s="15"/>
      <c r="E41" s="15"/>
      <c r="F41" s="100">
        <f>M37</f>
        <v>3000000</v>
      </c>
      <c r="G41" s="10"/>
      <c r="H41" s="15"/>
      <c r="I41" s="7"/>
      <c r="J41" s="15"/>
      <c r="K41" s="63"/>
      <c r="L41" s="64"/>
      <c r="M41" s="64"/>
      <c r="N41" s="15"/>
      <c r="O41" s="15"/>
      <c r="P41" s="15"/>
      <c r="Q41" s="64"/>
      <c r="R41" s="15"/>
      <c r="S41" s="15"/>
    </row>
    <row r="42" spans="1:20" ht="23.25" customHeight="1" x14ac:dyDescent="0.2">
      <c r="A42" s="741" t="s">
        <v>56</v>
      </c>
      <c r="B42" s="741"/>
      <c r="C42" s="741"/>
      <c r="D42" s="741"/>
      <c r="E42" s="741"/>
      <c r="F42" s="741"/>
      <c r="G42" s="101"/>
      <c r="H42" s="102"/>
      <c r="I42" s="104"/>
      <c r="J42" s="741" t="s">
        <v>57</v>
      </c>
      <c r="K42" s="741"/>
      <c r="L42" s="741"/>
      <c r="M42" s="741"/>
      <c r="N42" s="741"/>
      <c r="O42" s="741"/>
      <c r="P42" s="741"/>
      <c r="Q42" s="741"/>
      <c r="R42" s="741"/>
      <c r="S42" s="12"/>
    </row>
    <row r="43" spans="1:20" x14ac:dyDescent="0.2">
      <c r="G43" s="103"/>
      <c r="I43" s="105"/>
    </row>
    <row r="44" spans="1:20" x14ac:dyDescent="0.2">
      <c r="G44" s="103"/>
      <c r="I44" s="105"/>
    </row>
    <row r="45" spans="1:20" x14ac:dyDescent="0.2">
      <c r="G45" s="103"/>
      <c r="I45" s="105"/>
    </row>
    <row r="46" spans="1:20" x14ac:dyDescent="0.2">
      <c r="G46" s="103"/>
      <c r="I46" s="105"/>
    </row>
    <row r="47" spans="1:20" x14ac:dyDescent="0.2">
      <c r="G47" s="103"/>
      <c r="I47" s="105"/>
    </row>
    <row r="48" spans="1:20" x14ac:dyDescent="0.2">
      <c r="G48" s="103"/>
      <c r="I48" s="105"/>
    </row>
    <row r="49" spans="7:9" x14ac:dyDescent="0.2">
      <c r="G49" s="103"/>
      <c r="I49" s="105"/>
    </row>
    <row r="50" spans="7:9" x14ac:dyDescent="0.2">
      <c r="G50" s="103"/>
      <c r="I50" s="105"/>
    </row>
    <row r="51" spans="7:9" x14ac:dyDescent="0.2">
      <c r="G51" s="103"/>
      <c r="I51" s="105"/>
    </row>
    <row r="52" spans="7:9" x14ac:dyDescent="0.2">
      <c r="G52" s="103"/>
      <c r="I52" s="105"/>
    </row>
    <row r="53" spans="7:9" x14ac:dyDescent="0.2">
      <c r="G53" s="103"/>
      <c r="I53" s="105"/>
    </row>
    <row r="54" spans="7:9" x14ac:dyDescent="0.2">
      <c r="G54" s="103"/>
      <c r="I54" s="105"/>
    </row>
    <row r="55" spans="7:9" x14ac:dyDescent="0.2">
      <c r="G55" s="103"/>
      <c r="I55" s="105"/>
    </row>
    <row r="56" spans="7:9" x14ac:dyDescent="0.2">
      <c r="G56" s="103"/>
      <c r="I56" s="105"/>
    </row>
    <row r="57" spans="7:9" x14ac:dyDescent="0.2">
      <c r="G57" s="103"/>
      <c r="I57" s="105"/>
    </row>
    <row r="58" spans="7:9" x14ac:dyDescent="0.2">
      <c r="G58" s="103"/>
      <c r="I58" s="105"/>
    </row>
    <row r="59" spans="7:9" x14ac:dyDescent="0.2">
      <c r="G59" s="103"/>
      <c r="I59" s="105"/>
    </row>
    <row r="60" spans="7:9" x14ac:dyDescent="0.2">
      <c r="G60" s="103"/>
      <c r="I60" s="105"/>
    </row>
    <row r="61" spans="7:9" x14ac:dyDescent="0.2">
      <c r="G61" s="103"/>
      <c r="I61" s="105"/>
    </row>
    <row r="62" spans="7:9" x14ac:dyDescent="0.2">
      <c r="G62" s="103"/>
      <c r="I62" s="105"/>
    </row>
    <row r="63" spans="7:9" x14ac:dyDescent="0.2">
      <c r="G63" s="103"/>
      <c r="I63" s="105"/>
    </row>
    <row r="64" spans="7:9" x14ac:dyDescent="0.2">
      <c r="G64" s="103"/>
      <c r="I64" s="105"/>
    </row>
    <row r="65" spans="7:9" x14ac:dyDescent="0.2">
      <c r="G65" s="103"/>
      <c r="I65" s="105"/>
    </row>
    <row r="66" spans="7:9" x14ac:dyDescent="0.2">
      <c r="G66" s="103"/>
      <c r="I66" s="105"/>
    </row>
    <row r="67" spans="7:9" x14ac:dyDescent="0.2">
      <c r="G67" s="103"/>
      <c r="I67" s="105"/>
    </row>
    <row r="68" spans="7:9" x14ac:dyDescent="0.2">
      <c r="G68" s="103"/>
      <c r="I68" s="105"/>
    </row>
    <row r="69" spans="7:9" x14ac:dyDescent="0.2">
      <c r="G69" s="103"/>
      <c r="I69" s="105"/>
    </row>
    <row r="70" spans="7:9" x14ac:dyDescent="0.2">
      <c r="G70" s="103"/>
      <c r="I70" s="105"/>
    </row>
    <row r="71" spans="7:9" x14ac:dyDescent="0.2">
      <c r="G71" s="103"/>
      <c r="I71" s="105"/>
    </row>
    <row r="72" spans="7:9" x14ac:dyDescent="0.2">
      <c r="G72" s="103"/>
      <c r="I72" s="105"/>
    </row>
    <row r="73" spans="7:9" x14ac:dyDescent="0.2">
      <c r="G73" s="103"/>
      <c r="I73" s="105"/>
    </row>
    <row r="74" spans="7:9" x14ac:dyDescent="0.2">
      <c r="G74" s="103"/>
      <c r="I74" s="105"/>
    </row>
    <row r="75" spans="7:9" x14ac:dyDescent="0.2">
      <c r="G75" s="103"/>
      <c r="I75" s="105"/>
    </row>
    <row r="76" spans="7:9" x14ac:dyDescent="0.2">
      <c r="G76" s="103"/>
      <c r="I76" s="105"/>
    </row>
    <row r="77" spans="7:9" x14ac:dyDescent="0.2">
      <c r="G77" s="103"/>
      <c r="I77" s="105"/>
    </row>
    <row r="78" spans="7:9" x14ac:dyDescent="0.2">
      <c r="G78" s="103"/>
      <c r="I78" s="105"/>
    </row>
    <row r="79" spans="7:9" x14ac:dyDescent="0.2">
      <c r="G79" s="103"/>
      <c r="I79" s="105"/>
    </row>
    <row r="80" spans="7:9" x14ac:dyDescent="0.2">
      <c r="G80" s="103"/>
      <c r="I80" s="105"/>
    </row>
    <row r="81" spans="7:9" x14ac:dyDescent="0.2">
      <c r="G81" s="103"/>
      <c r="I81" s="105"/>
    </row>
    <row r="82" spans="7:9" x14ac:dyDescent="0.2">
      <c r="G82" s="103"/>
      <c r="I82" s="105"/>
    </row>
    <row r="83" spans="7:9" x14ac:dyDescent="0.2">
      <c r="G83" s="103"/>
      <c r="I83" s="105"/>
    </row>
  </sheetData>
  <autoFilter ref="A16:S42" xr:uid="{00000000-0009-0000-0000-000002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37:C37"/>
    <mergeCell ref="A42:F42"/>
    <mergeCell ref="J42:R42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108"/>
  <sheetViews>
    <sheetView topLeftCell="A34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customWidth="1"/>
    <col min="16" max="16" width="16.5" style="3" customWidth="1"/>
    <col min="17" max="17" width="17.1640625" style="6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11"/>
      <c r="I1" s="9"/>
      <c r="J1" s="11"/>
      <c r="K1" s="55"/>
      <c r="N1" s="11"/>
      <c r="O1" s="11"/>
      <c r="P1" s="11"/>
      <c r="R1" s="11"/>
      <c r="S1" s="11"/>
    </row>
    <row r="2" spans="1:20" ht="30.5" customHeight="1" x14ac:dyDescent="0.2">
      <c r="A2" s="741" t="s">
        <v>0</v>
      </c>
      <c r="B2" s="741"/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</row>
    <row r="3" spans="1:20" x14ac:dyDescent="0.2">
      <c r="A3" s="752" t="s">
        <v>146</v>
      </c>
      <c r="B3" s="752"/>
      <c r="C3" s="752"/>
      <c r="D3" s="752"/>
      <c r="E3" s="752"/>
      <c r="F3" s="752"/>
      <c r="G3" s="752"/>
      <c r="H3" s="752"/>
      <c r="I3" s="752"/>
      <c r="J3" s="752"/>
      <c r="K3" s="752"/>
      <c r="L3" s="752"/>
      <c r="M3" s="752"/>
      <c r="N3" s="752"/>
      <c r="O3" s="752"/>
      <c r="P3" s="752"/>
      <c r="Q3" s="752"/>
      <c r="R3" s="752"/>
      <c r="S3" s="752"/>
    </row>
    <row r="4" spans="1:20" ht="4.5" customHeight="1" x14ac:dyDescent="0.2">
      <c r="A4" s="752" t="s">
        <v>2</v>
      </c>
      <c r="B4" s="752"/>
      <c r="C4" s="752"/>
      <c r="D4" s="752"/>
      <c r="E4" s="752"/>
      <c r="F4" s="752"/>
      <c r="G4" s="752"/>
      <c r="H4" s="752"/>
      <c r="I4" s="752"/>
      <c r="J4" s="752"/>
      <c r="K4" s="752"/>
      <c r="L4" s="752"/>
      <c r="M4" s="752"/>
      <c r="N4" s="752"/>
      <c r="O4" s="752"/>
      <c r="P4" s="752"/>
      <c r="Q4" s="752"/>
      <c r="R4" s="752"/>
      <c r="S4" s="752"/>
    </row>
    <row r="5" spans="1:20" ht="4.5" customHeight="1" x14ac:dyDescent="0.2">
      <c r="A5" s="7"/>
      <c r="B5" s="13"/>
      <c r="C5" s="7"/>
      <c r="D5" s="7"/>
      <c r="E5" s="7"/>
      <c r="F5" s="7"/>
      <c r="G5" s="10"/>
      <c r="H5" s="7"/>
      <c r="I5" s="7"/>
      <c r="J5" s="7"/>
      <c r="K5" s="56"/>
      <c r="L5" s="57"/>
      <c r="M5" s="57"/>
      <c r="N5" s="7"/>
      <c r="O5" s="7"/>
      <c r="P5" s="7"/>
      <c r="Q5" s="57"/>
      <c r="R5" s="7"/>
      <c r="S5" s="7"/>
    </row>
    <row r="6" spans="1:20" x14ac:dyDescent="0.2">
      <c r="A6" s="749" t="s">
        <v>3</v>
      </c>
      <c r="B6" s="749"/>
      <c r="C6" s="749"/>
      <c r="E6" s="14" t="s">
        <v>4</v>
      </c>
      <c r="F6" s="15"/>
      <c r="G6" s="16"/>
      <c r="H6" s="14"/>
      <c r="I6" s="58"/>
      <c r="J6" s="14"/>
      <c r="K6" s="59"/>
      <c r="L6" s="60"/>
      <c r="M6" s="60"/>
      <c r="N6" s="14"/>
      <c r="O6" s="61"/>
      <c r="P6" s="14"/>
      <c r="Q6" s="60"/>
      <c r="R6" s="14"/>
      <c r="S6" s="14"/>
    </row>
    <row r="7" spans="1:20" x14ac:dyDescent="0.2">
      <c r="A7" s="749" t="s">
        <v>5</v>
      </c>
      <c r="B7" s="749"/>
      <c r="C7" s="749"/>
      <c r="E7" s="14" t="s">
        <v>6</v>
      </c>
      <c r="F7" s="15"/>
      <c r="G7" s="16"/>
      <c r="H7" s="17"/>
      <c r="I7" s="62"/>
      <c r="J7" s="17"/>
      <c r="K7" s="63"/>
      <c r="L7" s="64"/>
      <c r="M7" s="64"/>
      <c r="N7" s="14"/>
      <c r="O7" s="14"/>
      <c r="P7" s="14"/>
      <c r="Q7" s="60"/>
      <c r="R7" s="14"/>
      <c r="S7" s="14"/>
    </row>
    <row r="8" spans="1:20" x14ac:dyDescent="0.2">
      <c r="A8" s="749" t="s">
        <v>7</v>
      </c>
      <c r="B8" s="749"/>
      <c r="C8" s="749"/>
      <c r="E8" s="113" t="s">
        <v>8</v>
      </c>
      <c r="F8" s="15"/>
      <c r="G8" s="16"/>
      <c r="H8" s="17"/>
      <c r="I8" s="62"/>
      <c r="J8" s="17"/>
      <c r="K8" s="63"/>
      <c r="L8" s="64"/>
      <c r="M8" s="64"/>
      <c r="N8" s="14"/>
      <c r="O8" s="14"/>
      <c r="P8" s="14"/>
      <c r="Q8" s="60"/>
      <c r="R8" s="14"/>
      <c r="S8" s="14"/>
    </row>
    <row r="9" spans="1:20" x14ac:dyDescent="0.2">
      <c r="A9" s="749" t="s">
        <v>9</v>
      </c>
      <c r="B9" s="749"/>
      <c r="C9" s="749"/>
      <c r="E9" s="14"/>
      <c r="F9" s="15"/>
      <c r="G9" s="16"/>
      <c r="H9" s="17"/>
      <c r="I9" s="62"/>
      <c r="J9" s="17"/>
      <c r="K9" s="63"/>
      <c r="L9" s="64"/>
      <c r="M9" s="64"/>
      <c r="N9" s="14"/>
      <c r="O9" s="14"/>
      <c r="P9" s="14"/>
      <c r="Q9" s="60"/>
      <c r="R9" s="14"/>
      <c r="S9" s="14"/>
    </row>
    <row r="10" spans="1:20" x14ac:dyDescent="0.2">
      <c r="A10" s="18"/>
      <c r="B10" s="19"/>
      <c r="C10" s="18"/>
      <c r="E10" s="14"/>
      <c r="F10" s="15"/>
      <c r="G10" s="16"/>
      <c r="H10" s="17"/>
      <c r="I10" s="62"/>
      <c r="J10" s="17"/>
      <c r="K10" s="63"/>
      <c r="L10" s="64"/>
      <c r="M10" s="64"/>
      <c r="N10" s="14"/>
      <c r="O10" s="14"/>
      <c r="P10" s="14"/>
      <c r="Q10" s="60"/>
      <c r="R10" s="14"/>
      <c r="S10" s="14"/>
    </row>
    <row r="11" spans="1:20" x14ac:dyDescent="0.2">
      <c r="A11" s="750" t="s">
        <v>10</v>
      </c>
      <c r="B11" s="750"/>
      <c r="C11" s="750"/>
      <c r="E11" s="14" t="s">
        <v>11</v>
      </c>
      <c r="F11" s="15"/>
      <c r="G11" s="16"/>
      <c r="H11" s="14"/>
      <c r="I11" s="58"/>
      <c r="J11" s="14"/>
      <c r="K11" s="59"/>
      <c r="L11" s="60"/>
      <c r="M11" s="60"/>
      <c r="N11" s="14"/>
      <c r="O11" s="61"/>
      <c r="P11" s="14"/>
      <c r="Q11" s="60"/>
      <c r="R11" s="14"/>
      <c r="S11" s="14"/>
    </row>
    <row r="12" spans="1:20" x14ac:dyDescent="0.2">
      <c r="A12" s="749" t="s">
        <v>5</v>
      </c>
      <c r="B12" s="749"/>
      <c r="C12" s="749"/>
      <c r="E12" s="14" t="s">
        <v>12</v>
      </c>
      <c r="F12" s="15"/>
      <c r="G12" s="20"/>
      <c r="H12" s="17"/>
      <c r="I12" s="62"/>
      <c r="J12" s="17"/>
      <c r="K12" s="63"/>
      <c r="L12" s="64"/>
      <c r="M12" s="64"/>
      <c r="N12" s="14"/>
      <c r="O12" s="14"/>
      <c r="P12" s="14"/>
      <c r="Q12" s="60"/>
      <c r="R12" s="14"/>
      <c r="S12" s="14"/>
    </row>
    <row r="13" spans="1:20" ht="20.25" customHeight="1" x14ac:dyDescent="0.2">
      <c r="A13" s="14" t="s">
        <v>13</v>
      </c>
      <c r="B13" s="21"/>
      <c r="C13" s="15"/>
      <c r="E13" s="114" t="s">
        <v>14</v>
      </c>
      <c r="F13" s="15"/>
      <c r="G13" s="751"/>
      <c r="H13" s="751"/>
      <c r="I13" s="7"/>
      <c r="J13" s="15"/>
      <c r="K13" s="63"/>
      <c r="L13" s="64"/>
      <c r="M13" s="64"/>
      <c r="N13" s="15"/>
      <c r="O13" s="15"/>
      <c r="P13" s="15"/>
      <c r="Q13" s="64"/>
      <c r="R13" s="15"/>
      <c r="S13" s="15"/>
    </row>
    <row r="14" spans="1:20" x14ac:dyDescent="0.2">
      <c r="A14" s="22"/>
      <c r="B14" s="23"/>
      <c r="C14" s="22"/>
      <c r="D14" s="22"/>
      <c r="E14" s="22"/>
      <c r="F14" s="22"/>
      <c r="G14" s="10"/>
      <c r="H14" s="22"/>
      <c r="I14" s="7"/>
      <c r="J14" s="22"/>
      <c r="K14" s="65"/>
      <c r="L14" s="66"/>
      <c r="M14" s="66"/>
      <c r="N14" s="22"/>
      <c r="O14" s="67"/>
      <c r="P14" s="22"/>
      <c r="Q14" s="66"/>
      <c r="R14" s="22"/>
      <c r="S14" s="22"/>
    </row>
    <row r="15" spans="1:20" s="1" customFormat="1" ht="30" customHeight="1" x14ac:dyDescent="0.2">
      <c r="A15" s="734" t="s">
        <v>15</v>
      </c>
      <c r="B15" s="742" t="s">
        <v>16</v>
      </c>
      <c r="C15" s="734" t="s">
        <v>17</v>
      </c>
      <c r="D15" s="734" t="s">
        <v>18</v>
      </c>
      <c r="E15" s="734"/>
      <c r="F15" s="734" t="s">
        <v>19</v>
      </c>
      <c r="G15" s="734" t="s">
        <v>20</v>
      </c>
      <c r="H15" s="734" t="s">
        <v>21</v>
      </c>
      <c r="I15" s="732" t="s">
        <v>22</v>
      </c>
      <c r="J15" s="732" t="s">
        <v>23</v>
      </c>
      <c r="K15" s="745" t="s">
        <v>24</v>
      </c>
      <c r="L15" s="747" t="s">
        <v>25</v>
      </c>
      <c r="M15" s="747" t="s">
        <v>26</v>
      </c>
      <c r="N15" s="735" t="s">
        <v>147</v>
      </c>
      <c r="O15" s="736"/>
      <c r="P15" s="736"/>
      <c r="Q15" s="736"/>
      <c r="R15" s="737"/>
      <c r="S15" s="732" t="s">
        <v>28</v>
      </c>
      <c r="T15" s="3"/>
    </row>
    <row r="16" spans="1:20" s="1" customFormat="1" ht="68.25" customHeight="1" x14ac:dyDescent="0.2">
      <c r="A16" s="733"/>
      <c r="B16" s="743"/>
      <c r="C16" s="734"/>
      <c r="D16" s="24">
        <v>20</v>
      </c>
      <c r="E16" s="24">
        <v>40</v>
      </c>
      <c r="F16" s="733"/>
      <c r="G16" s="734"/>
      <c r="H16" s="733"/>
      <c r="I16" s="744"/>
      <c r="J16" s="733"/>
      <c r="K16" s="746"/>
      <c r="L16" s="748"/>
      <c r="M16" s="748"/>
      <c r="N16" s="69" t="s">
        <v>29</v>
      </c>
      <c r="O16" s="68" t="s">
        <v>31</v>
      </c>
      <c r="P16" s="68" t="s">
        <v>32</v>
      </c>
      <c r="Q16" s="90" t="s">
        <v>33</v>
      </c>
      <c r="R16" s="68" t="s">
        <v>30</v>
      </c>
      <c r="S16" s="733"/>
      <c r="T16" s="3"/>
    </row>
    <row r="17" spans="1:20" s="1" customFormat="1" ht="33" customHeight="1" x14ac:dyDescent="0.2">
      <c r="A17" s="25">
        <v>1</v>
      </c>
      <c r="B17" s="26">
        <v>45934</v>
      </c>
      <c r="C17" s="27" t="s">
        <v>103</v>
      </c>
      <c r="D17" s="27"/>
      <c r="E17" s="28">
        <v>1</v>
      </c>
      <c r="F17" s="27" t="s">
        <v>104</v>
      </c>
      <c r="G17" s="29" t="s">
        <v>37</v>
      </c>
      <c r="H17" s="28" t="s">
        <v>38</v>
      </c>
      <c r="I17" s="70" t="s">
        <v>39</v>
      </c>
      <c r="J17" s="70" t="s">
        <v>61</v>
      </c>
      <c r="K17" s="71" t="s">
        <v>105</v>
      </c>
      <c r="L17" s="72">
        <v>1500000</v>
      </c>
      <c r="M17" s="72">
        <v>3000000</v>
      </c>
      <c r="N17" s="73">
        <f>4428000/1.08</f>
        <v>4099999.9999999995</v>
      </c>
      <c r="O17" s="73"/>
      <c r="P17" s="73"/>
      <c r="Q17" s="72"/>
      <c r="R17" s="91">
        <f>(O17+P17+Q17+N17)*0.08</f>
        <v>327999.99999999994</v>
      </c>
      <c r="S17" s="92">
        <f>R17+Q17+P17+O17+N17</f>
        <v>4427999.9999999991</v>
      </c>
      <c r="T17" s="2"/>
    </row>
    <row r="18" spans="1:20" s="1" customFormat="1" ht="33" customHeight="1" x14ac:dyDescent="0.2">
      <c r="A18" s="25">
        <v>2</v>
      </c>
      <c r="B18" s="26">
        <v>45934</v>
      </c>
      <c r="C18" s="27" t="s">
        <v>103</v>
      </c>
      <c r="D18" s="27"/>
      <c r="E18" s="28">
        <v>1</v>
      </c>
      <c r="F18" s="27" t="s">
        <v>106</v>
      </c>
      <c r="G18" s="29" t="s">
        <v>37</v>
      </c>
      <c r="H18" s="28" t="s">
        <v>38</v>
      </c>
      <c r="I18" s="70" t="s">
        <v>39</v>
      </c>
      <c r="J18" s="70" t="s">
        <v>40</v>
      </c>
      <c r="K18" s="71" t="s">
        <v>107</v>
      </c>
      <c r="L18" s="72">
        <v>1500000</v>
      </c>
      <c r="M18" s="72"/>
      <c r="N18" s="73">
        <f t="shared" ref="N18:N26" si="0">4428000/1.08</f>
        <v>4099999.9999999995</v>
      </c>
      <c r="O18" s="73"/>
      <c r="P18" s="73"/>
      <c r="Q18" s="72"/>
      <c r="R18" s="91">
        <f t="shared" ref="R18:R61" si="1">(O18+P18+Q18+N18)*0.08</f>
        <v>327999.99999999994</v>
      </c>
      <c r="S18" s="92">
        <f t="shared" ref="S18:S61" si="2">R18+Q18+P18+O18+N18</f>
        <v>4427999.9999999991</v>
      </c>
      <c r="T18" s="2"/>
    </row>
    <row r="19" spans="1:20" s="1" customFormat="1" ht="33" customHeight="1" x14ac:dyDescent="0.2">
      <c r="A19" s="25">
        <v>3</v>
      </c>
      <c r="B19" s="26">
        <v>45934</v>
      </c>
      <c r="C19" s="27" t="s">
        <v>103</v>
      </c>
      <c r="D19" s="27"/>
      <c r="E19" s="28">
        <v>1</v>
      </c>
      <c r="F19" s="27" t="s">
        <v>108</v>
      </c>
      <c r="G19" s="29" t="s">
        <v>37</v>
      </c>
      <c r="H19" s="28" t="s">
        <v>38</v>
      </c>
      <c r="I19" s="70" t="s">
        <v>39</v>
      </c>
      <c r="J19" s="70" t="s">
        <v>87</v>
      </c>
      <c r="K19" s="71" t="s">
        <v>109</v>
      </c>
      <c r="L19" s="72">
        <v>1500000</v>
      </c>
      <c r="M19" s="72"/>
      <c r="N19" s="73">
        <f t="shared" si="0"/>
        <v>4099999.9999999995</v>
      </c>
      <c r="O19" s="73"/>
      <c r="P19" s="73"/>
      <c r="Q19" s="72"/>
      <c r="R19" s="91">
        <f t="shared" si="1"/>
        <v>327999.99999999994</v>
      </c>
      <c r="S19" s="92">
        <f t="shared" si="2"/>
        <v>4427999.9999999991</v>
      </c>
      <c r="T19" s="2"/>
    </row>
    <row r="20" spans="1:20" s="1" customFormat="1" ht="33" customHeight="1" x14ac:dyDescent="0.2">
      <c r="A20" s="25">
        <v>4</v>
      </c>
      <c r="B20" s="26">
        <v>45934</v>
      </c>
      <c r="C20" s="27" t="s">
        <v>103</v>
      </c>
      <c r="D20" s="27"/>
      <c r="E20" s="28">
        <v>1</v>
      </c>
      <c r="F20" s="27" t="s">
        <v>110</v>
      </c>
      <c r="G20" s="29" t="s">
        <v>37</v>
      </c>
      <c r="H20" s="28" t="s">
        <v>38</v>
      </c>
      <c r="I20" s="70" t="s">
        <v>39</v>
      </c>
      <c r="J20" s="70" t="s">
        <v>87</v>
      </c>
      <c r="K20" s="71" t="s">
        <v>111</v>
      </c>
      <c r="L20" s="72">
        <v>1500000</v>
      </c>
      <c r="M20" s="72"/>
      <c r="N20" s="73">
        <f t="shared" si="0"/>
        <v>4099999.9999999995</v>
      </c>
      <c r="O20" s="73"/>
      <c r="P20" s="73"/>
      <c r="Q20" s="72"/>
      <c r="R20" s="91">
        <f t="shared" si="1"/>
        <v>327999.99999999994</v>
      </c>
      <c r="S20" s="92">
        <f t="shared" si="2"/>
        <v>4427999.9999999991</v>
      </c>
      <c r="T20" s="2"/>
    </row>
    <row r="21" spans="1:20" s="1" customFormat="1" ht="33" customHeight="1" x14ac:dyDescent="0.2">
      <c r="A21" s="25">
        <v>5</v>
      </c>
      <c r="B21" s="26">
        <v>45934</v>
      </c>
      <c r="C21" s="27" t="s">
        <v>103</v>
      </c>
      <c r="D21" s="27"/>
      <c r="E21" s="28">
        <v>1</v>
      </c>
      <c r="F21" s="27" t="s">
        <v>112</v>
      </c>
      <c r="G21" s="29" t="s">
        <v>37</v>
      </c>
      <c r="H21" s="28" t="s">
        <v>38</v>
      </c>
      <c r="I21" s="70" t="s">
        <v>39</v>
      </c>
      <c r="J21" s="70" t="s">
        <v>87</v>
      </c>
      <c r="K21" s="71" t="s">
        <v>113</v>
      </c>
      <c r="L21" s="72">
        <v>1500000</v>
      </c>
      <c r="M21" s="72"/>
      <c r="N21" s="73">
        <f t="shared" si="0"/>
        <v>4099999.9999999995</v>
      </c>
      <c r="O21" s="73"/>
      <c r="P21" s="73"/>
      <c r="Q21" s="72"/>
      <c r="R21" s="91">
        <f t="shared" si="1"/>
        <v>327999.99999999994</v>
      </c>
      <c r="S21" s="92">
        <f t="shared" si="2"/>
        <v>4427999.9999999991</v>
      </c>
      <c r="T21" s="2"/>
    </row>
    <row r="22" spans="1:20" s="1" customFormat="1" ht="33" customHeight="1" x14ac:dyDescent="0.2">
      <c r="A22" s="25">
        <v>6</v>
      </c>
      <c r="B22" s="26">
        <v>45934</v>
      </c>
      <c r="C22" s="27" t="s">
        <v>103</v>
      </c>
      <c r="D22" s="27"/>
      <c r="E22" s="28">
        <v>1</v>
      </c>
      <c r="F22" s="27" t="s">
        <v>114</v>
      </c>
      <c r="G22" s="29" t="s">
        <v>37</v>
      </c>
      <c r="H22" s="28" t="s">
        <v>38</v>
      </c>
      <c r="I22" s="70" t="s">
        <v>39</v>
      </c>
      <c r="J22" s="70" t="s">
        <v>40</v>
      </c>
      <c r="K22" s="71" t="s">
        <v>115</v>
      </c>
      <c r="L22" s="72">
        <v>1500000</v>
      </c>
      <c r="M22" s="72"/>
      <c r="N22" s="73">
        <f t="shared" si="0"/>
        <v>4099999.9999999995</v>
      </c>
      <c r="O22" s="73"/>
      <c r="P22" s="73"/>
      <c r="Q22" s="72"/>
      <c r="R22" s="91">
        <f t="shared" si="1"/>
        <v>327999.99999999994</v>
      </c>
      <c r="S22" s="92">
        <f t="shared" si="2"/>
        <v>4427999.9999999991</v>
      </c>
      <c r="T22" s="2"/>
    </row>
    <row r="23" spans="1:20" s="1" customFormat="1" ht="33" customHeight="1" x14ac:dyDescent="0.2">
      <c r="A23" s="25">
        <v>7</v>
      </c>
      <c r="B23" s="26">
        <v>45934</v>
      </c>
      <c r="C23" s="27" t="s">
        <v>103</v>
      </c>
      <c r="D23" s="27"/>
      <c r="E23" s="28">
        <v>1</v>
      </c>
      <c r="F23" s="27" t="s">
        <v>116</v>
      </c>
      <c r="G23" s="29" t="s">
        <v>37</v>
      </c>
      <c r="H23" s="28" t="s">
        <v>38</v>
      </c>
      <c r="I23" s="70" t="s">
        <v>39</v>
      </c>
      <c r="J23" s="70" t="s">
        <v>87</v>
      </c>
      <c r="K23" s="71" t="s">
        <v>117</v>
      </c>
      <c r="L23" s="72">
        <v>1500000</v>
      </c>
      <c r="M23" s="72"/>
      <c r="N23" s="73">
        <f t="shared" si="0"/>
        <v>4099999.9999999995</v>
      </c>
      <c r="O23" s="73"/>
      <c r="P23" s="73"/>
      <c r="Q23" s="72"/>
      <c r="R23" s="91">
        <f t="shared" si="1"/>
        <v>327999.99999999994</v>
      </c>
      <c r="S23" s="92">
        <f t="shared" si="2"/>
        <v>4427999.9999999991</v>
      </c>
      <c r="T23" s="2"/>
    </row>
    <row r="24" spans="1:20" s="1" customFormat="1" ht="33" customHeight="1" x14ac:dyDescent="0.2">
      <c r="A24" s="25">
        <v>8</v>
      </c>
      <c r="B24" s="26">
        <v>45934</v>
      </c>
      <c r="C24" s="27" t="s">
        <v>103</v>
      </c>
      <c r="D24" s="27"/>
      <c r="E24" s="28">
        <v>1</v>
      </c>
      <c r="F24" s="27" t="s">
        <v>118</v>
      </c>
      <c r="G24" s="29" t="s">
        <v>37</v>
      </c>
      <c r="H24" s="28" t="s">
        <v>38</v>
      </c>
      <c r="I24" s="70" t="s">
        <v>39</v>
      </c>
      <c r="J24" s="70" t="s">
        <v>87</v>
      </c>
      <c r="K24" s="71" t="s">
        <v>119</v>
      </c>
      <c r="L24" s="72">
        <v>1500000</v>
      </c>
      <c r="M24" s="72"/>
      <c r="N24" s="73">
        <f t="shared" si="0"/>
        <v>4099999.9999999995</v>
      </c>
      <c r="O24" s="73"/>
      <c r="P24" s="73"/>
      <c r="Q24" s="72"/>
      <c r="R24" s="91">
        <f t="shared" si="1"/>
        <v>327999.99999999994</v>
      </c>
      <c r="S24" s="92">
        <f t="shared" si="2"/>
        <v>4427999.9999999991</v>
      </c>
      <c r="T24" s="2"/>
    </row>
    <row r="25" spans="1:20" s="1" customFormat="1" ht="33" customHeight="1" x14ac:dyDescent="0.2">
      <c r="A25" s="25">
        <v>9</v>
      </c>
      <c r="B25" s="26">
        <v>45934</v>
      </c>
      <c r="C25" s="27" t="s">
        <v>103</v>
      </c>
      <c r="D25" s="27"/>
      <c r="E25" s="28">
        <v>1</v>
      </c>
      <c r="F25" s="27" t="s">
        <v>120</v>
      </c>
      <c r="G25" s="29" t="s">
        <v>37</v>
      </c>
      <c r="H25" s="28" t="s">
        <v>38</v>
      </c>
      <c r="I25" s="70" t="s">
        <v>39</v>
      </c>
      <c r="J25" s="70" t="s">
        <v>87</v>
      </c>
      <c r="K25" s="71" t="s">
        <v>121</v>
      </c>
      <c r="L25" s="72">
        <v>1500000</v>
      </c>
      <c r="M25" s="72"/>
      <c r="N25" s="73">
        <f t="shared" si="0"/>
        <v>4099999.9999999995</v>
      </c>
      <c r="O25" s="73"/>
      <c r="P25" s="73"/>
      <c r="Q25" s="72"/>
      <c r="R25" s="91">
        <f t="shared" si="1"/>
        <v>327999.99999999994</v>
      </c>
      <c r="S25" s="92">
        <f t="shared" si="2"/>
        <v>4427999.9999999991</v>
      </c>
      <c r="T25" s="2"/>
    </row>
    <row r="26" spans="1:20" s="1" customFormat="1" ht="33" customHeight="1" x14ac:dyDescent="0.2">
      <c r="A26" s="25">
        <v>10</v>
      </c>
      <c r="B26" s="26">
        <v>45934</v>
      </c>
      <c r="C26" s="27" t="s">
        <v>103</v>
      </c>
      <c r="D26" s="27"/>
      <c r="E26" s="28">
        <v>1</v>
      </c>
      <c r="F26" s="27" t="s">
        <v>122</v>
      </c>
      <c r="G26" s="29" t="s">
        <v>37</v>
      </c>
      <c r="H26" s="28" t="s">
        <v>38</v>
      </c>
      <c r="I26" s="70" t="s">
        <v>39</v>
      </c>
      <c r="J26" s="70" t="s">
        <v>87</v>
      </c>
      <c r="K26" s="71" t="s">
        <v>123</v>
      </c>
      <c r="L26" s="72">
        <v>1500000</v>
      </c>
      <c r="M26" s="72"/>
      <c r="N26" s="73">
        <f t="shared" si="0"/>
        <v>4099999.9999999995</v>
      </c>
      <c r="O26" s="73"/>
      <c r="P26" s="73"/>
      <c r="Q26" s="72"/>
      <c r="R26" s="91">
        <f t="shared" si="1"/>
        <v>327999.99999999994</v>
      </c>
      <c r="S26" s="92">
        <f t="shared" si="2"/>
        <v>4427999.9999999991</v>
      </c>
      <c r="T26" s="2"/>
    </row>
    <row r="27" spans="1:20" s="1" customFormat="1" ht="33" customHeight="1" x14ac:dyDescent="0.2">
      <c r="A27" s="30">
        <v>11</v>
      </c>
      <c r="B27" s="31" t="s">
        <v>148</v>
      </c>
      <c r="C27" s="32" t="s">
        <v>149</v>
      </c>
      <c r="D27" s="32"/>
      <c r="E27" s="33">
        <v>1</v>
      </c>
      <c r="F27" s="32" t="s">
        <v>150</v>
      </c>
      <c r="G27" s="34" t="s">
        <v>151</v>
      </c>
      <c r="H27" s="33" t="s">
        <v>152</v>
      </c>
      <c r="I27" s="74" t="s">
        <v>39</v>
      </c>
      <c r="J27" s="74" t="s">
        <v>153</v>
      </c>
      <c r="K27" s="75" t="s">
        <v>154</v>
      </c>
      <c r="L27" s="76">
        <v>1500000</v>
      </c>
      <c r="M27" s="76"/>
      <c r="N27" s="77">
        <v>4200000</v>
      </c>
      <c r="O27" s="77"/>
      <c r="P27" s="77"/>
      <c r="Q27" s="76"/>
      <c r="R27" s="93">
        <f t="shared" si="1"/>
        <v>336000</v>
      </c>
      <c r="S27" s="94">
        <f t="shared" si="2"/>
        <v>4536000</v>
      </c>
      <c r="T27" s="2"/>
    </row>
    <row r="28" spans="1:20" s="1" customFormat="1" ht="33" customHeight="1" x14ac:dyDescent="0.2">
      <c r="A28" s="30">
        <v>12</v>
      </c>
      <c r="B28" s="31" t="s">
        <v>148</v>
      </c>
      <c r="C28" s="32" t="s">
        <v>149</v>
      </c>
      <c r="D28" s="32"/>
      <c r="E28" s="33">
        <v>1</v>
      </c>
      <c r="F28" s="32" t="s">
        <v>155</v>
      </c>
      <c r="G28" s="34" t="s">
        <v>151</v>
      </c>
      <c r="H28" s="33" t="s">
        <v>152</v>
      </c>
      <c r="I28" s="74" t="s">
        <v>39</v>
      </c>
      <c r="J28" s="74" t="s">
        <v>153</v>
      </c>
      <c r="K28" s="75" t="s">
        <v>156</v>
      </c>
      <c r="L28" s="76">
        <v>1500000</v>
      </c>
      <c r="M28" s="76"/>
      <c r="N28" s="77">
        <v>4200000</v>
      </c>
      <c r="O28" s="77"/>
      <c r="P28" s="77"/>
      <c r="Q28" s="76"/>
      <c r="R28" s="93">
        <f t="shared" si="1"/>
        <v>336000</v>
      </c>
      <c r="S28" s="94">
        <f t="shared" si="2"/>
        <v>4536000</v>
      </c>
      <c r="T28" s="2"/>
    </row>
    <row r="29" spans="1:20" s="1" customFormat="1" ht="33" customHeight="1" x14ac:dyDescent="0.2">
      <c r="A29" s="35">
        <v>13</v>
      </c>
      <c r="B29" s="36" t="s">
        <v>34</v>
      </c>
      <c r="C29" s="37" t="s">
        <v>59</v>
      </c>
      <c r="D29" s="37"/>
      <c r="E29" s="38">
        <v>1</v>
      </c>
      <c r="F29" s="37" t="s">
        <v>60</v>
      </c>
      <c r="G29" s="39" t="s">
        <v>37</v>
      </c>
      <c r="H29" s="38" t="s">
        <v>38</v>
      </c>
      <c r="I29" s="78" t="s">
        <v>39</v>
      </c>
      <c r="J29" s="78" t="s">
        <v>61</v>
      </c>
      <c r="K29" s="79" t="s">
        <v>62</v>
      </c>
      <c r="L29" s="80">
        <v>1500000</v>
      </c>
      <c r="M29" s="80"/>
      <c r="N29" s="81">
        <v>4100000</v>
      </c>
      <c r="O29" s="81"/>
      <c r="P29" s="81"/>
      <c r="Q29" s="80"/>
      <c r="R29" s="95">
        <f t="shared" si="1"/>
        <v>328000</v>
      </c>
      <c r="S29" s="96">
        <f t="shared" si="2"/>
        <v>4428000</v>
      </c>
      <c r="T29" s="2"/>
    </row>
    <row r="30" spans="1:20" s="1" customFormat="1" ht="33" customHeight="1" x14ac:dyDescent="0.2">
      <c r="A30" s="35">
        <v>14</v>
      </c>
      <c r="B30" s="36" t="s">
        <v>34</v>
      </c>
      <c r="C30" s="37" t="s">
        <v>59</v>
      </c>
      <c r="D30" s="37"/>
      <c r="E30" s="38">
        <v>1</v>
      </c>
      <c r="F30" s="37" t="s">
        <v>63</v>
      </c>
      <c r="G30" s="39" t="s">
        <v>37</v>
      </c>
      <c r="H30" s="38" t="s">
        <v>38</v>
      </c>
      <c r="I30" s="78" t="s">
        <v>39</v>
      </c>
      <c r="J30" s="78" t="s">
        <v>61</v>
      </c>
      <c r="K30" s="79" t="s">
        <v>64</v>
      </c>
      <c r="L30" s="80">
        <v>1500000</v>
      </c>
      <c r="M30" s="80"/>
      <c r="N30" s="81">
        <v>4100000</v>
      </c>
      <c r="O30" s="81"/>
      <c r="P30" s="81"/>
      <c r="Q30" s="80"/>
      <c r="R30" s="95">
        <f t="shared" si="1"/>
        <v>328000</v>
      </c>
      <c r="S30" s="96">
        <f t="shared" si="2"/>
        <v>4428000</v>
      </c>
      <c r="T30" s="2"/>
    </row>
    <row r="31" spans="1:20" s="1" customFormat="1" ht="33" customHeight="1" x14ac:dyDescent="0.2">
      <c r="A31" s="35">
        <v>15</v>
      </c>
      <c r="B31" s="36" t="s">
        <v>34</v>
      </c>
      <c r="C31" s="37" t="s">
        <v>59</v>
      </c>
      <c r="D31" s="37"/>
      <c r="E31" s="38">
        <v>1</v>
      </c>
      <c r="F31" s="37" t="s">
        <v>65</v>
      </c>
      <c r="G31" s="39" t="s">
        <v>37</v>
      </c>
      <c r="H31" s="38" t="s">
        <v>38</v>
      </c>
      <c r="I31" s="78" t="s">
        <v>39</v>
      </c>
      <c r="J31" s="78" t="s">
        <v>61</v>
      </c>
      <c r="K31" s="79" t="s">
        <v>66</v>
      </c>
      <c r="L31" s="80">
        <v>1500000</v>
      </c>
      <c r="M31" s="80"/>
      <c r="N31" s="81">
        <v>4100000</v>
      </c>
      <c r="O31" s="81"/>
      <c r="P31" s="81"/>
      <c r="Q31" s="80"/>
      <c r="R31" s="95">
        <f t="shared" si="1"/>
        <v>328000</v>
      </c>
      <c r="S31" s="96">
        <f t="shared" si="2"/>
        <v>4428000</v>
      </c>
      <c r="T31" s="2"/>
    </row>
    <row r="32" spans="1:20" s="1" customFormat="1" ht="33" customHeight="1" x14ac:dyDescent="0.2">
      <c r="A32" s="35">
        <v>16</v>
      </c>
      <c r="B32" s="36" t="s">
        <v>34</v>
      </c>
      <c r="C32" s="37" t="s">
        <v>59</v>
      </c>
      <c r="D32" s="37"/>
      <c r="E32" s="38">
        <v>1</v>
      </c>
      <c r="F32" s="37" t="s">
        <v>67</v>
      </c>
      <c r="G32" s="39" t="s">
        <v>37</v>
      </c>
      <c r="H32" s="38" t="s">
        <v>38</v>
      </c>
      <c r="I32" s="78" t="s">
        <v>39</v>
      </c>
      <c r="J32" s="78" t="s">
        <v>61</v>
      </c>
      <c r="K32" s="79" t="s">
        <v>68</v>
      </c>
      <c r="L32" s="80">
        <v>1500000</v>
      </c>
      <c r="M32" s="80"/>
      <c r="N32" s="81">
        <v>4100000</v>
      </c>
      <c r="O32" s="81"/>
      <c r="P32" s="81"/>
      <c r="Q32" s="80"/>
      <c r="R32" s="95">
        <f t="shared" si="1"/>
        <v>328000</v>
      </c>
      <c r="S32" s="96">
        <f t="shared" si="2"/>
        <v>4428000</v>
      </c>
      <c r="T32" s="2"/>
    </row>
    <row r="33" spans="1:20" s="1" customFormat="1" ht="33" customHeight="1" x14ac:dyDescent="0.2">
      <c r="A33" s="35">
        <v>17</v>
      </c>
      <c r="B33" s="36" t="s">
        <v>34</v>
      </c>
      <c r="C33" s="37" t="s">
        <v>59</v>
      </c>
      <c r="D33" s="37"/>
      <c r="E33" s="38">
        <v>1</v>
      </c>
      <c r="F33" s="37" t="s">
        <v>69</v>
      </c>
      <c r="G33" s="39" t="s">
        <v>37</v>
      </c>
      <c r="H33" s="38" t="s">
        <v>38</v>
      </c>
      <c r="I33" s="78" t="s">
        <v>39</v>
      </c>
      <c r="J33" s="78" t="s">
        <v>61</v>
      </c>
      <c r="K33" s="79" t="s">
        <v>70</v>
      </c>
      <c r="L33" s="80">
        <v>1500000</v>
      </c>
      <c r="M33" s="80"/>
      <c r="N33" s="81">
        <v>4100000</v>
      </c>
      <c r="O33" s="81"/>
      <c r="P33" s="81"/>
      <c r="Q33" s="80"/>
      <c r="R33" s="95">
        <f t="shared" si="1"/>
        <v>328000</v>
      </c>
      <c r="S33" s="96">
        <f t="shared" si="2"/>
        <v>4428000</v>
      </c>
      <c r="T33" s="2"/>
    </row>
    <row r="34" spans="1:20" s="1" customFormat="1" ht="33" customHeight="1" x14ac:dyDescent="0.2">
      <c r="A34" s="40">
        <v>18</v>
      </c>
      <c r="B34" s="41" t="s">
        <v>34</v>
      </c>
      <c r="C34" s="42" t="s">
        <v>35</v>
      </c>
      <c r="D34" s="42"/>
      <c r="E34" s="43">
        <v>1</v>
      </c>
      <c r="F34" s="42" t="s">
        <v>36</v>
      </c>
      <c r="G34" s="44" t="s">
        <v>37</v>
      </c>
      <c r="H34" s="43" t="s">
        <v>38</v>
      </c>
      <c r="I34" s="82" t="s">
        <v>39</v>
      </c>
      <c r="J34" s="82" t="s">
        <v>40</v>
      </c>
      <c r="K34" s="83" t="s">
        <v>41</v>
      </c>
      <c r="L34" s="84">
        <v>1500000</v>
      </c>
      <c r="M34" s="84"/>
      <c r="N34" s="85">
        <v>4100000</v>
      </c>
      <c r="O34" s="85"/>
      <c r="P34" s="85"/>
      <c r="Q34" s="84">
        <v>220000</v>
      </c>
      <c r="R34" s="97">
        <f t="shared" si="1"/>
        <v>345600</v>
      </c>
      <c r="S34" s="98">
        <f t="shared" si="2"/>
        <v>4665600</v>
      </c>
      <c r="T34" s="2"/>
    </row>
    <row r="35" spans="1:20" s="1" customFormat="1" ht="33" customHeight="1" x14ac:dyDescent="0.2">
      <c r="A35" s="40">
        <v>19</v>
      </c>
      <c r="B35" s="41" t="s">
        <v>34</v>
      </c>
      <c r="C35" s="42" t="s">
        <v>35</v>
      </c>
      <c r="D35" s="42"/>
      <c r="E35" s="43">
        <v>1</v>
      </c>
      <c r="F35" s="42" t="s">
        <v>42</v>
      </c>
      <c r="G35" s="44" t="s">
        <v>37</v>
      </c>
      <c r="H35" s="43" t="s">
        <v>38</v>
      </c>
      <c r="I35" s="82" t="s">
        <v>39</v>
      </c>
      <c r="J35" s="82" t="s">
        <v>40</v>
      </c>
      <c r="K35" s="83" t="s">
        <v>43</v>
      </c>
      <c r="L35" s="84">
        <v>1500000</v>
      </c>
      <c r="M35" s="84"/>
      <c r="N35" s="85">
        <v>4100000</v>
      </c>
      <c r="O35" s="85"/>
      <c r="P35" s="85"/>
      <c r="Q35" s="84">
        <v>220000</v>
      </c>
      <c r="R35" s="97">
        <f t="shared" si="1"/>
        <v>345600</v>
      </c>
      <c r="S35" s="98">
        <f t="shared" si="2"/>
        <v>4665600</v>
      </c>
      <c r="T35" s="2"/>
    </row>
    <row r="36" spans="1:20" s="1" customFormat="1" ht="33" customHeight="1" x14ac:dyDescent="0.2">
      <c r="A36" s="40">
        <v>20</v>
      </c>
      <c r="B36" s="41" t="s">
        <v>34</v>
      </c>
      <c r="C36" s="42" t="s">
        <v>35</v>
      </c>
      <c r="D36" s="42"/>
      <c r="E36" s="43">
        <v>1</v>
      </c>
      <c r="F36" s="42" t="s">
        <v>44</v>
      </c>
      <c r="G36" s="44" t="s">
        <v>37</v>
      </c>
      <c r="H36" s="43" t="s">
        <v>38</v>
      </c>
      <c r="I36" s="82" t="s">
        <v>39</v>
      </c>
      <c r="J36" s="82" t="s">
        <v>40</v>
      </c>
      <c r="K36" s="83" t="s">
        <v>45</v>
      </c>
      <c r="L36" s="84">
        <v>1500000</v>
      </c>
      <c r="M36" s="84"/>
      <c r="N36" s="85">
        <v>4100000</v>
      </c>
      <c r="O36" s="85"/>
      <c r="P36" s="85"/>
      <c r="Q36" s="84">
        <v>220000</v>
      </c>
      <c r="R36" s="97">
        <f t="shared" si="1"/>
        <v>345600</v>
      </c>
      <c r="S36" s="98">
        <f t="shared" si="2"/>
        <v>4665600</v>
      </c>
      <c r="T36" s="2"/>
    </row>
    <row r="37" spans="1:20" s="1" customFormat="1" ht="33" customHeight="1" x14ac:dyDescent="0.2">
      <c r="A37" s="40">
        <v>21</v>
      </c>
      <c r="B37" s="41" t="s">
        <v>34</v>
      </c>
      <c r="C37" s="42" t="s">
        <v>35</v>
      </c>
      <c r="D37" s="42"/>
      <c r="E37" s="43">
        <v>1</v>
      </c>
      <c r="F37" s="42" t="s">
        <v>46</v>
      </c>
      <c r="G37" s="44" t="s">
        <v>37</v>
      </c>
      <c r="H37" s="43" t="s">
        <v>38</v>
      </c>
      <c r="I37" s="82" t="s">
        <v>39</v>
      </c>
      <c r="J37" s="82" t="s">
        <v>40</v>
      </c>
      <c r="K37" s="83" t="s">
        <v>47</v>
      </c>
      <c r="L37" s="84">
        <v>1500000</v>
      </c>
      <c r="M37" s="84"/>
      <c r="N37" s="85">
        <v>4100000</v>
      </c>
      <c r="O37" s="85"/>
      <c r="P37" s="85"/>
      <c r="Q37" s="84">
        <v>220000</v>
      </c>
      <c r="R37" s="97">
        <f t="shared" si="1"/>
        <v>345600</v>
      </c>
      <c r="S37" s="98">
        <f t="shared" si="2"/>
        <v>4665600</v>
      </c>
      <c r="T37" s="2"/>
    </row>
    <row r="38" spans="1:20" s="1" customFormat="1" ht="33" customHeight="1" x14ac:dyDescent="0.2">
      <c r="A38" s="40">
        <v>22</v>
      </c>
      <c r="B38" s="41" t="s">
        <v>34</v>
      </c>
      <c r="C38" s="42" t="s">
        <v>35</v>
      </c>
      <c r="D38" s="42"/>
      <c r="E38" s="43">
        <v>1</v>
      </c>
      <c r="F38" s="42" t="s">
        <v>48</v>
      </c>
      <c r="G38" s="44" t="s">
        <v>37</v>
      </c>
      <c r="H38" s="43" t="s">
        <v>38</v>
      </c>
      <c r="I38" s="82" t="s">
        <v>39</v>
      </c>
      <c r="J38" s="82" t="s">
        <v>40</v>
      </c>
      <c r="K38" s="83" t="s">
        <v>49</v>
      </c>
      <c r="L38" s="84">
        <v>1500000</v>
      </c>
      <c r="M38" s="84"/>
      <c r="N38" s="85">
        <v>4100000</v>
      </c>
      <c r="O38" s="85"/>
      <c r="P38" s="85"/>
      <c r="Q38" s="84">
        <v>220000</v>
      </c>
      <c r="R38" s="97">
        <f t="shared" si="1"/>
        <v>345600</v>
      </c>
      <c r="S38" s="98">
        <f t="shared" si="2"/>
        <v>4665600</v>
      </c>
      <c r="T38" s="2"/>
    </row>
    <row r="39" spans="1:20" s="1" customFormat="1" ht="33" customHeight="1" x14ac:dyDescent="0.2">
      <c r="A39" s="40">
        <v>23</v>
      </c>
      <c r="B39" s="41" t="s">
        <v>34</v>
      </c>
      <c r="C39" s="42" t="s">
        <v>35</v>
      </c>
      <c r="D39" s="42"/>
      <c r="E39" s="43">
        <v>1</v>
      </c>
      <c r="F39" s="42" t="s">
        <v>50</v>
      </c>
      <c r="G39" s="44" t="s">
        <v>37</v>
      </c>
      <c r="H39" s="43" t="s">
        <v>38</v>
      </c>
      <c r="I39" s="82" t="s">
        <v>39</v>
      </c>
      <c r="J39" s="82" t="s">
        <v>40</v>
      </c>
      <c r="K39" s="83" t="s">
        <v>51</v>
      </c>
      <c r="L39" s="84">
        <v>1500000</v>
      </c>
      <c r="M39" s="84"/>
      <c r="N39" s="85">
        <v>4100000</v>
      </c>
      <c r="O39" s="85"/>
      <c r="P39" s="85"/>
      <c r="Q39" s="84">
        <v>220000</v>
      </c>
      <c r="R39" s="97">
        <f t="shared" si="1"/>
        <v>345600</v>
      </c>
      <c r="S39" s="98">
        <f t="shared" si="2"/>
        <v>4665600</v>
      </c>
      <c r="T39" s="2"/>
    </row>
    <row r="40" spans="1:20" s="1" customFormat="1" ht="33" customHeight="1" x14ac:dyDescent="0.2">
      <c r="A40" s="25">
        <v>24</v>
      </c>
      <c r="B40" s="26" t="s">
        <v>71</v>
      </c>
      <c r="C40" s="27" t="s">
        <v>124</v>
      </c>
      <c r="D40" s="27"/>
      <c r="E40" s="28">
        <v>1</v>
      </c>
      <c r="F40" s="27" t="s">
        <v>125</v>
      </c>
      <c r="G40" s="29" t="s">
        <v>37</v>
      </c>
      <c r="H40" s="28" t="s">
        <v>38</v>
      </c>
      <c r="I40" s="70" t="s">
        <v>39</v>
      </c>
      <c r="J40" s="70" t="s">
        <v>74</v>
      </c>
      <c r="K40" s="71" t="s">
        <v>126</v>
      </c>
      <c r="L40" s="72">
        <v>1500000</v>
      </c>
      <c r="M40" s="72"/>
      <c r="N40" s="73">
        <v>4100000</v>
      </c>
      <c r="O40" s="73"/>
      <c r="P40" s="73"/>
      <c r="Q40" s="72"/>
      <c r="R40" s="91">
        <f t="shared" si="1"/>
        <v>328000</v>
      </c>
      <c r="S40" s="92">
        <f t="shared" si="2"/>
        <v>4428000</v>
      </c>
      <c r="T40" s="2"/>
    </row>
    <row r="41" spans="1:20" s="1" customFormat="1" ht="33" customHeight="1" x14ac:dyDescent="0.2">
      <c r="A41" s="25">
        <v>25</v>
      </c>
      <c r="B41" s="26" t="s">
        <v>71</v>
      </c>
      <c r="C41" s="27" t="s">
        <v>124</v>
      </c>
      <c r="D41" s="27"/>
      <c r="E41" s="28">
        <v>1</v>
      </c>
      <c r="F41" s="27" t="s">
        <v>127</v>
      </c>
      <c r="G41" s="29" t="s">
        <v>37</v>
      </c>
      <c r="H41" s="28" t="s">
        <v>38</v>
      </c>
      <c r="I41" s="70" t="s">
        <v>39</v>
      </c>
      <c r="J41" s="70" t="s">
        <v>74</v>
      </c>
      <c r="K41" s="71" t="s">
        <v>128</v>
      </c>
      <c r="L41" s="72">
        <v>1500000</v>
      </c>
      <c r="M41" s="72"/>
      <c r="N41" s="73">
        <v>4100000</v>
      </c>
      <c r="O41" s="73"/>
      <c r="P41" s="73"/>
      <c r="Q41" s="72"/>
      <c r="R41" s="91">
        <f t="shared" si="1"/>
        <v>328000</v>
      </c>
      <c r="S41" s="92">
        <f t="shared" si="2"/>
        <v>4428000</v>
      </c>
      <c r="T41" s="2"/>
    </row>
    <row r="42" spans="1:20" s="1" customFormat="1" ht="33" customHeight="1" x14ac:dyDescent="0.2">
      <c r="A42" s="25">
        <v>26</v>
      </c>
      <c r="B42" s="26" t="s">
        <v>71</v>
      </c>
      <c r="C42" s="27" t="s">
        <v>124</v>
      </c>
      <c r="D42" s="27"/>
      <c r="E42" s="28">
        <v>1</v>
      </c>
      <c r="F42" s="27" t="s">
        <v>129</v>
      </c>
      <c r="G42" s="29" t="s">
        <v>37</v>
      </c>
      <c r="H42" s="28" t="s">
        <v>38</v>
      </c>
      <c r="I42" s="70" t="s">
        <v>39</v>
      </c>
      <c r="J42" s="70" t="s">
        <v>74</v>
      </c>
      <c r="K42" s="71" t="s">
        <v>130</v>
      </c>
      <c r="L42" s="72">
        <v>1500000</v>
      </c>
      <c r="M42" s="72"/>
      <c r="N42" s="73">
        <v>4100000</v>
      </c>
      <c r="O42" s="73"/>
      <c r="P42" s="73"/>
      <c r="Q42" s="72"/>
      <c r="R42" s="91">
        <f t="shared" si="1"/>
        <v>328000</v>
      </c>
      <c r="S42" s="92">
        <f t="shared" si="2"/>
        <v>4428000</v>
      </c>
      <c r="T42" s="2"/>
    </row>
    <row r="43" spans="1:20" s="1" customFormat="1" ht="33" customHeight="1" x14ac:dyDescent="0.2">
      <c r="A43" s="25">
        <v>27</v>
      </c>
      <c r="B43" s="26" t="s">
        <v>71</v>
      </c>
      <c r="C43" s="27" t="s">
        <v>124</v>
      </c>
      <c r="D43" s="27"/>
      <c r="E43" s="28">
        <v>1</v>
      </c>
      <c r="F43" s="27" t="s">
        <v>131</v>
      </c>
      <c r="G43" s="29" t="s">
        <v>37</v>
      </c>
      <c r="H43" s="28" t="s">
        <v>38</v>
      </c>
      <c r="I43" s="70" t="s">
        <v>39</v>
      </c>
      <c r="J43" s="70" t="s">
        <v>74</v>
      </c>
      <c r="K43" s="71" t="s">
        <v>132</v>
      </c>
      <c r="L43" s="72">
        <v>1500000</v>
      </c>
      <c r="M43" s="72"/>
      <c r="N43" s="73">
        <v>4100000</v>
      </c>
      <c r="O43" s="73"/>
      <c r="P43" s="73"/>
      <c r="Q43" s="72"/>
      <c r="R43" s="91">
        <f t="shared" si="1"/>
        <v>328000</v>
      </c>
      <c r="S43" s="92">
        <f t="shared" si="2"/>
        <v>4428000</v>
      </c>
      <c r="T43" s="2"/>
    </row>
    <row r="44" spans="1:20" s="1" customFormat="1" ht="33" customHeight="1" x14ac:dyDescent="0.2">
      <c r="A44" s="25">
        <v>28</v>
      </c>
      <c r="B44" s="26" t="s">
        <v>71</v>
      </c>
      <c r="C44" s="27" t="s">
        <v>124</v>
      </c>
      <c r="D44" s="27"/>
      <c r="E44" s="28">
        <v>1</v>
      </c>
      <c r="F44" s="27" t="s">
        <v>133</v>
      </c>
      <c r="G44" s="29" t="s">
        <v>37</v>
      </c>
      <c r="H44" s="28" t="s">
        <v>38</v>
      </c>
      <c r="I44" s="70" t="s">
        <v>39</v>
      </c>
      <c r="J44" s="70" t="s">
        <v>74</v>
      </c>
      <c r="K44" s="71" t="s">
        <v>134</v>
      </c>
      <c r="L44" s="72">
        <v>1500000</v>
      </c>
      <c r="M44" s="72"/>
      <c r="N44" s="73">
        <v>4100000</v>
      </c>
      <c r="O44" s="73"/>
      <c r="P44" s="73"/>
      <c r="Q44" s="72"/>
      <c r="R44" s="91">
        <f t="shared" si="1"/>
        <v>328000</v>
      </c>
      <c r="S44" s="92">
        <f t="shared" si="2"/>
        <v>4428000</v>
      </c>
      <c r="T44" s="2"/>
    </row>
    <row r="45" spans="1:20" s="1" customFormat="1" ht="33" customHeight="1" x14ac:dyDescent="0.2">
      <c r="A45" s="35">
        <v>29</v>
      </c>
      <c r="B45" s="36" t="s">
        <v>71</v>
      </c>
      <c r="C45" s="37" t="s">
        <v>72</v>
      </c>
      <c r="D45" s="37"/>
      <c r="E45" s="38">
        <v>1</v>
      </c>
      <c r="F45" s="37" t="s">
        <v>73</v>
      </c>
      <c r="G45" s="39" t="s">
        <v>37</v>
      </c>
      <c r="H45" s="38" t="s">
        <v>38</v>
      </c>
      <c r="I45" s="78" t="s">
        <v>39</v>
      </c>
      <c r="J45" s="78" t="s">
        <v>74</v>
      </c>
      <c r="K45" s="79" t="s">
        <v>75</v>
      </c>
      <c r="L45" s="80">
        <v>1500000</v>
      </c>
      <c r="M45" s="80"/>
      <c r="N45" s="81">
        <v>4100000</v>
      </c>
      <c r="O45" s="81"/>
      <c r="P45" s="81"/>
      <c r="Q45" s="80"/>
      <c r="R45" s="95">
        <f t="shared" si="1"/>
        <v>328000</v>
      </c>
      <c r="S45" s="96">
        <f t="shared" si="2"/>
        <v>4428000</v>
      </c>
      <c r="T45" s="2"/>
    </row>
    <row r="46" spans="1:20" s="1" customFormat="1" ht="33" customHeight="1" x14ac:dyDescent="0.2">
      <c r="A46" s="35">
        <v>30</v>
      </c>
      <c r="B46" s="36" t="s">
        <v>71</v>
      </c>
      <c r="C46" s="37" t="s">
        <v>72</v>
      </c>
      <c r="D46" s="37"/>
      <c r="E46" s="38">
        <v>1</v>
      </c>
      <c r="F46" s="37" t="s">
        <v>76</v>
      </c>
      <c r="G46" s="39" t="s">
        <v>37</v>
      </c>
      <c r="H46" s="38" t="s">
        <v>38</v>
      </c>
      <c r="I46" s="78" t="s">
        <v>39</v>
      </c>
      <c r="J46" s="78" t="s">
        <v>74</v>
      </c>
      <c r="K46" s="79" t="s">
        <v>77</v>
      </c>
      <c r="L46" s="80">
        <v>1500000</v>
      </c>
      <c r="M46" s="80"/>
      <c r="N46" s="81">
        <v>4100000</v>
      </c>
      <c r="O46" s="81"/>
      <c r="P46" s="81"/>
      <c r="Q46" s="80"/>
      <c r="R46" s="95">
        <f t="shared" si="1"/>
        <v>328000</v>
      </c>
      <c r="S46" s="96">
        <f t="shared" si="2"/>
        <v>4428000</v>
      </c>
      <c r="T46" s="2"/>
    </row>
    <row r="47" spans="1:20" s="1" customFormat="1" ht="33" customHeight="1" x14ac:dyDescent="0.2">
      <c r="A47" s="35">
        <v>31</v>
      </c>
      <c r="B47" s="36" t="s">
        <v>71</v>
      </c>
      <c r="C47" s="37" t="s">
        <v>72</v>
      </c>
      <c r="D47" s="37"/>
      <c r="E47" s="38">
        <v>1</v>
      </c>
      <c r="F47" s="37" t="s">
        <v>78</v>
      </c>
      <c r="G47" s="39" t="s">
        <v>37</v>
      </c>
      <c r="H47" s="38" t="s">
        <v>38</v>
      </c>
      <c r="I47" s="78" t="s">
        <v>39</v>
      </c>
      <c r="J47" s="78" t="s">
        <v>74</v>
      </c>
      <c r="K47" s="79" t="s">
        <v>79</v>
      </c>
      <c r="L47" s="80">
        <v>1500000</v>
      </c>
      <c r="M47" s="80"/>
      <c r="N47" s="81">
        <v>4100000</v>
      </c>
      <c r="O47" s="81"/>
      <c r="P47" s="81"/>
      <c r="Q47" s="80"/>
      <c r="R47" s="95">
        <f t="shared" si="1"/>
        <v>328000</v>
      </c>
      <c r="S47" s="96">
        <f t="shared" si="2"/>
        <v>4428000</v>
      </c>
      <c r="T47" s="2"/>
    </row>
    <row r="48" spans="1:20" s="1" customFormat="1" ht="33" customHeight="1" x14ac:dyDescent="0.2">
      <c r="A48" s="35">
        <v>32</v>
      </c>
      <c r="B48" s="36" t="s">
        <v>71</v>
      </c>
      <c r="C48" s="37" t="s">
        <v>72</v>
      </c>
      <c r="D48" s="37"/>
      <c r="E48" s="38">
        <v>1</v>
      </c>
      <c r="F48" s="37" t="s">
        <v>80</v>
      </c>
      <c r="G48" s="39" t="s">
        <v>37</v>
      </c>
      <c r="H48" s="38" t="s">
        <v>38</v>
      </c>
      <c r="I48" s="78" t="s">
        <v>39</v>
      </c>
      <c r="J48" s="78" t="s">
        <v>74</v>
      </c>
      <c r="K48" s="79" t="s">
        <v>81</v>
      </c>
      <c r="L48" s="80">
        <v>1500000</v>
      </c>
      <c r="M48" s="80"/>
      <c r="N48" s="81">
        <v>4100000</v>
      </c>
      <c r="O48" s="81"/>
      <c r="P48" s="81"/>
      <c r="Q48" s="80"/>
      <c r="R48" s="95">
        <f t="shared" si="1"/>
        <v>328000</v>
      </c>
      <c r="S48" s="96">
        <f t="shared" si="2"/>
        <v>4428000</v>
      </c>
      <c r="T48" s="2"/>
    </row>
    <row r="49" spans="1:20" s="1" customFormat="1" ht="33" customHeight="1" x14ac:dyDescent="0.2">
      <c r="A49" s="35">
        <v>33</v>
      </c>
      <c r="B49" s="36" t="s">
        <v>71</v>
      </c>
      <c r="C49" s="37" t="s">
        <v>72</v>
      </c>
      <c r="D49" s="37"/>
      <c r="E49" s="38">
        <v>1</v>
      </c>
      <c r="F49" s="37" t="s">
        <v>82</v>
      </c>
      <c r="G49" s="39" t="s">
        <v>37</v>
      </c>
      <c r="H49" s="38" t="s">
        <v>38</v>
      </c>
      <c r="I49" s="78" t="s">
        <v>39</v>
      </c>
      <c r="J49" s="78" t="s">
        <v>74</v>
      </c>
      <c r="K49" s="79" t="s">
        <v>83</v>
      </c>
      <c r="L49" s="80">
        <v>1500000</v>
      </c>
      <c r="M49" s="80"/>
      <c r="N49" s="81">
        <v>4100000</v>
      </c>
      <c r="O49" s="81"/>
      <c r="P49" s="81"/>
      <c r="Q49" s="80"/>
      <c r="R49" s="95">
        <f t="shared" si="1"/>
        <v>328000</v>
      </c>
      <c r="S49" s="96">
        <f t="shared" si="2"/>
        <v>4428000</v>
      </c>
      <c r="T49" s="2"/>
    </row>
    <row r="50" spans="1:20" s="1" customFormat="1" ht="33" customHeight="1" x14ac:dyDescent="0.2">
      <c r="A50" s="25">
        <v>34</v>
      </c>
      <c r="B50" s="26" t="s">
        <v>135</v>
      </c>
      <c r="C50" s="27" t="s">
        <v>124</v>
      </c>
      <c r="D50" s="27"/>
      <c r="E50" s="28">
        <v>1</v>
      </c>
      <c r="F50" s="27" t="s">
        <v>136</v>
      </c>
      <c r="G50" s="29" t="s">
        <v>37</v>
      </c>
      <c r="H50" s="28" t="s">
        <v>38</v>
      </c>
      <c r="I50" s="70" t="s">
        <v>39</v>
      </c>
      <c r="J50" s="70" t="s">
        <v>74</v>
      </c>
      <c r="K50" s="71" t="s">
        <v>137</v>
      </c>
      <c r="L50" s="72">
        <v>1500000</v>
      </c>
      <c r="M50" s="72"/>
      <c r="N50" s="73">
        <v>4100000</v>
      </c>
      <c r="O50" s="73"/>
      <c r="P50" s="73"/>
      <c r="Q50" s="72"/>
      <c r="R50" s="91">
        <f t="shared" si="1"/>
        <v>328000</v>
      </c>
      <c r="S50" s="92">
        <f t="shared" si="2"/>
        <v>4428000</v>
      </c>
      <c r="T50" s="2"/>
    </row>
    <row r="51" spans="1:20" s="1" customFormat="1" ht="33" customHeight="1" x14ac:dyDescent="0.2">
      <c r="A51" s="25">
        <v>35</v>
      </c>
      <c r="B51" s="26" t="s">
        <v>135</v>
      </c>
      <c r="C51" s="27" t="s">
        <v>124</v>
      </c>
      <c r="D51" s="27"/>
      <c r="E51" s="28">
        <v>1</v>
      </c>
      <c r="F51" s="27" t="s">
        <v>138</v>
      </c>
      <c r="G51" s="29" t="s">
        <v>37</v>
      </c>
      <c r="H51" s="28" t="s">
        <v>38</v>
      </c>
      <c r="I51" s="70" t="s">
        <v>39</v>
      </c>
      <c r="J51" s="70" t="s">
        <v>74</v>
      </c>
      <c r="K51" s="71" t="s">
        <v>139</v>
      </c>
      <c r="L51" s="72">
        <v>1500000</v>
      </c>
      <c r="M51" s="72"/>
      <c r="N51" s="73">
        <v>4100000</v>
      </c>
      <c r="O51" s="73"/>
      <c r="P51" s="73"/>
      <c r="Q51" s="72"/>
      <c r="R51" s="91">
        <f t="shared" si="1"/>
        <v>328000</v>
      </c>
      <c r="S51" s="92">
        <f t="shared" si="2"/>
        <v>4428000</v>
      </c>
      <c r="T51" s="2"/>
    </row>
    <row r="52" spans="1:20" s="1" customFormat="1" ht="33" customHeight="1" x14ac:dyDescent="0.2">
      <c r="A52" s="25">
        <v>36</v>
      </c>
      <c r="B52" s="26" t="s">
        <v>135</v>
      </c>
      <c r="C52" s="27" t="s">
        <v>124</v>
      </c>
      <c r="D52" s="27"/>
      <c r="E52" s="28">
        <v>1</v>
      </c>
      <c r="F52" s="27" t="s">
        <v>140</v>
      </c>
      <c r="G52" s="29" t="s">
        <v>37</v>
      </c>
      <c r="H52" s="28" t="s">
        <v>38</v>
      </c>
      <c r="I52" s="70" t="s">
        <v>39</v>
      </c>
      <c r="J52" s="70" t="s">
        <v>74</v>
      </c>
      <c r="K52" s="71" t="s">
        <v>141</v>
      </c>
      <c r="L52" s="72">
        <v>1500000</v>
      </c>
      <c r="M52" s="72"/>
      <c r="N52" s="73">
        <v>4100000</v>
      </c>
      <c r="O52" s="73"/>
      <c r="P52" s="73"/>
      <c r="Q52" s="72"/>
      <c r="R52" s="91">
        <f t="shared" si="1"/>
        <v>328000</v>
      </c>
      <c r="S52" s="92">
        <f t="shared" si="2"/>
        <v>4428000</v>
      </c>
      <c r="T52" s="2"/>
    </row>
    <row r="53" spans="1:20" s="1" customFormat="1" ht="33" customHeight="1" x14ac:dyDescent="0.2">
      <c r="A53" s="25">
        <v>37</v>
      </c>
      <c r="B53" s="26" t="s">
        <v>135</v>
      </c>
      <c r="C53" s="27" t="s">
        <v>124</v>
      </c>
      <c r="D53" s="27"/>
      <c r="E53" s="28">
        <v>1</v>
      </c>
      <c r="F53" s="27" t="s">
        <v>142</v>
      </c>
      <c r="G53" s="29" t="s">
        <v>37</v>
      </c>
      <c r="H53" s="28" t="s">
        <v>38</v>
      </c>
      <c r="I53" s="70" t="s">
        <v>39</v>
      </c>
      <c r="J53" s="70" t="s">
        <v>74</v>
      </c>
      <c r="K53" s="71" t="s">
        <v>143</v>
      </c>
      <c r="L53" s="72">
        <v>1500000</v>
      </c>
      <c r="M53" s="72"/>
      <c r="N53" s="73">
        <v>4100000</v>
      </c>
      <c r="O53" s="73"/>
      <c r="P53" s="73"/>
      <c r="Q53" s="72"/>
      <c r="R53" s="91">
        <f t="shared" si="1"/>
        <v>328000</v>
      </c>
      <c r="S53" s="92">
        <f t="shared" si="2"/>
        <v>4428000</v>
      </c>
      <c r="T53" s="2"/>
    </row>
    <row r="54" spans="1:20" s="1" customFormat="1" ht="33" customHeight="1" x14ac:dyDescent="0.2">
      <c r="A54" s="25">
        <v>38</v>
      </c>
      <c r="B54" s="26" t="s">
        <v>135</v>
      </c>
      <c r="C54" s="27" t="s">
        <v>124</v>
      </c>
      <c r="D54" s="27"/>
      <c r="E54" s="28">
        <v>1</v>
      </c>
      <c r="F54" s="27" t="s">
        <v>144</v>
      </c>
      <c r="G54" s="29" t="s">
        <v>37</v>
      </c>
      <c r="H54" s="28" t="s">
        <v>38</v>
      </c>
      <c r="I54" s="70" t="s">
        <v>39</v>
      </c>
      <c r="J54" s="70" t="s">
        <v>74</v>
      </c>
      <c r="K54" s="71" t="s">
        <v>145</v>
      </c>
      <c r="L54" s="72">
        <v>1500000</v>
      </c>
      <c r="M54" s="72"/>
      <c r="N54" s="73">
        <v>4100000</v>
      </c>
      <c r="O54" s="73"/>
      <c r="P54" s="73"/>
      <c r="Q54" s="72"/>
      <c r="R54" s="91">
        <f t="shared" si="1"/>
        <v>328000</v>
      </c>
      <c r="S54" s="92">
        <f t="shared" si="2"/>
        <v>4428000</v>
      </c>
      <c r="T54" s="2"/>
    </row>
    <row r="55" spans="1:20" s="1" customFormat="1" ht="33" customHeight="1" x14ac:dyDescent="0.2">
      <c r="A55" s="35">
        <v>39</v>
      </c>
      <c r="B55" s="36" t="s">
        <v>84</v>
      </c>
      <c r="C55" s="37" t="s">
        <v>85</v>
      </c>
      <c r="D55" s="37"/>
      <c r="E55" s="38">
        <v>1</v>
      </c>
      <c r="F55" s="37" t="s">
        <v>86</v>
      </c>
      <c r="G55" s="39" t="s">
        <v>37</v>
      </c>
      <c r="H55" s="38" t="s">
        <v>38</v>
      </c>
      <c r="I55" s="78" t="s">
        <v>39</v>
      </c>
      <c r="J55" s="78" t="s">
        <v>87</v>
      </c>
      <c r="K55" s="79" t="s">
        <v>88</v>
      </c>
      <c r="L55" s="80">
        <v>1500000</v>
      </c>
      <c r="M55" s="80"/>
      <c r="N55" s="81">
        <v>4100000</v>
      </c>
      <c r="O55" s="81"/>
      <c r="P55" s="81"/>
      <c r="Q55" s="80"/>
      <c r="R55" s="95">
        <f t="shared" si="1"/>
        <v>328000</v>
      </c>
      <c r="S55" s="96">
        <f t="shared" si="2"/>
        <v>4428000</v>
      </c>
      <c r="T55" s="2"/>
    </row>
    <row r="56" spans="1:20" s="1" customFormat="1" ht="33" customHeight="1" x14ac:dyDescent="0.2">
      <c r="A56" s="35">
        <v>40</v>
      </c>
      <c r="B56" s="36" t="s">
        <v>84</v>
      </c>
      <c r="C56" s="37" t="s">
        <v>85</v>
      </c>
      <c r="D56" s="37"/>
      <c r="E56" s="38">
        <v>1</v>
      </c>
      <c r="F56" s="37" t="s">
        <v>89</v>
      </c>
      <c r="G56" s="39" t="s">
        <v>37</v>
      </c>
      <c r="H56" s="38" t="s">
        <v>38</v>
      </c>
      <c r="I56" s="78" t="s">
        <v>39</v>
      </c>
      <c r="J56" s="78" t="s">
        <v>87</v>
      </c>
      <c r="K56" s="79" t="s">
        <v>90</v>
      </c>
      <c r="L56" s="80">
        <v>1500000</v>
      </c>
      <c r="M56" s="80"/>
      <c r="N56" s="81">
        <v>4100000</v>
      </c>
      <c r="O56" s="81"/>
      <c r="P56" s="81"/>
      <c r="Q56" s="80"/>
      <c r="R56" s="95">
        <f t="shared" si="1"/>
        <v>328000</v>
      </c>
      <c r="S56" s="96">
        <f t="shared" si="2"/>
        <v>4428000</v>
      </c>
      <c r="T56" s="2"/>
    </row>
    <row r="57" spans="1:20" s="1" customFormat="1" ht="33" customHeight="1" x14ac:dyDescent="0.2">
      <c r="A57" s="35">
        <v>41</v>
      </c>
      <c r="B57" s="36" t="s">
        <v>84</v>
      </c>
      <c r="C57" s="37" t="s">
        <v>85</v>
      </c>
      <c r="D57" s="37"/>
      <c r="E57" s="38">
        <v>1</v>
      </c>
      <c r="F57" s="37" t="s">
        <v>91</v>
      </c>
      <c r="G57" s="39" t="s">
        <v>37</v>
      </c>
      <c r="H57" s="38" t="s">
        <v>38</v>
      </c>
      <c r="I57" s="78" t="s">
        <v>39</v>
      </c>
      <c r="J57" s="78" t="s">
        <v>87</v>
      </c>
      <c r="K57" s="79" t="s">
        <v>92</v>
      </c>
      <c r="L57" s="80">
        <v>1500000</v>
      </c>
      <c r="M57" s="80">
        <v>5000000</v>
      </c>
      <c r="N57" s="81">
        <v>4100000</v>
      </c>
      <c r="O57" s="81"/>
      <c r="P57" s="81"/>
      <c r="Q57" s="80"/>
      <c r="R57" s="95">
        <f t="shared" si="1"/>
        <v>328000</v>
      </c>
      <c r="S57" s="96">
        <f t="shared" si="2"/>
        <v>4428000</v>
      </c>
      <c r="T57" s="2"/>
    </row>
    <row r="58" spans="1:20" s="1" customFormat="1" ht="33" customHeight="1" x14ac:dyDescent="0.2">
      <c r="A58" s="35">
        <v>42</v>
      </c>
      <c r="B58" s="36" t="s">
        <v>84</v>
      </c>
      <c r="C58" s="37" t="s">
        <v>85</v>
      </c>
      <c r="D58" s="37"/>
      <c r="E58" s="38">
        <v>1</v>
      </c>
      <c r="F58" s="37" t="s">
        <v>93</v>
      </c>
      <c r="G58" s="39" t="s">
        <v>37</v>
      </c>
      <c r="H58" s="38" t="s">
        <v>38</v>
      </c>
      <c r="I58" s="78" t="s">
        <v>39</v>
      </c>
      <c r="J58" s="78" t="s">
        <v>87</v>
      </c>
      <c r="K58" s="79" t="s">
        <v>94</v>
      </c>
      <c r="L58" s="80">
        <v>1500000</v>
      </c>
      <c r="M58" s="80">
        <v>700000</v>
      </c>
      <c r="N58" s="81">
        <v>4100000</v>
      </c>
      <c r="O58" s="81"/>
      <c r="P58" s="81"/>
      <c r="Q58" s="80"/>
      <c r="R58" s="95">
        <f t="shared" si="1"/>
        <v>328000</v>
      </c>
      <c r="S58" s="96">
        <f t="shared" si="2"/>
        <v>4428000</v>
      </c>
      <c r="T58" s="2"/>
    </row>
    <row r="59" spans="1:20" s="1" customFormat="1" ht="33" customHeight="1" x14ac:dyDescent="0.2">
      <c r="A59" s="35">
        <v>43</v>
      </c>
      <c r="B59" s="36" t="s">
        <v>84</v>
      </c>
      <c r="C59" s="37" t="s">
        <v>85</v>
      </c>
      <c r="D59" s="37"/>
      <c r="E59" s="38">
        <v>1</v>
      </c>
      <c r="F59" s="37" t="s">
        <v>95</v>
      </c>
      <c r="G59" s="39" t="s">
        <v>37</v>
      </c>
      <c r="H59" s="38" t="s">
        <v>38</v>
      </c>
      <c r="I59" s="78" t="s">
        <v>39</v>
      </c>
      <c r="J59" s="78" t="s">
        <v>87</v>
      </c>
      <c r="K59" s="79" t="s">
        <v>96</v>
      </c>
      <c r="L59" s="80">
        <v>1500000</v>
      </c>
      <c r="M59" s="80"/>
      <c r="N59" s="81">
        <v>4100000</v>
      </c>
      <c r="O59" s="81"/>
      <c r="P59" s="81"/>
      <c r="Q59" s="80"/>
      <c r="R59" s="95">
        <f t="shared" si="1"/>
        <v>328000</v>
      </c>
      <c r="S59" s="96">
        <f t="shared" si="2"/>
        <v>4428000</v>
      </c>
      <c r="T59" s="2"/>
    </row>
    <row r="60" spans="1:20" s="1" customFormat="1" ht="33" customHeight="1" x14ac:dyDescent="0.2">
      <c r="A60" s="35">
        <v>44</v>
      </c>
      <c r="B60" s="36" t="s">
        <v>84</v>
      </c>
      <c r="C60" s="37" t="s">
        <v>85</v>
      </c>
      <c r="D60" s="37"/>
      <c r="E60" s="38">
        <v>1</v>
      </c>
      <c r="F60" s="37" t="s">
        <v>97</v>
      </c>
      <c r="G60" s="39" t="s">
        <v>37</v>
      </c>
      <c r="H60" s="38" t="s">
        <v>38</v>
      </c>
      <c r="I60" s="78" t="s">
        <v>39</v>
      </c>
      <c r="J60" s="78" t="s">
        <v>87</v>
      </c>
      <c r="K60" s="79" t="s">
        <v>98</v>
      </c>
      <c r="L60" s="80">
        <v>1500000</v>
      </c>
      <c r="M60" s="80"/>
      <c r="N60" s="81">
        <v>4100000</v>
      </c>
      <c r="O60" s="81"/>
      <c r="P60" s="81"/>
      <c r="Q60" s="80"/>
      <c r="R60" s="95">
        <f t="shared" si="1"/>
        <v>328000</v>
      </c>
      <c r="S60" s="96">
        <f t="shared" si="2"/>
        <v>4428000</v>
      </c>
      <c r="T60" s="2"/>
    </row>
    <row r="61" spans="1:20" s="1" customFormat="1" ht="33" customHeight="1" x14ac:dyDescent="0.2">
      <c r="A61" s="35">
        <v>45</v>
      </c>
      <c r="B61" s="36" t="s">
        <v>84</v>
      </c>
      <c r="C61" s="37" t="s">
        <v>85</v>
      </c>
      <c r="D61" s="37"/>
      <c r="E61" s="38">
        <v>1</v>
      </c>
      <c r="F61" s="37" t="s">
        <v>99</v>
      </c>
      <c r="G61" s="39" t="s">
        <v>37</v>
      </c>
      <c r="H61" s="38" t="s">
        <v>38</v>
      </c>
      <c r="I61" s="78" t="s">
        <v>39</v>
      </c>
      <c r="J61" s="78" t="s">
        <v>87</v>
      </c>
      <c r="K61" s="79" t="s">
        <v>100</v>
      </c>
      <c r="L61" s="80">
        <v>1500000</v>
      </c>
      <c r="M61" s="80"/>
      <c r="N61" s="81">
        <v>4100000</v>
      </c>
      <c r="O61" s="81"/>
      <c r="P61" s="81"/>
      <c r="Q61" s="80"/>
      <c r="R61" s="95">
        <f t="shared" si="1"/>
        <v>328000</v>
      </c>
      <c r="S61" s="96">
        <f t="shared" si="2"/>
        <v>4428000</v>
      </c>
      <c r="T61" s="2"/>
    </row>
    <row r="62" spans="1:20" ht="33" customHeight="1" x14ac:dyDescent="0.2">
      <c r="A62" s="738" t="s">
        <v>52</v>
      </c>
      <c r="B62" s="739"/>
      <c r="C62" s="740"/>
      <c r="D62" s="45">
        <f>SUM(D17:D61)</f>
        <v>0</v>
      </c>
      <c r="E62" s="45">
        <f>SUM(E17:E61)</f>
        <v>45</v>
      </c>
      <c r="F62" s="46"/>
      <c r="G62" s="47"/>
      <c r="H62" s="46"/>
      <c r="I62" s="74"/>
      <c r="J62" s="46"/>
      <c r="K62" s="86"/>
      <c r="L62" s="87">
        <f>SUM(L17:L61)</f>
        <v>67500000</v>
      </c>
      <c r="M62" s="87">
        <f t="shared" ref="M62:S62" si="3">SUM(M17:M61)</f>
        <v>8700000</v>
      </c>
      <c r="N62" s="87">
        <f t="shared" si="3"/>
        <v>184700000</v>
      </c>
      <c r="O62" s="87">
        <f t="shared" si="3"/>
        <v>0</v>
      </c>
      <c r="P62" s="87">
        <f t="shared" si="3"/>
        <v>0</v>
      </c>
      <c r="Q62" s="87">
        <f t="shared" si="3"/>
        <v>1320000</v>
      </c>
      <c r="R62" s="87">
        <f t="shared" si="3"/>
        <v>14881600</v>
      </c>
      <c r="S62" s="87">
        <f t="shared" si="3"/>
        <v>200901600</v>
      </c>
      <c r="T62" s="2"/>
    </row>
    <row r="63" spans="1:20" ht="18" customHeight="1" x14ac:dyDescent="0.2">
      <c r="A63" s="48" t="s">
        <v>53</v>
      </c>
      <c r="B63" s="48"/>
      <c r="H63" s="15"/>
      <c r="I63" s="10"/>
      <c r="J63" s="15"/>
      <c r="K63" s="63"/>
      <c r="L63" s="64"/>
      <c r="M63" s="64"/>
      <c r="N63" s="15"/>
      <c r="O63" s="15"/>
      <c r="P63" s="15"/>
      <c r="Q63" s="64"/>
      <c r="R63" s="15"/>
      <c r="S63" s="15"/>
    </row>
    <row r="64" spans="1:20" s="2" customFormat="1" ht="23.25" customHeight="1" x14ac:dyDescent="0.2">
      <c r="A64" s="49"/>
      <c r="B64" s="50"/>
      <c r="C64" s="51" t="s">
        <v>29</v>
      </c>
      <c r="D64" s="52"/>
      <c r="E64" s="52"/>
      <c r="F64" s="52">
        <f>S62</f>
        <v>200901600</v>
      </c>
      <c r="G64" s="53"/>
      <c r="H64" s="54"/>
      <c r="I64" s="12"/>
      <c r="J64" s="54"/>
      <c r="K64" s="88"/>
      <c r="L64" s="89"/>
      <c r="M64" s="89"/>
      <c r="N64" s="54"/>
      <c r="O64" s="54"/>
      <c r="P64" s="54"/>
      <c r="Q64" s="89"/>
      <c r="R64" s="54"/>
      <c r="S64" s="54"/>
    </row>
    <row r="65" spans="1:19" x14ac:dyDescent="0.2">
      <c r="A65" s="15"/>
      <c r="B65" s="99"/>
      <c r="C65" s="54" t="s">
        <v>54</v>
      </c>
      <c r="D65" s="15"/>
      <c r="E65" s="15"/>
      <c r="F65" s="100">
        <f>L62</f>
        <v>67500000</v>
      </c>
      <c r="G65" s="10"/>
      <c r="H65" s="15"/>
      <c r="I65" s="7"/>
      <c r="J65" s="15"/>
      <c r="K65" s="63"/>
      <c r="L65" s="64"/>
      <c r="M65" s="64"/>
      <c r="N65" s="15"/>
      <c r="O65" s="15"/>
      <c r="P65" s="15"/>
      <c r="Q65" s="64"/>
      <c r="R65" s="15"/>
      <c r="S65" s="15"/>
    </row>
    <row r="66" spans="1:19" x14ac:dyDescent="0.2">
      <c r="A66" s="15"/>
      <c r="B66" s="99"/>
      <c r="C66" s="54" t="s">
        <v>55</v>
      </c>
      <c r="D66" s="15"/>
      <c r="E66" s="15"/>
      <c r="F66" s="100">
        <f>M62</f>
        <v>8700000</v>
      </c>
      <c r="G66" s="10"/>
      <c r="H66" s="15"/>
      <c r="I66" s="7"/>
      <c r="J66" s="15"/>
      <c r="K66" s="63"/>
      <c r="L66" s="64"/>
      <c r="M66" s="64"/>
      <c r="N66" s="15"/>
      <c r="O66" s="15"/>
      <c r="P66" s="15"/>
      <c r="Q66" s="64"/>
      <c r="R66" s="15"/>
      <c r="S66" s="15"/>
    </row>
    <row r="67" spans="1:19" ht="23.25" customHeight="1" x14ac:dyDescent="0.2">
      <c r="A67" s="741" t="s">
        <v>56</v>
      </c>
      <c r="B67" s="741"/>
      <c r="C67" s="741"/>
      <c r="D67" s="741"/>
      <c r="E67" s="741"/>
      <c r="F67" s="741"/>
      <c r="G67" s="101"/>
      <c r="H67" s="102"/>
      <c r="I67" s="104"/>
      <c r="J67" s="741" t="s">
        <v>57</v>
      </c>
      <c r="K67" s="741"/>
      <c r="L67" s="741"/>
      <c r="M67" s="741"/>
      <c r="N67" s="741"/>
      <c r="O67" s="741"/>
      <c r="P67" s="741"/>
      <c r="Q67" s="741"/>
      <c r="R67" s="741"/>
      <c r="S67" s="12"/>
    </row>
    <row r="68" spans="1:19" x14ac:dyDescent="0.2">
      <c r="G68" s="103"/>
      <c r="I68" s="105"/>
    </row>
    <row r="69" spans="1:19" x14ac:dyDescent="0.2">
      <c r="G69" s="103"/>
      <c r="I69" s="105"/>
    </row>
    <row r="70" spans="1:19" x14ac:dyDescent="0.2">
      <c r="G70" s="103"/>
      <c r="I70" s="105"/>
    </row>
    <row r="71" spans="1:19" x14ac:dyDescent="0.2">
      <c r="G71" s="103"/>
      <c r="I71" s="105"/>
    </row>
    <row r="72" spans="1:19" x14ac:dyDescent="0.2">
      <c r="G72" s="103"/>
      <c r="I72" s="105"/>
    </row>
    <row r="73" spans="1:19" x14ac:dyDescent="0.2">
      <c r="G73" s="103"/>
      <c r="I73" s="105"/>
    </row>
    <row r="74" spans="1:19" x14ac:dyDescent="0.2">
      <c r="G74" s="103"/>
      <c r="I74" s="105"/>
    </row>
    <row r="75" spans="1:19" x14ac:dyDescent="0.2">
      <c r="G75" s="103"/>
      <c r="I75" s="105"/>
    </row>
    <row r="76" spans="1:19" x14ac:dyDescent="0.2">
      <c r="G76" s="103"/>
      <c r="I76" s="105"/>
    </row>
    <row r="77" spans="1:19" x14ac:dyDescent="0.2">
      <c r="G77" s="103"/>
      <c r="I77" s="105"/>
    </row>
    <row r="78" spans="1:19" x14ac:dyDescent="0.2">
      <c r="G78" s="103"/>
      <c r="I78" s="105"/>
    </row>
    <row r="79" spans="1:19" x14ac:dyDescent="0.2">
      <c r="G79" s="103"/>
      <c r="I79" s="105"/>
    </row>
    <row r="80" spans="1:19" x14ac:dyDescent="0.2">
      <c r="G80" s="103"/>
      <c r="I80" s="105"/>
    </row>
    <row r="81" spans="7:9" x14ac:dyDescent="0.2">
      <c r="G81" s="103"/>
      <c r="I81" s="105"/>
    </row>
    <row r="82" spans="7:9" x14ac:dyDescent="0.2">
      <c r="G82" s="103"/>
      <c r="I82" s="105"/>
    </row>
    <row r="83" spans="7:9" x14ac:dyDescent="0.2">
      <c r="G83" s="103"/>
      <c r="I83" s="105"/>
    </row>
    <row r="84" spans="7:9" x14ac:dyDescent="0.2">
      <c r="G84" s="103"/>
      <c r="I84" s="105"/>
    </row>
    <row r="85" spans="7:9" x14ac:dyDescent="0.2">
      <c r="G85" s="103"/>
      <c r="I85" s="105"/>
    </row>
    <row r="86" spans="7:9" x14ac:dyDescent="0.2">
      <c r="G86" s="103"/>
      <c r="I86" s="105"/>
    </row>
    <row r="87" spans="7:9" x14ac:dyDescent="0.2">
      <c r="G87" s="103"/>
      <c r="I87" s="105"/>
    </row>
    <row r="88" spans="7:9" x14ac:dyDescent="0.2">
      <c r="G88" s="103"/>
      <c r="I88" s="105"/>
    </row>
    <row r="89" spans="7:9" x14ac:dyDescent="0.2">
      <c r="G89" s="103"/>
      <c r="I89" s="105"/>
    </row>
    <row r="90" spans="7:9" x14ac:dyDescent="0.2">
      <c r="G90" s="103"/>
      <c r="I90" s="105"/>
    </row>
    <row r="91" spans="7:9" x14ac:dyDescent="0.2">
      <c r="G91" s="103"/>
      <c r="I91" s="105"/>
    </row>
    <row r="92" spans="7:9" x14ac:dyDescent="0.2">
      <c r="G92" s="103"/>
      <c r="I92" s="105"/>
    </row>
    <row r="93" spans="7:9" x14ac:dyDescent="0.2">
      <c r="G93" s="103"/>
      <c r="I93" s="105"/>
    </row>
    <row r="94" spans="7:9" x14ac:dyDescent="0.2">
      <c r="G94" s="103"/>
      <c r="I94" s="105"/>
    </row>
    <row r="95" spans="7:9" x14ac:dyDescent="0.2">
      <c r="G95" s="103"/>
      <c r="I95" s="105"/>
    </row>
    <row r="96" spans="7:9" x14ac:dyDescent="0.2">
      <c r="G96" s="103"/>
      <c r="I96" s="105"/>
    </row>
    <row r="97" spans="7:9" x14ac:dyDescent="0.2">
      <c r="G97" s="103"/>
      <c r="I97" s="105"/>
    </row>
    <row r="98" spans="7:9" x14ac:dyDescent="0.2">
      <c r="G98" s="103"/>
      <c r="I98" s="105"/>
    </row>
    <row r="99" spans="7:9" x14ac:dyDescent="0.2">
      <c r="G99" s="103"/>
      <c r="I99" s="105"/>
    </row>
    <row r="100" spans="7:9" x14ac:dyDescent="0.2">
      <c r="G100" s="103"/>
      <c r="I100" s="105"/>
    </row>
    <row r="101" spans="7:9" x14ac:dyDescent="0.2">
      <c r="G101" s="103"/>
      <c r="I101" s="105"/>
    </row>
    <row r="102" spans="7:9" x14ac:dyDescent="0.2">
      <c r="G102" s="103"/>
      <c r="I102" s="105"/>
    </row>
    <row r="103" spans="7:9" x14ac:dyDescent="0.2">
      <c r="G103" s="103"/>
      <c r="I103" s="105"/>
    </row>
    <row r="104" spans="7:9" x14ac:dyDescent="0.2">
      <c r="G104" s="103"/>
      <c r="I104" s="105"/>
    </row>
    <row r="105" spans="7:9" x14ac:dyDescent="0.2">
      <c r="G105" s="103"/>
      <c r="I105" s="105"/>
    </row>
    <row r="106" spans="7:9" x14ac:dyDescent="0.2">
      <c r="G106" s="103"/>
      <c r="I106" s="105"/>
    </row>
    <row r="107" spans="7:9" x14ac:dyDescent="0.2">
      <c r="G107" s="103"/>
      <c r="I107" s="105"/>
    </row>
    <row r="108" spans="7:9" x14ac:dyDescent="0.2">
      <c r="G108" s="103"/>
      <c r="I108" s="105"/>
    </row>
  </sheetData>
  <autoFilter ref="A16:S67" xr:uid="{00000000-0009-0000-0000-000003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62:C62"/>
    <mergeCell ref="A67:F67"/>
    <mergeCell ref="J67:R67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6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428"/>
  <sheetViews>
    <sheetView tabSelected="1" topLeftCell="J10" zoomScaleNormal="100" zoomScaleSheetLayoutView="85" workbookViewId="0">
      <pane ySplit="7" topLeftCell="A17" activePane="bottomLeft" state="frozen"/>
      <selection pane="bottomLeft" activeCell="U15" sqref="U15:U16"/>
    </sheetView>
  </sheetViews>
  <sheetFormatPr baseColWidth="10" defaultColWidth="9" defaultRowHeight="60" customHeight="1" x14ac:dyDescent="0.2"/>
  <cols>
    <col min="1" max="1" width="7.33203125" style="126" customWidth="1"/>
    <col min="2" max="2" width="17.33203125" style="249" customWidth="1"/>
    <col min="3" max="3" width="32" style="126" customWidth="1"/>
    <col min="4" max="5" width="4.83203125" style="126" customWidth="1"/>
    <col min="6" max="6" width="20.1640625" style="245" customWidth="1"/>
    <col min="7" max="7" width="20.1640625" style="236" customWidth="1"/>
    <col min="8" max="8" width="23.1640625" style="253" customWidth="1"/>
    <col min="9" max="9" width="63" style="126" customWidth="1"/>
    <col min="10" max="10" width="8.5" style="126" customWidth="1"/>
    <col min="11" max="11" width="7.1640625" style="126" customWidth="1"/>
    <col min="12" max="12" width="17.5" style="252" customWidth="1"/>
    <col min="13" max="13" width="34.83203125" style="125" customWidth="1"/>
    <col min="14" max="14" width="15.83203125" style="125" customWidth="1"/>
    <col min="15" max="15" width="20.83203125" style="125" customWidth="1"/>
    <col min="16" max="16" width="13.83203125" style="125" customWidth="1"/>
    <col min="17" max="17" width="12.6640625" style="526" customWidth="1"/>
    <col min="18" max="18" width="34.33203125" style="125" customWidth="1"/>
    <col min="19" max="19" width="44.83203125" style="125" customWidth="1"/>
    <col min="20" max="20" width="21.1640625" style="125" customWidth="1"/>
    <col min="21" max="21" width="27.33203125" style="126" customWidth="1"/>
    <col min="22" max="22" width="131.5" style="126" customWidth="1"/>
    <col min="23" max="16384" width="9" style="126"/>
  </cols>
  <sheetData>
    <row r="1" spans="1:21" ht="23.25" customHeight="1" x14ac:dyDescent="0.2">
      <c r="A1" s="119"/>
      <c r="B1" s="120"/>
      <c r="C1" s="121"/>
      <c r="D1" s="119"/>
      <c r="E1" s="119"/>
      <c r="F1" s="119"/>
      <c r="G1" s="119"/>
      <c r="H1" s="122"/>
      <c r="I1" s="123"/>
      <c r="J1" s="121"/>
      <c r="K1" s="123"/>
      <c r="L1" s="124"/>
      <c r="U1" s="123"/>
    </row>
    <row r="2" spans="1:21" ht="23.25" customHeight="1" x14ac:dyDescent="0.2">
      <c r="A2" s="770" t="s">
        <v>157</v>
      </c>
      <c r="B2" s="770"/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0"/>
    </row>
    <row r="3" spans="1:21" ht="23.25" customHeight="1" x14ac:dyDescent="0.2">
      <c r="A3" s="771" t="s">
        <v>158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  <c r="U3" s="771"/>
    </row>
    <row r="4" spans="1:21" ht="23.25" customHeight="1" x14ac:dyDescent="0.2">
      <c r="A4" s="771" t="s">
        <v>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  <c r="U4" s="771"/>
    </row>
    <row r="5" spans="1:21" ht="23.25" customHeight="1" x14ac:dyDescent="0.2">
      <c r="A5" s="119"/>
      <c r="B5" s="127"/>
      <c r="C5" s="119"/>
      <c r="D5" s="119"/>
      <c r="E5" s="119"/>
      <c r="F5" s="119"/>
      <c r="G5" s="119"/>
      <c r="H5" s="122"/>
      <c r="I5" s="119"/>
      <c r="J5" s="119"/>
      <c r="K5" s="119"/>
      <c r="L5" s="128"/>
      <c r="M5" s="129"/>
      <c r="N5" s="129"/>
      <c r="O5" s="129"/>
      <c r="P5" s="129"/>
      <c r="Q5" s="527"/>
      <c r="R5" s="129"/>
      <c r="S5" s="129"/>
      <c r="T5" s="129"/>
      <c r="U5" s="119"/>
    </row>
    <row r="6" spans="1:21" ht="23.25" customHeight="1" x14ac:dyDescent="0.2">
      <c r="A6" s="772" t="s">
        <v>159</v>
      </c>
      <c r="B6" s="772"/>
      <c r="C6" s="772"/>
      <c r="D6" s="772"/>
      <c r="E6" s="772"/>
      <c r="F6" s="773"/>
      <c r="G6" s="772"/>
      <c r="H6" s="772"/>
      <c r="I6" s="130"/>
      <c r="J6" s="131"/>
      <c r="K6" s="130"/>
      <c r="L6" s="132"/>
      <c r="M6" s="133"/>
      <c r="N6" s="133"/>
      <c r="O6" s="133"/>
      <c r="P6" s="133"/>
      <c r="Q6" s="528"/>
      <c r="R6" s="133"/>
      <c r="S6" s="133"/>
      <c r="T6" s="133"/>
      <c r="U6" s="130"/>
    </row>
    <row r="7" spans="1:21" ht="23.25" customHeight="1" x14ac:dyDescent="0.2">
      <c r="A7" s="774" t="s">
        <v>160</v>
      </c>
      <c r="B7" s="774"/>
      <c r="C7" s="774"/>
      <c r="D7" s="774"/>
      <c r="E7" s="774"/>
      <c r="F7" s="775"/>
      <c r="G7" s="774"/>
      <c r="H7" s="774"/>
      <c r="I7" s="774"/>
      <c r="J7" s="774"/>
      <c r="K7" s="774"/>
      <c r="L7" s="135"/>
      <c r="M7" s="136"/>
      <c r="N7" s="136"/>
      <c r="O7" s="136"/>
      <c r="P7" s="136"/>
      <c r="Q7" s="529"/>
      <c r="R7" s="136"/>
      <c r="S7" s="136"/>
      <c r="T7" s="136"/>
      <c r="U7" s="130"/>
    </row>
    <row r="8" spans="1:21" ht="23.25" customHeight="1" x14ac:dyDescent="0.2">
      <c r="A8" s="774" t="s">
        <v>161</v>
      </c>
      <c r="B8" s="774"/>
      <c r="C8" s="774"/>
      <c r="D8" s="774"/>
      <c r="E8" s="774"/>
      <c r="F8" s="775"/>
      <c r="G8" s="137"/>
      <c r="H8" s="138"/>
      <c r="I8" s="139"/>
      <c r="J8" s="140"/>
      <c r="K8" s="139"/>
      <c r="L8" s="135"/>
      <c r="M8" s="136"/>
      <c r="N8" s="136"/>
      <c r="O8" s="136"/>
      <c r="P8" s="136"/>
      <c r="Q8" s="529"/>
      <c r="R8" s="136"/>
      <c r="S8" s="136"/>
      <c r="T8" s="136"/>
      <c r="U8" s="130"/>
    </row>
    <row r="9" spans="1:21" ht="23.25" customHeight="1" x14ac:dyDescent="0.2">
      <c r="A9" s="776" t="s">
        <v>162</v>
      </c>
      <c r="B9" s="776"/>
      <c r="C9" s="776"/>
      <c r="D9" s="776"/>
      <c r="E9" s="776"/>
      <c r="F9" s="777"/>
      <c r="G9" s="776"/>
      <c r="H9" s="776"/>
      <c r="I9" s="776"/>
      <c r="J9" s="140"/>
      <c r="K9" s="139"/>
      <c r="L9" s="135"/>
      <c r="M9" s="136"/>
      <c r="N9" s="136"/>
      <c r="O9" s="136"/>
      <c r="P9" s="136"/>
      <c r="Q9" s="529"/>
      <c r="R9" s="136"/>
      <c r="S9" s="136"/>
      <c r="T9" s="136"/>
      <c r="U9" s="130"/>
    </row>
    <row r="10" spans="1:21" ht="23.25" hidden="1" customHeight="1" x14ac:dyDescent="0.2">
      <c r="A10" s="141"/>
      <c r="B10" s="142"/>
      <c r="C10" s="141"/>
      <c r="E10" s="130"/>
      <c r="F10" s="119"/>
      <c r="G10" s="137"/>
      <c r="H10" s="138"/>
      <c r="I10" s="139"/>
      <c r="J10" s="140"/>
      <c r="K10" s="139"/>
      <c r="L10" s="135"/>
      <c r="M10" s="136"/>
      <c r="N10" s="136"/>
      <c r="O10" s="136"/>
      <c r="P10" s="136"/>
      <c r="Q10" s="529"/>
      <c r="R10" s="136"/>
      <c r="S10" s="136"/>
      <c r="T10" s="136"/>
      <c r="U10" s="130"/>
    </row>
    <row r="11" spans="1:21" ht="23.25" hidden="1" customHeight="1" x14ac:dyDescent="0.2">
      <c r="A11" s="772" t="s">
        <v>163</v>
      </c>
      <c r="B11" s="772"/>
      <c r="C11" s="772"/>
      <c r="D11" s="772"/>
      <c r="E11" s="772"/>
      <c r="F11" s="773"/>
      <c r="G11" s="772"/>
      <c r="H11" s="772"/>
      <c r="I11" s="130"/>
      <c r="J11" s="131"/>
      <c r="K11" s="130"/>
      <c r="L11" s="132"/>
      <c r="M11" s="133"/>
      <c r="N11" s="133"/>
      <c r="O11" s="133"/>
      <c r="P11" s="133"/>
      <c r="Q11" s="528"/>
      <c r="R11" s="133"/>
      <c r="S11" s="133"/>
      <c r="T11" s="133"/>
      <c r="U11" s="130"/>
    </row>
    <row r="12" spans="1:21" ht="23.25" hidden="1" customHeight="1" x14ac:dyDescent="0.2">
      <c r="A12" s="774" t="s">
        <v>164</v>
      </c>
      <c r="B12" s="774"/>
      <c r="C12" s="774"/>
      <c r="D12" s="774"/>
      <c r="E12" s="774"/>
      <c r="F12" s="775"/>
      <c r="G12" s="774"/>
      <c r="H12" s="774"/>
      <c r="I12" s="774"/>
      <c r="J12" s="774"/>
      <c r="K12" s="774"/>
      <c r="L12" s="135"/>
      <c r="M12" s="136"/>
      <c r="N12" s="136"/>
      <c r="O12" s="136"/>
      <c r="P12" s="136"/>
      <c r="Q12" s="529"/>
      <c r="R12" s="136"/>
      <c r="S12" s="136"/>
      <c r="T12" s="136"/>
      <c r="U12" s="130"/>
    </row>
    <row r="13" spans="1:21" ht="23.25" hidden="1" customHeight="1" x14ac:dyDescent="0.2">
      <c r="A13" s="774" t="s">
        <v>165</v>
      </c>
      <c r="B13" s="774"/>
      <c r="C13" s="774"/>
      <c r="D13" s="774"/>
      <c r="E13" s="774"/>
      <c r="F13" s="775"/>
      <c r="G13" s="137"/>
      <c r="H13" s="138"/>
      <c r="I13" s="140"/>
      <c r="J13" s="140"/>
      <c r="K13" s="139"/>
      <c r="L13" s="135"/>
      <c r="M13" s="136"/>
      <c r="N13" s="136"/>
      <c r="O13" s="136"/>
      <c r="P13" s="136"/>
      <c r="Q13" s="529"/>
      <c r="R13" s="136"/>
      <c r="S13" s="136"/>
      <c r="T13" s="136"/>
      <c r="U13" s="137"/>
    </row>
    <row r="14" spans="1:21" ht="23.25" hidden="1" customHeight="1" x14ac:dyDescent="0.2">
      <c r="A14" s="143"/>
      <c r="B14" s="144"/>
      <c r="C14" s="143"/>
      <c r="D14" s="143"/>
      <c r="E14" s="143"/>
      <c r="F14" s="119"/>
      <c r="G14" s="143"/>
      <c r="H14" s="122"/>
      <c r="I14" s="143"/>
      <c r="J14" s="119"/>
      <c r="K14" s="143"/>
      <c r="L14" s="145"/>
      <c r="M14" s="146"/>
      <c r="N14" s="146"/>
      <c r="O14" s="146"/>
      <c r="P14" s="146"/>
      <c r="Q14" s="530"/>
      <c r="R14" s="146"/>
      <c r="S14" s="146"/>
      <c r="T14" s="146"/>
      <c r="U14" s="143"/>
    </row>
    <row r="15" spans="1:21" s="153" customFormat="1" ht="15.75" customHeight="1" x14ac:dyDescent="0.2">
      <c r="A15" s="764" t="s">
        <v>15</v>
      </c>
      <c r="B15" s="766" t="s">
        <v>16</v>
      </c>
      <c r="C15" s="764" t="s">
        <v>17</v>
      </c>
      <c r="D15" s="764" t="s">
        <v>18</v>
      </c>
      <c r="E15" s="764"/>
      <c r="F15" s="764" t="s">
        <v>19</v>
      </c>
      <c r="G15" s="764" t="s">
        <v>166</v>
      </c>
      <c r="H15" s="764" t="s">
        <v>20</v>
      </c>
      <c r="I15" s="764" t="s">
        <v>21</v>
      </c>
      <c r="J15" s="778" t="s">
        <v>22</v>
      </c>
      <c r="K15" s="778" t="s">
        <v>23</v>
      </c>
      <c r="L15" s="753" t="s">
        <v>167</v>
      </c>
      <c r="M15" s="754" t="s">
        <v>1607</v>
      </c>
      <c r="N15" s="759" t="s">
        <v>1688</v>
      </c>
      <c r="O15" s="759" t="s">
        <v>1689</v>
      </c>
      <c r="P15" s="759" t="s">
        <v>1687</v>
      </c>
      <c r="Q15" s="761" t="s">
        <v>1679</v>
      </c>
      <c r="R15" s="754" t="s">
        <v>26</v>
      </c>
      <c r="S15" s="759" t="s">
        <v>1683</v>
      </c>
      <c r="T15" s="759" t="s">
        <v>1604</v>
      </c>
      <c r="U15" s="755" t="s">
        <v>1659</v>
      </c>
    </row>
    <row r="16" spans="1:21" s="153" customFormat="1" ht="16" x14ac:dyDescent="0.2">
      <c r="A16" s="765"/>
      <c r="B16" s="767"/>
      <c r="C16" s="768"/>
      <c r="D16" s="148">
        <v>20</v>
      </c>
      <c r="E16" s="148">
        <v>40</v>
      </c>
      <c r="F16" s="769"/>
      <c r="G16" s="768"/>
      <c r="H16" s="768"/>
      <c r="I16" s="769"/>
      <c r="J16" s="769"/>
      <c r="K16" s="769"/>
      <c r="L16" s="753"/>
      <c r="M16" s="754"/>
      <c r="N16" s="760"/>
      <c r="O16" s="760"/>
      <c r="P16" s="760"/>
      <c r="Q16" s="762"/>
      <c r="R16" s="754"/>
      <c r="S16" s="760"/>
      <c r="T16" s="760"/>
      <c r="U16" s="756"/>
    </row>
    <row r="17" spans="1:22" s="342" customFormat="1" ht="32.25" customHeight="1" x14ac:dyDescent="0.2">
      <c r="A17" s="333">
        <v>1</v>
      </c>
      <c r="B17" s="334">
        <v>45956</v>
      </c>
      <c r="C17" s="335">
        <v>7263043630</v>
      </c>
      <c r="D17" s="335"/>
      <c r="E17" s="335">
        <v>1</v>
      </c>
      <c r="F17" s="336" t="s">
        <v>170</v>
      </c>
      <c r="G17" s="337" t="s">
        <v>171</v>
      </c>
      <c r="H17" s="156" t="s">
        <v>172</v>
      </c>
      <c r="I17" s="384" t="s">
        <v>173</v>
      </c>
      <c r="J17" s="336" t="s">
        <v>1629</v>
      </c>
      <c r="K17" s="333" t="s">
        <v>39</v>
      </c>
      <c r="L17" s="338" t="s">
        <v>175</v>
      </c>
      <c r="M17" s="339">
        <v>1500000</v>
      </c>
      <c r="N17" s="523"/>
      <c r="O17" s="523"/>
      <c r="P17" s="523"/>
      <c r="Q17" s="540"/>
      <c r="R17" s="339"/>
      <c r="S17" s="523"/>
      <c r="T17" s="523"/>
      <c r="U17" s="340">
        <v>2700000</v>
      </c>
      <c r="V17" s="341"/>
    </row>
    <row r="18" spans="1:22" s="342" customFormat="1" ht="32.25" customHeight="1" x14ac:dyDescent="0.2">
      <c r="A18" s="333">
        <v>2</v>
      </c>
      <c r="B18" s="343">
        <v>45956</v>
      </c>
      <c r="C18" s="344" t="s">
        <v>177</v>
      </c>
      <c r="D18" s="344"/>
      <c r="E18" s="344">
        <v>1</v>
      </c>
      <c r="F18" s="345" t="s">
        <v>178</v>
      </c>
      <c r="G18" s="345" t="s">
        <v>179</v>
      </c>
      <c r="H18" s="152" t="s">
        <v>180</v>
      </c>
      <c r="I18" s="384" t="s">
        <v>181</v>
      </c>
      <c r="J18" s="335" t="s">
        <v>39</v>
      </c>
      <c r="K18" s="335" t="s">
        <v>1630</v>
      </c>
      <c r="L18" s="346" t="s">
        <v>183</v>
      </c>
      <c r="M18" s="347">
        <v>1500000</v>
      </c>
      <c r="N18" s="524"/>
      <c r="O18" s="524"/>
      <c r="P18" s="524"/>
      <c r="Q18" s="541"/>
      <c r="R18" s="347"/>
      <c r="S18" s="524"/>
      <c r="T18" s="524"/>
      <c r="U18" s="340">
        <v>4500000</v>
      </c>
      <c r="V18" s="341"/>
    </row>
    <row r="19" spans="1:22" s="342" customFormat="1" ht="32.25" customHeight="1" x14ac:dyDescent="0.2">
      <c r="A19" s="333">
        <v>3</v>
      </c>
      <c r="B19" s="343">
        <v>45956</v>
      </c>
      <c r="C19" s="344" t="s">
        <v>177</v>
      </c>
      <c r="D19" s="348"/>
      <c r="E19" s="344">
        <v>1</v>
      </c>
      <c r="F19" s="345" t="s">
        <v>184</v>
      </c>
      <c r="G19" s="345" t="s">
        <v>185</v>
      </c>
      <c r="H19" s="152" t="s">
        <v>180</v>
      </c>
      <c r="I19" s="384" t="s">
        <v>181</v>
      </c>
      <c r="J19" s="335" t="s">
        <v>39</v>
      </c>
      <c r="K19" s="335" t="s">
        <v>1630</v>
      </c>
      <c r="L19" s="349" t="s">
        <v>186</v>
      </c>
      <c r="M19" s="347">
        <v>1850000</v>
      </c>
      <c r="N19" s="524"/>
      <c r="O19" s="524"/>
      <c r="P19" s="524"/>
      <c r="Q19" s="541"/>
      <c r="R19" s="347">
        <v>2900000</v>
      </c>
      <c r="S19" s="524"/>
      <c r="T19" s="524"/>
      <c r="U19" s="340">
        <v>4500000</v>
      </c>
      <c r="V19" s="341"/>
    </row>
    <row r="20" spans="1:22" s="342" customFormat="1" ht="32.25" customHeight="1" x14ac:dyDescent="0.2">
      <c r="A20" s="333">
        <v>4</v>
      </c>
      <c r="B20" s="343">
        <v>45956</v>
      </c>
      <c r="C20" s="344" t="s">
        <v>177</v>
      </c>
      <c r="D20" s="344"/>
      <c r="E20" s="344">
        <v>1</v>
      </c>
      <c r="F20" s="336" t="s">
        <v>187</v>
      </c>
      <c r="G20" s="345" t="s">
        <v>188</v>
      </c>
      <c r="H20" s="152" t="s">
        <v>180</v>
      </c>
      <c r="I20" s="384" t="s">
        <v>181</v>
      </c>
      <c r="J20" s="335" t="s">
        <v>39</v>
      </c>
      <c r="K20" s="335" t="s">
        <v>1630</v>
      </c>
      <c r="L20" s="349" t="s">
        <v>189</v>
      </c>
      <c r="M20" s="347">
        <v>1850000</v>
      </c>
      <c r="N20" s="524"/>
      <c r="O20" s="524"/>
      <c r="P20" s="524"/>
      <c r="Q20" s="541"/>
      <c r="R20" s="347"/>
      <c r="S20" s="524"/>
      <c r="T20" s="524"/>
      <c r="U20" s="340">
        <v>4500000</v>
      </c>
      <c r="V20" s="341"/>
    </row>
    <row r="21" spans="1:22" s="342" customFormat="1" ht="32.25" customHeight="1" x14ac:dyDescent="0.2">
      <c r="A21" s="333">
        <v>5</v>
      </c>
      <c r="B21" s="343">
        <v>45956</v>
      </c>
      <c r="C21" s="344" t="s">
        <v>177</v>
      </c>
      <c r="D21" s="348"/>
      <c r="E21" s="344">
        <v>1</v>
      </c>
      <c r="F21" s="345" t="s">
        <v>190</v>
      </c>
      <c r="G21" s="345" t="s">
        <v>191</v>
      </c>
      <c r="H21" s="152" t="s">
        <v>180</v>
      </c>
      <c r="I21" s="384" t="s">
        <v>181</v>
      </c>
      <c r="J21" s="335" t="s">
        <v>39</v>
      </c>
      <c r="K21" s="335" t="s">
        <v>1630</v>
      </c>
      <c r="L21" s="349" t="s">
        <v>192</v>
      </c>
      <c r="M21" s="347">
        <v>1850000</v>
      </c>
      <c r="N21" s="524"/>
      <c r="O21" s="524"/>
      <c r="P21" s="524"/>
      <c r="Q21" s="541"/>
      <c r="R21" s="347"/>
      <c r="S21" s="524"/>
      <c r="T21" s="524"/>
      <c r="U21" s="340">
        <v>4500000</v>
      </c>
      <c r="V21" s="341"/>
    </row>
    <row r="22" spans="1:22" s="342" customFormat="1" ht="32.25" customHeight="1" x14ac:dyDescent="0.2">
      <c r="A22" s="333">
        <v>6</v>
      </c>
      <c r="B22" s="350">
        <v>45956</v>
      </c>
      <c r="C22" s="351" t="s">
        <v>177</v>
      </c>
      <c r="D22" s="352"/>
      <c r="E22" s="351">
        <v>1</v>
      </c>
      <c r="F22" s="351" t="s">
        <v>193</v>
      </c>
      <c r="G22" s="345" t="s">
        <v>194</v>
      </c>
      <c r="H22" s="152" t="s">
        <v>180</v>
      </c>
      <c r="I22" s="384" t="s">
        <v>181</v>
      </c>
      <c r="J22" s="335" t="s">
        <v>39</v>
      </c>
      <c r="K22" s="335" t="s">
        <v>1630</v>
      </c>
      <c r="L22" s="346" t="s">
        <v>195</v>
      </c>
      <c r="M22" s="347">
        <v>1500000</v>
      </c>
      <c r="N22" s="524"/>
      <c r="O22" s="524"/>
      <c r="P22" s="524"/>
      <c r="Q22" s="541"/>
      <c r="R22" s="347"/>
      <c r="S22" s="524"/>
      <c r="T22" s="524"/>
      <c r="U22" s="340">
        <v>4500000</v>
      </c>
      <c r="V22" s="341"/>
    </row>
    <row r="23" spans="1:22" s="342" customFormat="1" ht="32.25" customHeight="1" x14ac:dyDescent="0.2">
      <c r="A23" s="333">
        <v>7</v>
      </c>
      <c r="B23" s="343">
        <v>45956</v>
      </c>
      <c r="C23" s="353" t="s">
        <v>196</v>
      </c>
      <c r="D23" s="353"/>
      <c r="E23" s="344">
        <v>1</v>
      </c>
      <c r="F23" s="336" t="s">
        <v>197</v>
      </c>
      <c r="G23" s="345" t="s">
        <v>198</v>
      </c>
      <c r="H23" s="157" t="s">
        <v>199</v>
      </c>
      <c r="I23" s="385" t="s">
        <v>200</v>
      </c>
      <c r="J23" s="335" t="s">
        <v>39</v>
      </c>
      <c r="K23" s="353" t="s">
        <v>201</v>
      </c>
      <c r="L23" s="346" t="s">
        <v>202</v>
      </c>
      <c r="M23" s="347">
        <v>1566000</v>
      </c>
      <c r="N23" s="524"/>
      <c r="O23" s="524"/>
      <c r="P23" s="524"/>
      <c r="Q23" s="541"/>
      <c r="R23" s="347"/>
      <c r="S23" s="524"/>
      <c r="T23" s="524"/>
      <c r="U23" s="340">
        <v>4700000</v>
      </c>
      <c r="V23" s="341"/>
    </row>
    <row r="24" spans="1:22" s="342" customFormat="1" ht="32.25" customHeight="1" x14ac:dyDescent="0.2">
      <c r="A24" s="333">
        <v>8</v>
      </c>
      <c r="B24" s="343">
        <v>45956</v>
      </c>
      <c r="C24" s="353" t="s">
        <v>196</v>
      </c>
      <c r="D24" s="348"/>
      <c r="E24" s="344">
        <v>1</v>
      </c>
      <c r="F24" s="336" t="s">
        <v>203</v>
      </c>
      <c r="G24" s="345" t="s">
        <v>204</v>
      </c>
      <c r="H24" s="157" t="s">
        <v>199</v>
      </c>
      <c r="I24" s="385" t="s">
        <v>200</v>
      </c>
      <c r="J24" s="335" t="s">
        <v>39</v>
      </c>
      <c r="K24" s="353" t="s">
        <v>201</v>
      </c>
      <c r="L24" s="346" t="s">
        <v>205</v>
      </c>
      <c r="M24" s="347">
        <v>1566000</v>
      </c>
      <c r="N24" s="524"/>
      <c r="O24" s="524"/>
      <c r="P24" s="524"/>
      <c r="Q24" s="541"/>
      <c r="R24" s="347"/>
      <c r="S24" s="524"/>
      <c r="T24" s="524"/>
      <c r="U24" s="340">
        <v>4700000</v>
      </c>
      <c r="V24" s="341"/>
    </row>
    <row r="25" spans="1:22" s="342" customFormat="1" ht="32.25" customHeight="1" x14ac:dyDescent="0.2">
      <c r="A25" s="333">
        <v>9</v>
      </c>
      <c r="B25" s="343">
        <v>45956</v>
      </c>
      <c r="C25" s="353" t="s">
        <v>196</v>
      </c>
      <c r="D25" s="348"/>
      <c r="E25" s="344">
        <v>1</v>
      </c>
      <c r="F25" s="336" t="s">
        <v>206</v>
      </c>
      <c r="G25" s="345" t="s">
        <v>207</v>
      </c>
      <c r="H25" s="157" t="s">
        <v>199</v>
      </c>
      <c r="I25" s="385" t="s">
        <v>200</v>
      </c>
      <c r="J25" s="335" t="s">
        <v>39</v>
      </c>
      <c r="K25" s="353" t="s">
        <v>201</v>
      </c>
      <c r="L25" s="346" t="s">
        <v>208</v>
      </c>
      <c r="M25" s="347">
        <v>1566000</v>
      </c>
      <c r="N25" s="524"/>
      <c r="O25" s="524"/>
      <c r="P25" s="524"/>
      <c r="Q25" s="541"/>
      <c r="R25" s="347"/>
      <c r="S25" s="524"/>
      <c r="T25" s="524"/>
      <c r="U25" s="340">
        <v>4700000</v>
      </c>
      <c r="V25" s="341"/>
    </row>
    <row r="26" spans="1:22" s="354" customFormat="1" ht="32.25" customHeight="1" x14ac:dyDescent="0.2">
      <c r="A26" s="333">
        <v>10</v>
      </c>
      <c r="B26" s="343">
        <v>45956</v>
      </c>
      <c r="C26" s="353" t="s">
        <v>196</v>
      </c>
      <c r="D26" s="348"/>
      <c r="E26" s="344">
        <v>1</v>
      </c>
      <c r="F26" s="336" t="s">
        <v>209</v>
      </c>
      <c r="G26" s="345" t="s">
        <v>210</v>
      </c>
      <c r="H26" s="157" t="s">
        <v>199</v>
      </c>
      <c r="I26" s="385" t="s">
        <v>200</v>
      </c>
      <c r="J26" s="335" t="s">
        <v>39</v>
      </c>
      <c r="K26" s="353" t="s">
        <v>201</v>
      </c>
      <c r="L26" s="346" t="s">
        <v>211</v>
      </c>
      <c r="M26" s="347">
        <v>1566000</v>
      </c>
      <c r="N26" s="524"/>
      <c r="O26" s="524"/>
      <c r="P26" s="524"/>
      <c r="Q26" s="541"/>
      <c r="R26" s="347">
        <v>10000000</v>
      </c>
      <c r="S26" s="524"/>
      <c r="T26" s="524"/>
      <c r="U26" s="340">
        <v>4700000</v>
      </c>
      <c r="V26" s="341"/>
    </row>
    <row r="27" spans="1:22" s="342" customFormat="1" ht="32.25" customHeight="1" x14ac:dyDescent="0.2">
      <c r="A27" s="333">
        <v>11</v>
      </c>
      <c r="B27" s="343">
        <v>45956</v>
      </c>
      <c r="C27" s="353" t="s">
        <v>196</v>
      </c>
      <c r="D27" s="348"/>
      <c r="E27" s="344">
        <v>1</v>
      </c>
      <c r="F27" s="336" t="s">
        <v>212</v>
      </c>
      <c r="G27" s="345" t="s">
        <v>213</v>
      </c>
      <c r="H27" s="157" t="s">
        <v>199</v>
      </c>
      <c r="I27" s="385" t="s">
        <v>200</v>
      </c>
      <c r="J27" s="335" t="s">
        <v>39</v>
      </c>
      <c r="K27" s="353" t="s">
        <v>201</v>
      </c>
      <c r="L27" s="346" t="s">
        <v>214</v>
      </c>
      <c r="M27" s="347">
        <v>1566000</v>
      </c>
      <c r="N27" s="524"/>
      <c r="O27" s="524"/>
      <c r="P27" s="524"/>
      <c r="Q27" s="541"/>
      <c r="R27" s="347"/>
      <c r="S27" s="524"/>
      <c r="T27" s="524"/>
      <c r="U27" s="340">
        <v>4700000</v>
      </c>
      <c r="V27" s="341"/>
    </row>
    <row r="28" spans="1:22" s="342" customFormat="1" ht="32.25" customHeight="1" x14ac:dyDescent="0.2">
      <c r="A28" s="333">
        <v>12</v>
      </c>
      <c r="B28" s="343">
        <v>45956</v>
      </c>
      <c r="C28" s="353" t="s">
        <v>196</v>
      </c>
      <c r="D28" s="348"/>
      <c r="E28" s="344">
        <v>1</v>
      </c>
      <c r="F28" s="336" t="s">
        <v>215</v>
      </c>
      <c r="G28" s="345" t="s">
        <v>216</v>
      </c>
      <c r="H28" s="157" t="s">
        <v>199</v>
      </c>
      <c r="I28" s="385" t="s">
        <v>200</v>
      </c>
      <c r="J28" s="335" t="s">
        <v>39</v>
      </c>
      <c r="K28" s="353" t="s">
        <v>201</v>
      </c>
      <c r="L28" s="346" t="s">
        <v>217</v>
      </c>
      <c r="M28" s="347">
        <v>1566000</v>
      </c>
      <c r="N28" s="524"/>
      <c r="O28" s="524"/>
      <c r="P28" s="524"/>
      <c r="Q28" s="541"/>
      <c r="R28" s="347"/>
      <c r="S28" s="524"/>
      <c r="T28" s="524"/>
      <c r="U28" s="340">
        <v>4700000</v>
      </c>
      <c r="V28" s="341"/>
    </row>
    <row r="29" spans="1:22" s="342" customFormat="1" ht="32.25" customHeight="1" x14ac:dyDescent="0.2">
      <c r="A29" s="333">
        <v>13</v>
      </c>
      <c r="B29" s="343">
        <v>45956</v>
      </c>
      <c r="C29" s="344" t="s">
        <v>196</v>
      </c>
      <c r="D29" s="348"/>
      <c r="E29" s="344">
        <v>1</v>
      </c>
      <c r="F29" s="344" t="s">
        <v>218</v>
      </c>
      <c r="G29" s="345" t="s">
        <v>219</v>
      </c>
      <c r="H29" s="157" t="s">
        <v>199</v>
      </c>
      <c r="I29" s="385" t="s">
        <v>200</v>
      </c>
      <c r="J29" s="335" t="s">
        <v>39</v>
      </c>
      <c r="K29" s="353" t="s">
        <v>201</v>
      </c>
      <c r="L29" s="346" t="s">
        <v>220</v>
      </c>
      <c r="M29" s="347">
        <v>1566000</v>
      </c>
      <c r="N29" s="524"/>
      <c r="O29" s="524"/>
      <c r="P29" s="524"/>
      <c r="Q29" s="541"/>
      <c r="R29" s="347"/>
      <c r="S29" s="524"/>
      <c r="T29" s="524"/>
      <c r="U29" s="340">
        <v>4700000</v>
      </c>
      <c r="V29" s="341"/>
    </row>
    <row r="30" spans="1:22" s="342" customFormat="1" ht="32.25" customHeight="1" x14ac:dyDescent="0.2">
      <c r="A30" s="333">
        <v>14</v>
      </c>
      <c r="B30" s="343">
        <v>45956</v>
      </c>
      <c r="C30" s="344" t="s">
        <v>196</v>
      </c>
      <c r="D30" s="348"/>
      <c r="E30" s="344">
        <v>1</v>
      </c>
      <c r="F30" s="345" t="s">
        <v>221</v>
      </c>
      <c r="G30" s="337" t="s">
        <v>222</v>
      </c>
      <c r="H30" s="157" t="s">
        <v>199</v>
      </c>
      <c r="I30" s="385" t="s">
        <v>200</v>
      </c>
      <c r="J30" s="335" t="s">
        <v>39</v>
      </c>
      <c r="K30" s="353" t="s">
        <v>201</v>
      </c>
      <c r="L30" s="355">
        <v>27323</v>
      </c>
      <c r="M30" s="347">
        <v>1566000</v>
      </c>
      <c r="N30" s="524"/>
      <c r="O30" s="524"/>
      <c r="P30" s="524"/>
      <c r="Q30" s="541"/>
      <c r="R30" s="347"/>
      <c r="S30" s="524"/>
      <c r="T30" s="524"/>
      <c r="U30" s="340">
        <v>4700000</v>
      </c>
      <c r="V30" s="341"/>
    </row>
    <row r="31" spans="1:22" s="342" customFormat="1" ht="32.25" customHeight="1" x14ac:dyDescent="0.2">
      <c r="A31" s="333">
        <v>15</v>
      </c>
      <c r="B31" s="343">
        <v>45956</v>
      </c>
      <c r="C31" s="344" t="s">
        <v>196</v>
      </c>
      <c r="D31" s="348"/>
      <c r="E31" s="344">
        <v>1</v>
      </c>
      <c r="F31" s="345" t="s">
        <v>224</v>
      </c>
      <c r="G31" s="345" t="s">
        <v>225</v>
      </c>
      <c r="H31" s="157" t="s">
        <v>199</v>
      </c>
      <c r="I31" s="385" t="s">
        <v>200</v>
      </c>
      <c r="J31" s="335" t="s">
        <v>39</v>
      </c>
      <c r="K31" s="353" t="s">
        <v>201</v>
      </c>
      <c r="L31" s="346" t="s">
        <v>226</v>
      </c>
      <c r="M31" s="347">
        <v>1566000</v>
      </c>
      <c r="N31" s="524"/>
      <c r="O31" s="524"/>
      <c r="P31" s="524"/>
      <c r="Q31" s="541"/>
      <c r="R31" s="347"/>
      <c r="S31" s="524"/>
      <c r="T31" s="524"/>
      <c r="U31" s="340">
        <v>4700000</v>
      </c>
      <c r="V31" s="341"/>
    </row>
    <row r="32" spans="1:22" s="342" customFormat="1" ht="32.25" customHeight="1" x14ac:dyDescent="0.2">
      <c r="A32" s="333">
        <v>16</v>
      </c>
      <c r="B32" s="343">
        <v>45956</v>
      </c>
      <c r="C32" s="344" t="s">
        <v>196</v>
      </c>
      <c r="D32" s="348"/>
      <c r="E32" s="344">
        <v>1</v>
      </c>
      <c r="F32" s="336" t="s">
        <v>227</v>
      </c>
      <c r="G32" s="337" t="s">
        <v>228</v>
      </c>
      <c r="H32" s="157" t="s">
        <v>199</v>
      </c>
      <c r="I32" s="385" t="s">
        <v>200</v>
      </c>
      <c r="J32" s="335" t="s">
        <v>39</v>
      </c>
      <c r="K32" s="353" t="s">
        <v>201</v>
      </c>
      <c r="L32" s="346" t="s">
        <v>229</v>
      </c>
      <c r="M32" s="347">
        <v>1566000</v>
      </c>
      <c r="N32" s="524"/>
      <c r="O32" s="524"/>
      <c r="P32" s="524"/>
      <c r="Q32" s="541"/>
      <c r="R32" s="347"/>
      <c r="S32" s="524"/>
      <c r="T32" s="524"/>
      <c r="U32" s="340">
        <v>4700000</v>
      </c>
      <c r="V32" s="341"/>
    </row>
    <row r="33" spans="1:22" s="342" customFormat="1" ht="32.25" customHeight="1" x14ac:dyDescent="0.2">
      <c r="A33" s="333">
        <v>17</v>
      </c>
      <c r="B33" s="343">
        <v>45957</v>
      </c>
      <c r="C33" s="336" t="s">
        <v>230</v>
      </c>
      <c r="D33" s="348"/>
      <c r="E33" s="344">
        <v>1</v>
      </c>
      <c r="F33" s="336" t="s">
        <v>231</v>
      </c>
      <c r="G33" s="336" t="s">
        <v>232</v>
      </c>
      <c r="H33" s="157" t="s">
        <v>199</v>
      </c>
      <c r="I33" s="385" t="s">
        <v>200</v>
      </c>
      <c r="J33" s="335" t="s">
        <v>39</v>
      </c>
      <c r="K33" s="336" t="s">
        <v>1631</v>
      </c>
      <c r="L33" s="346" t="s">
        <v>234</v>
      </c>
      <c r="M33" s="347">
        <v>1500000</v>
      </c>
      <c r="N33" s="524"/>
      <c r="O33" s="524"/>
      <c r="P33" s="524"/>
      <c r="Q33" s="541"/>
      <c r="R33" s="347"/>
      <c r="S33" s="524"/>
      <c r="T33" s="524"/>
      <c r="U33" s="340">
        <v>4700000</v>
      </c>
      <c r="V33" s="341"/>
    </row>
    <row r="34" spans="1:22" s="342" customFormat="1" ht="32.25" customHeight="1" x14ac:dyDescent="0.2">
      <c r="A34" s="333">
        <v>18</v>
      </c>
      <c r="B34" s="343">
        <v>45957</v>
      </c>
      <c r="C34" s="336" t="s">
        <v>230</v>
      </c>
      <c r="D34" s="348"/>
      <c r="E34" s="344">
        <v>1</v>
      </c>
      <c r="F34" s="336" t="s">
        <v>235</v>
      </c>
      <c r="G34" s="336" t="s">
        <v>236</v>
      </c>
      <c r="H34" s="157" t="s">
        <v>199</v>
      </c>
      <c r="I34" s="385" t="s">
        <v>200</v>
      </c>
      <c r="J34" s="335" t="s">
        <v>39</v>
      </c>
      <c r="K34" s="336" t="s">
        <v>1631</v>
      </c>
      <c r="L34" s="346" t="s">
        <v>237</v>
      </c>
      <c r="M34" s="347">
        <v>1500000</v>
      </c>
      <c r="N34" s="524"/>
      <c r="O34" s="524"/>
      <c r="P34" s="524"/>
      <c r="Q34" s="541"/>
      <c r="R34" s="347"/>
      <c r="S34" s="524"/>
      <c r="T34" s="524"/>
      <c r="U34" s="340">
        <v>4700000</v>
      </c>
      <c r="V34" s="341"/>
    </row>
    <row r="35" spans="1:22" s="342" customFormat="1" ht="32.25" customHeight="1" x14ac:dyDescent="0.2">
      <c r="A35" s="333">
        <v>19</v>
      </c>
      <c r="B35" s="343">
        <v>45957</v>
      </c>
      <c r="C35" s="336" t="s">
        <v>230</v>
      </c>
      <c r="D35" s="348"/>
      <c r="E35" s="344">
        <v>1</v>
      </c>
      <c r="F35" s="336" t="s">
        <v>239</v>
      </c>
      <c r="G35" s="336" t="s">
        <v>240</v>
      </c>
      <c r="H35" s="157" t="s">
        <v>199</v>
      </c>
      <c r="I35" s="385" t="s">
        <v>200</v>
      </c>
      <c r="J35" s="335" t="s">
        <v>39</v>
      </c>
      <c r="K35" s="336" t="s">
        <v>1631</v>
      </c>
      <c r="L35" s="346" t="s">
        <v>241</v>
      </c>
      <c r="M35" s="347">
        <v>1500000</v>
      </c>
      <c r="N35" s="524"/>
      <c r="O35" s="524"/>
      <c r="P35" s="524"/>
      <c r="Q35" s="541"/>
      <c r="R35" s="347"/>
      <c r="S35" s="524"/>
      <c r="T35" s="524"/>
      <c r="U35" s="340">
        <v>4700000</v>
      </c>
      <c r="V35" s="341"/>
    </row>
    <row r="36" spans="1:22" s="342" customFormat="1" ht="32.25" customHeight="1" x14ac:dyDescent="0.2">
      <c r="A36" s="333">
        <v>20</v>
      </c>
      <c r="B36" s="343">
        <v>45957</v>
      </c>
      <c r="C36" s="336" t="s">
        <v>230</v>
      </c>
      <c r="D36" s="348"/>
      <c r="E36" s="344">
        <v>1</v>
      </c>
      <c r="F36" s="336" t="s">
        <v>242</v>
      </c>
      <c r="G36" s="336" t="s">
        <v>243</v>
      </c>
      <c r="H36" s="157" t="s">
        <v>199</v>
      </c>
      <c r="I36" s="385" t="s">
        <v>200</v>
      </c>
      <c r="J36" s="335" t="s">
        <v>39</v>
      </c>
      <c r="K36" s="336" t="s">
        <v>1631</v>
      </c>
      <c r="L36" s="346" t="s">
        <v>244</v>
      </c>
      <c r="M36" s="347">
        <v>1500000</v>
      </c>
      <c r="N36" s="524"/>
      <c r="O36" s="524"/>
      <c r="P36" s="524"/>
      <c r="Q36" s="541"/>
      <c r="R36" s="347"/>
      <c r="S36" s="524"/>
      <c r="T36" s="524"/>
      <c r="U36" s="340">
        <v>4700000</v>
      </c>
      <c r="V36" s="341"/>
    </row>
    <row r="37" spans="1:22" s="342" customFormat="1" ht="32.25" customHeight="1" x14ac:dyDescent="0.2">
      <c r="A37" s="333">
        <v>21</v>
      </c>
      <c r="B37" s="343">
        <v>45957</v>
      </c>
      <c r="C37" s="336" t="s">
        <v>230</v>
      </c>
      <c r="D37" s="348"/>
      <c r="E37" s="344">
        <v>1</v>
      </c>
      <c r="F37" s="353" t="s">
        <v>245</v>
      </c>
      <c r="G37" s="356" t="s">
        <v>171</v>
      </c>
      <c r="H37" s="157" t="s">
        <v>199</v>
      </c>
      <c r="I37" s="385" t="s">
        <v>200</v>
      </c>
      <c r="J37" s="335" t="s">
        <v>39</v>
      </c>
      <c r="K37" s="336" t="s">
        <v>1631</v>
      </c>
      <c r="L37" s="346" t="s">
        <v>246</v>
      </c>
      <c r="M37" s="347">
        <v>1500000</v>
      </c>
      <c r="N37" s="524"/>
      <c r="O37" s="524"/>
      <c r="P37" s="524"/>
      <c r="Q37" s="541"/>
      <c r="R37" s="347"/>
      <c r="S37" s="524"/>
      <c r="T37" s="524"/>
      <c r="U37" s="340">
        <v>4700000</v>
      </c>
      <c r="V37" s="341"/>
    </row>
    <row r="38" spans="1:22" s="342" customFormat="1" ht="32.25" customHeight="1" x14ac:dyDescent="0.2">
      <c r="A38" s="333">
        <v>22</v>
      </c>
      <c r="B38" s="343">
        <v>45957</v>
      </c>
      <c r="C38" s="336" t="s">
        <v>177</v>
      </c>
      <c r="D38" s="348"/>
      <c r="E38" s="344">
        <v>1</v>
      </c>
      <c r="F38" s="345" t="s">
        <v>247</v>
      </c>
      <c r="G38" s="336" t="s">
        <v>248</v>
      </c>
      <c r="H38" s="152" t="s">
        <v>180</v>
      </c>
      <c r="I38" s="384" t="s">
        <v>181</v>
      </c>
      <c r="J38" s="335" t="s">
        <v>39</v>
      </c>
      <c r="K38" s="336" t="s">
        <v>1630</v>
      </c>
      <c r="L38" s="346" t="s">
        <v>249</v>
      </c>
      <c r="M38" s="347">
        <v>1500000</v>
      </c>
      <c r="N38" s="524"/>
      <c r="O38" s="524"/>
      <c r="P38" s="524"/>
      <c r="Q38" s="541"/>
      <c r="R38" s="347">
        <v>3650000</v>
      </c>
      <c r="S38" s="524"/>
      <c r="T38" s="524"/>
      <c r="U38" s="340">
        <v>4500000</v>
      </c>
      <c r="V38" s="341"/>
    </row>
    <row r="39" spans="1:22" s="342" customFormat="1" ht="32.25" customHeight="1" x14ac:dyDescent="0.2">
      <c r="A39" s="333">
        <v>23</v>
      </c>
      <c r="B39" s="343">
        <v>45957</v>
      </c>
      <c r="C39" s="336" t="s">
        <v>177</v>
      </c>
      <c r="D39" s="348"/>
      <c r="E39" s="344">
        <v>1</v>
      </c>
      <c r="F39" s="336" t="s">
        <v>250</v>
      </c>
      <c r="G39" s="336" t="s">
        <v>251</v>
      </c>
      <c r="H39" s="152" t="s">
        <v>180</v>
      </c>
      <c r="I39" s="384" t="s">
        <v>181</v>
      </c>
      <c r="J39" s="335" t="s">
        <v>39</v>
      </c>
      <c r="K39" s="336" t="s">
        <v>1630</v>
      </c>
      <c r="L39" s="346" t="s">
        <v>1690</v>
      </c>
      <c r="M39" s="347">
        <v>1500000</v>
      </c>
      <c r="N39" s="524">
        <v>698000</v>
      </c>
      <c r="O39" s="541">
        <v>1433912</v>
      </c>
      <c r="P39" s="524"/>
      <c r="Q39" s="541"/>
      <c r="R39" s="347"/>
      <c r="S39" s="524"/>
      <c r="T39" s="524"/>
      <c r="U39" s="340">
        <v>4500000</v>
      </c>
      <c r="V39" s="341"/>
    </row>
    <row r="40" spans="1:22" s="342" customFormat="1" ht="32.25" customHeight="1" x14ac:dyDescent="0.2">
      <c r="A40" s="333">
        <v>24</v>
      </c>
      <c r="B40" s="343">
        <v>45957</v>
      </c>
      <c r="C40" s="336">
        <v>7263168621</v>
      </c>
      <c r="D40" s="357"/>
      <c r="E40" s="358">
        <v>1</v>
      </c>
      <c r="F40" s="336" t="s">
        <v>253</v>
      </c>
      <c r="G40" s="359" t="s">
        <v>254</v>
      </c>
      <c r="H40" s="152" t="s">
        <v>1632</v>
      </c>
      <c r="I40" s="385" t="s">
        <v>256</v>
      </c>
      <c r="J40" s="336" t="s">
        <v>1629</v>
      </c>
      <c r="K40" s="335" t="s">
        <v>39</v>
      </c>
      <c r="L40" s="355">
        <v>121547</v>
      </c>
      <c r="M40" s="347">
        <v>1500000</v>
      </c>
      <c r="N40" s="524"/>
      <c r="O40" s="524"/>
      <c r="P40" s="524"/>
      <c r="Q40" s="541"/>
      <c r="R40" s="347"/>
      <c r="S40" s="524"/>
      <c r="T40" s="524"/>
      <c r="U40" s="340">
        <v>4500000</v>
      </c>
      <c r="V40" s="341"/>
    </row>
    <row r="41" spans="1:22" s="342" customFormat="1" ht="32.25" customHeight="1" x14ac:dyDescent="0.2">
      <c r="A41" s="333">
        <v>25</v>
      </c>
      <c r="B41" s="343">
        <v>45957</v>
      </c>
      <c r="C41" s="336">
        <v>7263168621</v>
      </c>
      <c r="D41" s="357"/>
      <c r="E41" s="358">
        <v>1</v>
      </c>
      <c r="F41" s="336" t="s">
        <v>258</v>
      </c>
      <c r="G41" s="336" t="s">
        <v>259</v>
      </c>
      <c r="H41" s="152" t="s">
        <v>1632</v>
      </c>
      <c r="I41" s="385" t="s">
        <v>256</v>
      </c>
      <c r="J41" s="336" t="s">
        <v>1629</v>
      </c>
      <c r="K41" s="335" t="s">
        <v>39</v>
      </c>
      <c r="L41" s="346" t="s">
        <v>260</v>
      </c>
      <c r="M41" s="347">
        <v>1500000</v>
      </c>
      <c r="N41" s="524"/>
      <c r="O41" s="524"/>
      <c r="P41" s="524"/>
      <c r="Q41" s="541"/>
      <c r="R41" s="347"/>
      <c r="S41" s="524"/>
      <c r="T41" s="524"/>
      <c r="U41" s="340">
        <f>4500000</f>
        <v>4500000</v>
      </c>
      <c r="V41" s="341"/>
    </row>
    <row r="42" spans="1:22" s="354" customFormat="1" ht="32.25" customHeight="1" x14ac:dyDescent="0.2">
      <c r="A42" s="333">
        <v>26</v>
      </c>
      <c r="B42" s="343">
        <v>45957</v>
      </c>
      <c r="C42" s="336">
        <v>7263168621</v>
      </c>
      <c r="D42" s="357"/>
      <c r="E42" s="358">
        <v>1</v>
      </c>
      <c r="F42" s="353" t="s">
        <v>261</v>
      </c>
      <c r="G42" s="336" t="s">
        <v>262</v>
      </c>
      <c r="H42" s="152" t="s">
        <v>1632</v>
      </c>
      <c r="I42" s="385" t="s">
        <v>256</v>
      </c>
      <c r="J42" s="336" t="s">
        <v>1629</v>
      </c>
      <c r="K42" s="335" t="s">
        <v>39</v>
      </c>
      <c r="L42" s="346" t="s">
        <v>263</v>
      </c>
      <c r="M42" s="347">
        <v>1500000</v>
      </c>
      <c r="N42" s="524"/>
      <c r="O42" s="524"/>
      <c r="P42" s="524"/>
      <c r="Q42" s="541"/>
      <c r="R42" s="347"/>
      <c r="S42" s="524"/>
      <c r="T42" s="524"/>
      <c r="U42" s="340">
        <v>4500000</v>
      </c>
      <c r="V42" s="341"/>
    </row>
    <row r="43" spans="1:22" s="354" customFormat="1" ht="32.25" customHeight="1" x14ac:dyDescent="0.2">
      <c r="A43" s="333">
        <v>27</v>
      </c>
      <c r="B43" s="343">
        <v>45957</v>
      </c>
      <c r="C43" s="336">
        <v>7263168621</v>
      </c>
      <c r="D43" s="358"/>
      <c r="E43" s="358">
        <v>1</v>
      </c>
      <c r="F43" s="336" t="s">
        <v>264</v>
      </c>
      <c r="G43" s="336" t="s">
        <v>265</v>
      </c>
      <c r="H43" s="152" t="s">
        <v>1632</v>
      </c>
      <c r="I43" s="385" t="s">
        <v>256</v>
      </c>
      <c r="J43" s="336" t="s">
        <v>1629</v>
      </c>
      <c r="K43" s="335" t="s">
        <v>39</v>
      </c>
      <c r="L43" s="346" t="s">
        <v>266</v>
      </c>
      <c r="M43" s="347">
        <v>1500000</v>
      </c>
      <c r="N43" s="524"/>
      <c r="O43" s="524"/>
      <c r="P43" s="524"/>
      <c r="Q43" s="541"/>
      <c r="R43" s="347"/>
      <c r="S43" s="524"/>
      <c r="T43" s="524"/>
      <c r="U43" s="340">
        <v>4500000</v>
      </c>
      <c r="V43" s="341"/>
    </row>
    <row r="44" spans="1:22" s="354" customFormat="1" ht="32.25" customHeight="1" x14ac:dyDescent="0.2">
      <c r="A44" s="333">
        <v>28</v>
      </c>
      <c r="B44" s="343">
        <v>45957</v>
      </c>
      <c r="C44" s="336">
        <v>7263168621</v>
      </c>
      <c r="D44" s="357"/>
      <c r="E44" s="358">
        <v>1</v>
      </c>
      <c r="F44" s="336" t="s">
        <v>267</v>
      </c>
      <c r="G44" s="336" t="s">
        <v>268</v>
      </c>
      <c r="H44" s="152" t="s">
        <v>1632</v>
      </c>
      <c r="I44" s="385" t="s">
        <v>256</v>
      </c>
      <c r="J44" s="336" t="s">
        <v>1629</v>
      </c>
      <c r="K44" s="335" t="s">
        <v>39</v>
      </c>
      <c r="L44" s="346" t="s">
        <v>269</v>
      </c>
      <c r="M44" s="347">
        <v>1500000</v>
      </c>
      <c r="N44" s="524"/>
      <c r="O44" s="524"/>
      <c r="P44" s="524"/>
      <c r="Q44" s="541"/>
      <c r="R44" s="347"/>
      <c r="S44" s="524"/>
      <c r="T44" s="524"/>
      <c r="U44" s="340">
        <v>4500000</v>
      </c>
      <c r="V44" s="341"/>
    </row>
    <row r="45" spans="1:22" s="354" customFormat="1" ht="32.25" customHeight="1" x14ac:dyDescent="0.2">
      <c r="A45" s="333">
        <v>29</v>
      </c>
      <c r="B45" s="343">
        <v>45957</v>
      </c>
      <c r="C45" s="336">
        <v>7263168621</v>
      </c>
      <c r="D45" s="357"/>
      <c r="E45" s="358">
        <v>1</v>
      </c>
      <c r="F45" s="336" t="s">
        <v>270</v>
      </c>
      <c r="G45" s="336" t="s">
        <v>271</v>
      </c>
      <c r="H45" s="152" t="s">
        <v>1632</v>
      </c>
      <c r="I45" s="385" t="s">
        <v>256</v>
      </c>
      <c r="J45" s="336" t="s">
        <v>1629</v>
      </c>
      <c r="K45" s="335" t="s">
        <v>39</v>
      </c>
      <c r="L45" s="346" t="s">
        <v>272</v>
      </c>
      <c r="M45" s="347">
        <v>1500000</v>
      </c>
      <c r="N45" s="524"/>
      <c r="O45" s="524"/>
      <c r="P45" s="524"/>
      <c r="Q45" s="541"/>
      <c r="R45" s="347"/>
      <c r="S45" s="524"/>
      <c r="T45" s="524"/>
      <c r="U45" s="340">
        <v>4500000</v>
      </c>
      <c r="V45" s="341"/>
    </row>
    <row r="46" spans="1:22" s="354" customFormat="1" ht="32.25" customHeight="1" x14ac:dyDescent="0.2">
      <c r="A46" s="333">
        <v>30</v>
      </c>
      <c r="B46" s="343">
        <v>45957</v>
      </c>
      <c r="C46" s="336">
        <v>7263168621</v>
      </c>
      <c r="D46" s="357"/>
      <c r="E46" s="358">
        <v>1</v>
      </c>
      <c r="F46" s="336" t="s">
        <v>273</v>
      </c>
      <c r="G46" s="345" t="s">
        <v>274</v>
      </c>
      <c r="H46" s="152" t="s">
        <v>1632</v>
      </c>
      <c r="I46" s="385" t="s">
        <v>256</v>
      </c>
      <c r="J46" s="336" t="s">
        <v>1629</v>
      </c>
      <c r="K46" s="335" t="s">
        <v>39</v>
      </c>
      <c r="L46" s="346" t="s">
        <v>275</v>
      </c>
      <c r="M46" s="347">
        <v>1500000</v>
      </c>
      <c r="N46" s="524"/>
      <c r="O46" s="524"/>
      <c r="P46" s="524"/>
      <c r="Q46" s="541"/>
      <c r="R46" s="347"/>
      <c r="S46" s="524"/>
      <c r="T46" s="524"/>
      <c r="U46" s="340">
        <v>4500000</v>
      </c>
      <c r="V46" s="341"/>
    </row>
    <row r="47" spans="1:22" s="354" customFormat="1" ht="32.25" customHeight="1" x14ac:dyDescent="0.2">
      <c r="A47" s="333">
        <v>31</v>
      </c>
      <c r="B47" s="343">
        <v>45957</v>
      </c>
      <c r="C47" s="336">
        <v>7263168621</v>
      </c>
      <c r="D47" s="357"/>
      <c r="E47" s="358">
        <v>1</v>
      </c>
      <c r="F47" s="353" t="s">
        <v>276</v>
      </c>
      <c r="G47" s="337" t="s">
        <v>277</v>
      </c>
      <c r="H47" s="152" t="s">
        <v>1632</v>
      </c>
      <c r="I47" s="385" t="s">
        <v>256</v>
      </c>
      <c r="J47" s="336" t="s">
        <v>1629</v>
      </c>
      <c r="K47" s="335" t="s">
        <v>39</v>
      </c>
      <c r="L47" s="346" t="s">
        <v>278</v>
      </c>
      <c r="M47" s="347">
        <v>1500000</v>
      </c>
      <c r="N47" s="524"/>
      <c r="O47" s="524"/>
      <c r="P47" s="524"/>
      <c r="Q47" s="541"/>
      <c r="R47" s="347"/>
      <c r="S47" s="524"/>
      <c r="T47" s="524"/>
      <c r="U47" s="340">
        <v>4500000</v>
      </c>
      <c r="V47" s="341"/>
    </row>
    <row r="48" spans="1:22" s="354" customFormat="1" ht="32.25" customHeight="1" x14ac:dyDescent="0.2">
      <c r="A48" s="333">
        <v>32</v>
      </c>
      <c r="B48" s="343">
        <v>45958</v>
      </c>
      <c r="C48" s="360" t="s">
        <v>279</v>
      </c>
      <c r="D48" s="361"/>
      <c r="E48" s="362">
        <v>1</v>
      </c>
      <c r="F48" s="336" t="s">
        <v>280</v>
      </c>
      <c r="G48" s="336" t="s">
        <v>262</v>
      </c>
      <c r="H48" s="152" t="s">
        <v>1632</v>
      </c>
      <c r="I48" s="385" t="s">
        <v>256</v>
      </c>
      <c r="J48" s="336" t="s">
        <v>39</v>
      </c>
      <c r="K48" s="336" t="s">
        <v>1633</v>
      </c>
      <c r="L48" s="346" t="s">
        <v>282</v>
      </c>
      <c r="M48" s="347">
        <v>1500000</v>
      </c>
      <c r="N48" s="524"/>
      <c r="O48" s="524"/>
      <c r="P48" s="524"/>
      <c r="Q48" s="541"/>
      <c r="R48" s="347"/>
      <c r="S48" s="524"/>
      <c r="T48" s="524"/>
      <c r="U48" s="340">
        <v>4500000</v>
      </c>
      <c r="V48" s="341"/>
    </row>
    <row r="49" spans="1:22" s="354" customFormat="1" ht="32.25" customHeight="1" x14ac:dyDescent="0.2">
      <c r="A49" s="333">
        <v>33</v>
      </c>
      <c r="B49" s="343">
        <v>45958</v>
      </c>
      <c r="C49" s="360" t="s">
        <v>279</v>
      </c>
      <c r="D49" s="348"/>
      <c r="E49" s="362">
        <v>1</v>
      </c>
      <c r="F49" s="336" t="s">
        <v>283</v>
      </c>
      <c r="G49" s="336" t="s">
        <v>284</v>
      </c>
      <c r="H49" s="152" t="s">
        <v>1632</v>
      </c>
      <c r="I49" s="385" t="s">
        <v>256</v>
      </c>
      <c r="J49" s="336" t="s">
        <v>39</v>
      </c>
      <c r="K49" s="336" t="s">
        <v>1633</v>
      </c>
      <c r="L49" s="346" t="s">
        <v>285</v>
      </c>
      <c r="M49" s="347">
        <v>1500000</v>
      </c>
      <c r="N49" s="524"/>
      <c r="O49" s="524"/>
      <c r="P49" s="524"/>
      <c r="Q49" s="541"/>
      <c r="R49" s="347"/>
      <c r="S49" s="524"/>
      <c r="T49" s="524"/>
      <c r="U49" s="340">
        <v>4500000</v>
      </c>
      <c r="V49" s="341"/>
    </row>
    <row r="50" spans="1:22" s="354" customFormat="1" ht="32.25" customHeight="1" x14ac:dyDescent="0.2">
      <c r="A50" s="333">
        <v>34</v>
      </c>
      <c r="B50" s="343">
        <v>45958</v>
      </c>
      <c r="C50" s="360" t="s">
        <v>279</v>
      </c>
      <c r="D50" s="348"/>
      <c r="E50" s="362">
        <v>1</v>
      </c>
      <c r="F50" s="336" t="s">
        <v>286</v>
      </c>
      <c r="G50" s="336" t="s">
        <v>287</v>
      </c>
      <c r="H50" s="152" t="s">
        <v>1632</v>
      </c>
      <c r="I50" s="385" t="s">
        <v>256</v>
      </c>
      <c r="J50" s="336" t="s">
        <v>39</v>
      </c>
      <c r="K50" s="336" t="s">
        <v>1633</v>
      </c>
      <c r="L50" s="346" t="s">
        <v>288</v>
      </c>
      <c r="M50" s="347">
        <v>1500000</v>
      </c>
      <c r="N50" s="524"/>
      <c r="O50" s="524"/>
      <c r="P50" s="524"/>
      <c r="Q50" s="541"/>
      <c r="R50" s="347"/>
      <c r="S50" s="524"/>
      <c r="T50" s="524"/>
      <c r="U50" s="340">
        <v>4500000</v>
      </c>
      <c r="V50" s="341"/>
    </row>
    <row r="51" spans="1:22" s="364" customFormat="1" ht="32.25" customHeight="1" x14ac:dyDescent="0.2">
      <c r="A51" s="333">
        <v>35</v>
      </c>
      <c r="B51" s="343">
        <v>45958</v>
      </c>
      <c r="C51" s="360" t="s">
        <v>279</v>
      </c>
      <c r="D51" s="363"/>
      <c r="E51" s="362">
        <v>1</v>
      </c>
      <c r="F51" s="353" t="s">
        <v>289</v>
      </c>
      <c r="G51" s="336" t="s">
        <v>290</v>
      </c>
      <c r="H51" s="152" t="s">
        <v>1632</v>
      </c>
      <c r="I51" s="385" t="s">
        <v>256</v>
      </c>
      <c r="J51" s="336" t="s">
        <v>39</v>
      </c>
      <c r="K51" s="336" t="s">
        <v>1633</v>
      </c>
      <c r="L51" s="346" t="s">
        <v>291</v>
      </c>
      <c r="M51" s="347">
        <v>1500000</v>
      </c>
      <c r="N51" s="524"/>
      <c r="O51" s="524"/>
      <c r="P51" s="524"/>
      <c r="Q51" s="541"/>
      <c r="R51" s="347"/>
      <c r="S51" s="524"/>
      <c r="T51" s="524"/>
      <c r="U51" s="340">
        <v>4500000</v>
      </c>
      <c r="V51" s="341"/>
    </row>
    <row r="52" spans="1:22" s="342" customFormat="1" ht="32.25" customHeight="1" x14ac:dyDescent="0.2">
      <c r="A52" s="333">
        <v>36</v>
      </c>
      <c r="B52" s="343">
        <v>45958</v>
      </c>
      <c r="C52" s="360" t="s">
        <v>279</v>
      </c>
      <c r="D52" s="348"/>
      <c r="E52" s="362">
        <v>1</v>
      </c>
      <c r="F52" s="336" t="s">
        <v>292</v>
      </c>
      <c r="G52" s="336" t="s">
        <v>293</v>
      </c>
      <c r="H52" s="152" t="s">
        <v>1632</v>
      </c>
      <c r="I52" s="385" t="s">
        <v>256</v>
      </c>
      <c r="J52" s="336" t="s">
        <v>39</v>
      </c>
      <c r="K52" s="336" t="s">
        <v>1633</v>
      </c>
      <c r="L52" s="346" t="s">
        <v>294</v>
      </c>
      <c r="M52" s="347">
        <v>1500000</v>
      </c>
      <c r="N52" s="524"/>
      <c r="O52" s="524"/>
      <c r="P52" s="524"/>
      <c r="Q52" s="541"/>
      <c r="R52" s="347"/>
      <c r="S52" s="524"/>
      <c r="T52" s="524"/>
      <c r="U52" s="340">
        <v>4500000</v>
      </c>
      <c r="V52" s="341"/>
    </row>
    <row r="53" spans="1:22" s="342" customFormat="1" ht="32.25" customHeight="1" x14ac:dyDescent="0.2">
      <c r="A53" s="333">
        <v>37</v>
      </c>
      <c r="B53" s="343">
        <v>45958</v>
      </c>
      <c r="C53" s="365" t="s">
        <v>279</v>
      </c>
      <c r="D53" s="352"/>
      <c r="E53" s="358">
        <v>1</v>
      </c>
      <c r="F53" s="366" t="s">
        <v>295</v>
      </c>
      <c r="G53" s="345" t="s">
        <v>225</v>
      </c>
      <c r="H53" s="180" t="s">
        <v>1632</v>
      </c>
      <c r="I53" s="386" t="s">
        <v>256</v>
      </c>
      <c r="J53" s="367" t="s">
        <v>39</v>
      </c>
      <c r="K53" s="336" t="s">
        <v>1633</v>
      </c>
      <c r="L53" s="346" t="s">
        <v>296</v>
      </c>
      <c r="M53" s="347">
        <v>1500000</v>
      </c>
      <c r="N53" s="524"/>
      <c r="O53" s="524"/>
      <c r="P53" s="524"/>
      <c r="Q53" s="541"/>
      <c r="R53" s="347"/>
      <c r="S53" s="524"/>
      <c r="T53" s="524"/>
      <c r="U53" s="340">
        <v>4500000</v>
      </c>
      <c r="V53" s="341"/>
    </row>
    <row r="54" spans="1:22" s="354" customFormat="1" ht="32.25" customHeight="1" x14ac:dyDescent="0.2">
      <c r="A54" s="333">
        <v>38</v>
      </c>
      <c r="B54" s="343">
        <v>45958</v>
      </c>
      <c r="C54" s="336">
        <v>7263168622</v>
      </c>
      <c r="D54" s="348"/>
      <c r="E54" s="344">
        <v>1</v>
      </c>
      <c r="F54" s="368" t="s">
        <v>297</v>
      </c>
      <c r="G54" s="345" t="s">
        <v>198</v>
      </c>
      <c r="H54" s="152" t="s">
        <v>298</v>
      </c>
      <c r="I54" s="384" t="s">
        <v>299</v>
      </c>
      <c r="J54" s="336" t="s">
        <v>1629</v>
      </c>
      <c r="K54" s="335" t="s">
        <v>39</v>
      </c>
      <c r="L54" s="346" t="s">
        <v>300</v>
      </c>
      <c r="M54" s="347">
        <v>1500000</v>
      </c>
      <c r="N54" s="524"/>
      <c r="O54" s="524"/>
      <c r="P54" s="524"/>
      <c r="Q54" s="541"/>
      <c r="R54" s="347"/>
      <c r="S54" s="524"/>
      <c r="T54" s="524"/>
      <c r="U54" s="340">
        <v>5300000</v>
      </c>
      <c r="V54" s="341"/>
    </row>
    <row r="55" spans="1:22" s="342" customFormat="1" ht="32.25" customHeight="1" x14ac:dyDescent="0.2">
      <c r="A55" s="333">
        <v>39</v>
      </c>
      <c r="B55" s="343">
        <v>45958</v>
      </c>
      <c r="C55" s="336">
        <v>7263168622</v>
      </c>
      <c r="D55" s="348"/>
      <c r="E55" s="344">
        <v>1</v>
      </c>
      <c r="F55" s="369" t="s">
        <v>301</v>
      </c>
      <c r="G55" s="345" t="s">
        <v>302</v>
      </c>
      <c r="H55" s="152" t="s">
        <v>298</v>
      </c>
      <c r="I55" s="384" t="s">
        <v>299</v>
      </c>
      <c r="J55" s="336" t="s">
        <v>1629</v>
      </c>
      <c r="K55" s="335" t="s">
        <v>39</v>
      </c>
      <c r="L55" s="346" t="s">
        <v>303</v>
      </c>
      <c r="M55" s="347">
        <v>1500000</v>
      </c>
      <c r="N55" s="524"/>
      <c r="O55" s="524"/>
      <c r="P55" s="524"/>
      <c r="Q55" s="541"/>
      <c r="R55" s="347"/>
      <c r="S55" s="524"/>
      <c r="T55" s="524"/>
      <c r="U55" s="340">
        <v>5300000</v>
      </c>
      <c r="V55" s="341"/>
    </row>
    <row r="56" spans="1:22" s="342" customFormat="1" ht="32.25" customHeight="1" x14ac:dyDescent="0.2">
      <c r="A56" s="333">
        <v>40</v>
      </c>
      <c r="B56" s="343">
        <v>45958</v>
      </c>
      <c r="C56" s="336">
        <v>7263168622</v>
      </c>
      <c r="D56" s="348"/>
      <c r="E56" s="344">
        <v>1</v>
      </c>
      <c r="F56" s="368" t="s">
        <v>304</v>
      </c>
      <c r="G56" s="345" t="s">
        <v>305</v>
      </c>
      <c r="H56" s="152" t="s">
        <v>298</v>
      </c>
      <c r="I56" s="384" t="s">
        <v>299</v>
      </c>
      <c r="J56" s="336" t="s">
        <v>1629</v>
      </c>
      <c r="K56" s="335" t="s">
        <v>39</v>
      </c>
      <c r="L56" s="346" t="s">
        <v>306</v>
      </c>
      <c r="M56" s="347">
        <v>1500000</v>
      </c>
      <c r="N56" s="524"/>
      <c r="O56" s="524"/>
      <c r="P56" s="524"/>
      <c r="Q56" s="541"/>
      <c r="R56" s="347"/>
      <c r="S56" s="524"/>
      <c r="T56" s="524"/>
      <c r="U56" s="340">
        <v>5300000</v>
      </c>
      <c r="V56" s="341"/>
    </row>
    <row r="57" spans="1:22" s="342" customFormat="1" ht="32.25" customHeight="1" x14ac:dyDescent="0.2">
      <c r="A57" s="333">
        <v>41</v>
      </c>
      <c r="B57" s="343">
        <v>45958</v>
      </c>
      <c r="C57" s="336">
        <v>7263168622</v>
      </c>
      <c r="D57" s="348"/>
      <c r="E57" s="344">
        <v>1</v>
      </c>
      <c r="F57" s="369" t="s">
        <v>307</v>
      </c>
      <c r="G57" s="337" t="s">
        <v>308</v>
      </c>
      <c r="H57" s="152" t="s">
        <v>298</v>
      </c>
      <c r="I57" s="384" t="s">
        <v>299</v>
      </c>
      <c r="J57" s="336" t="s">
        <v>1629</v>
      </c>
      <c r="K57" s="335" t="s">
        <v>39</v>
      </c>
      <c r="L57" s="346" t="s">
        <v>309</v>
      </c>
      <c r="M57" s="347">
        <v>1500000</v>
      </c>
      <c r="N57" s="524"/>
      <c r="O57" s="524"/>
      <c r="P57" s="524"/>
      <c r="Q57" s="541"/>
      <c r="R57" s="347"/>
      <c r="S57" s="524"/>
      <c r="T57" s="524"/>
      <c r="U57" s="340">
        <v>5300000</v>
      </c>
      <c r="V57" s="341"/>
    </row>
    <row r="58" spans="1:22" s="342" customFormat="1" ht="32.25" customHeight="1" x14ac:dyDescent="0.2">
      <c r="A58" s="333">
        <v>42</v>
      </c>
      <c r="B58" s="343">
        <v>45958</v>
      </c>
      <c r="C58" s="336">
        <v>7263168620</v>
      </c>
      <c r="D58" s="348"/>
      <c r="E58" s="344">
        <v>1</v>
      </c>
      <c r="F58" s="336" t="s">
        <v>310</v>
      </c>
      <c r="G58" s="359" t="s">
        <v>254</v>
      </c>
      <c r="H58" s="152" t="s">
        <v>1632</v>
      </c>
      <c r="I58" s="385" t="s">
        <v>256</v>
      </c>
      <c r="J58" s="336" t="s">
        <v>1629</v>
      </c>
      <c r="K58" s="335" t="s">
        <v>39</v>
      </c>
      <c r="L58" s="346" t="s">
        <v>311</v>
      </c>
      <c r="M58" s="347">
        <v>1500000</v>
      </c>
      <c r="N58" s="524"/>
      <c r="O58" s="524"/>
      <c r="P58" s="524"/>
      <c r="Q58" s="541"/>
      <c r="R58" s="347"/>
      <c r="S58" s="524"/>
      <c r="T58" s="524"/>
      <c r="U58" s="340">
        <v>4500000</v>
      </c>
      <c r="V58" s="341"/>
    </row>
    <row r="59" spans="1:22" s="342" customFormat="1" ht="32.25" customHeight="1" x14ac:dyDescent="0.2">
      <c r="A59" s="333">
        <v>43</v>
      </c>
      <c r="B59" s="343">
        <v>45958</v>
      </c>
      <c r="C59" s="336">
        <v>7263168620</v>
      </c>
      <c r="D59" s="348"/>
      <c r="E59" s="344">
        <v>1</v>
      </c>
      <c r="F59" s="336" t="s">
        <v>312</v>
      </c>
      <c r="G59" s="336" t="s">
        <v>313</v>
      </c>
      <c r="H59" s="152" t="s">
        <v>1632</v>
      </c>
      <c r="I59" s="385" t="s">
        <v>256</v>
      </c>
      <c r="J59" s="336" t="s">
        <v>1629</v>
      </c>
      <c r="K59" s="335" t="s">
        <v>39</v>
      </c>
      <c r="L59" s="346" t="s">
        <v>314</v>
      </c>
      <c r="M59" s="347">
        <v>1500000</v>
      </c>
      <c r="N59" s="524"/>
      <c r="O59" s="524"/>
      <c r="P59" s="524"/>
      <c r="Q59" s="541"/>
      <c r="R59" s="347"/>
      <c r="S59" s="524"/>
      <c r="T59" s="524"/>
      <c r="U59" s="340">
        <v>4500000</v>
      </c>
      <c r="V59" s="341"/>
    </row>
    <row r="60" spans="1:22" s="342" customFormat="1" ht="32.25" customHeight="1" x14ac:dyDescent="0.2">
      <c r="A60" s="333">
        <v>44</v>
      </c>
      <c r="B60" s="343">
        <v>45958</v>
      </c>
      <c r="C60" s="336">
        <v>7263168620</v>
      </c>
      <c r="D60" s="348"/>
      <c r="E60" s="344">
        <v>1</v>
      </c>
      <c r="F60" s="353" t="s">
        <v>315</v>
      </c>
      <c r="G60" s="336" t="s">
        <v>232</v>
      </c>
      <c r="H60" s="152" t="s">
        <v>1632</v>
      </c>
      <c r="I60" s="385" t="s">
        <v>256</v>
      </c>
      <c r="J60" s="336" t="s">
        <v>1629</v>
      </c>
      <c r="K60" s="335" t="s">
        <v>39</v>
      </c>
      <c r="L60" s="346" t="s">
        <v>316</v>
      </c>
      <c r="M60" s="347">
        <v>1500000</v>
      </c>
      <c r="N60" s="524"/>
      <c r="O60" s="524"/>
      <c r="P60" s="524"/>
      <c r="Q60" s="541"/>
      <c r="R60" s="347"/>
      <c r="S60" s="524"/>
      <c r="T60" s="524"/>
      <c r="U60" s="340">
        <v>4500000</v>
      </c>
      <c r="V60" s="341"/>
    </row>
    <row r="61" spans="1:22" s="342" customFormat="1" ht="32.25" customHeight="1" x14ac:dyDescent="0.2">
      <c r="A61" s="333">
        <v>45</v>
      </c>
      <c r="B61" s="343">
        <v>45958</v>
      </c>
      <c r="C61" s="336">
        <v>7263168620</v>
      </c>
      <c r="D61" s="348"/>
      <c r="E61" s="344">
        <v>1</v>
      </c>
      <c r="F61" s="336" t="s">
        <v>317</v>
      </c>
      <c r="G61" s="336" t="s">
        <v>318</v>
      </c>
      <c r="H61" s="152" t="s">
        <v>1632</v>
      </c>
      <c r="I61" s="385" t="s">
        <v>256</v>
      </c>
      <c r="J61" s="336" t="s">
        <v>1629</v>
      </c>
      <c r="K61" s="335" t="s">
        <v>39</v>
      </c>
      <c r="L61" s="346" t="s">
        <v>316</v>
      </c>
      <c r="M61" s="347">
        <v>1500000</v>
      </c>
      <c r="N61" s="524"/>
      <c r="O61" s="524"/>
      <c r="P61" s="524"/>
      <c r="Q61" s="541"/>
      <c r="R61" s="347"/>
      <c r="S61" s="524"/>
      <c r="T61" s="524"/>
      <c r="U61" s="340">
        <v>4500000</v>
      </c>
      <c r="V61" s="341"/>
    </row>
    <row r="62" spans="1:22" s="342" customFormat="1" ht="32.25" customHeight="1" x14ac:dyDescent="0.2">
      <c r="A62" s="333">
        <v>46</v>
      </c>
      <c r="B62" s="343">
        <v>45958</v>
      </c>
      <c r="C62" s="336">
        <v>7263168620</v>
      </c>
      <c r="D62" s="348"/>
      <c r="E62" s="344">
        <v>1</v>
      </c>
      <c r="F62" s="336" t="s">
        <v>319</v>
      </c>
      <c r="G62" s="336" t="s">
        <v>320</v>
      </c>
      <c r="H62" s="152" t="s">
        <v>1632</v>
      </c>
      <c r="I62" s="385" t="s">
        <v>256</v>
      </c>
      <c r="J62" s="336" t="s">
        <v>1629</v>
      </c>
      <c r="K62" s="335" t="s">
        <v>39</v>
      </c>
      <c r="L62" s="346" t="s">
        <v>321</v>
      </c>
      <c r="M62" s="347">
        <v>1500000</v>
      </c>
      <c r="N62" s="524"/>
      <c r="O62" s="524"/>
      <c r="P62" s="524"/>
      <c r="Q62" s="541"/>
      <c r="R62" s="347"/>
      <c r="S62" s="524"/>
      <c r="T62" s="524"/>
      <c r="U62" s="340">
        <v>4500000</v>
      </c>
      <c r="V62" s="341"/>
    </row>
    <row r="63" spans="1:22" s="342" customFormat="1" ht="32.25" customHeight="1" x14ac:dyDescent="0.2">
      <c r="A63" s="333">
        <v>47</v>
      </c>
      <c r="B63" s="343">
        <v>45958</v>
      </c>
      <c r="C63" s="336">
        <v>7263168620</v>
      </c>
      <c r="D63" s="348"/>
      <c r="E63" s="344">
        <v>1</v>
      </c>
      <c r="F63" s="353" t="s">
        <v>322</v>
      </c>
      <c r="G63" s="336" t="s">
        <v>323</v>
      </c>
      <c r="H63" s="152" t="s">
        <v>1632</v>
      </c>
      <c r="I63" s="385" t="s">
        <v>256</v>
      </c>
      <c r="J63" s="336" t="s">
        <v>1629</v>
      </c>
      <c r="K63" s="335" t="s">
        <v>39</v>
      </c>
      <c r="L63" s="346" t="s">
        <v>324</v>
      </c>
      <c r="M63" s="347">
        <v>1500000</v>
      </c>
      <c r="N63" s="524"/>
      <c r="O63" s="524"/>
      <c r="P63" s="524"/>
      <c r="Q63" s="541"/>
      <c r="R63" s="347"/>
      <c r="S63" s="524"/>
      <c r="T63" s="524"/>
      <c r="U63" s="340">
        <v>4500000</v>
      </c>
      <c r="V63" s="341"/>
    </row>
    <row r="64" spans="1:22" s="342" customFormat="1" ht="32.25" customHeight="1" x14ac:dyDescent="0.2">
      <c r="A64" s="333">
        <v>48</v>
      </c>
      <c r="B64" s="343">
        <v>45958</v>
      </c>
      <c r="C64" s="336">
        <v>7263168620</v>
      </c>
      <c r="D64" s="348"/>
      <c r="E64" s="344">
        <v>1</v>
      </c>
      <c r="F64" s="336" t="s">
        <v>325</v>
      </c>
      <c r="G64" s="353" t="s">
        <v>326</v>
      </c>
      <c r="H64" s="152" t="s">
        <v>1632</v>
      </c>
      <c r="I64" s="385" t="s">
        <v>256</v>
      </c>
      <c r="J64" s="336" t="s">
        <v>1629</v>
      </c>
      <c r="K64" s="335" t="s">
        <v>39</v>
      </c>
      <c r="L64" s="346" t="s">
        <v>327</v>
      </c>
      <c r="M64" s="347">
        <v>1500000</v>
      </c>
      <c r="N64" s="524"/>
      <c r="O64" s="524"/>
      <c r="P64" s="524"/>
      <c r="Q64" s="541"/>
      <c r="R64" s="347"/>
      <c r="S64" s="524"/>
      <c r="T64" s="524"/>
      <c r="U64" s="340">
        <v>4500000</v>
      </c>
      <c r="V64" s="341"/>
    </row>
    <row r="65" spans="1:22" s="342" customFormat="1" ht="32.25" customHeight="1" x14ac:dyDescent="0.2">
      <c r="A65" s="333">
        <v>49</v>
      </c>
      <c r="B65" s="343">
        <v>45958</v>
      </c>
      <c r="C65" s="336">
        <v>7263168620</v>
      </c>
      <c r="D65" s="348"/>
      <c r="E65" s="344">
        <v>1</v>
      </c>
      <c r="F65" s="345" t="s">
        <v>328</v>
      </c>
      <c r="G65" s="345" t="s">
        <v>188</v>
      </c>
      <c r="H65" s="152" t="s">
        <v>1632</v>
      </c>
      <c r="I65" s="385" t="s">
        <v>256</v>
      </c>
      <c r="J65" s="336" t="s">
        <v>1629</v>
      </c>
      <c r="K65" s="335" t="s">
        <v>39</v>
      </c>
      <c r="L65" s="346" t="s">
        <v>329</v>
      </c>
      <c r="M65" s="347">
        <v>1500000</v>
      </c>
      <c r="N65" s="524"/>
      <c r="O65" s="524"/>
      <c r="P65" s="524"/>
      <c r="Q65" s="541"/>
      <c r="R65" s="347"/>
      <c r="S65" s="524"/>
      <c r="T65" s="524"/>
      <c r="U65" s="340">
        <v>4500000</v>
      </c>
      <c r="V65" s="341"/>
    </row>
    <row r="66" spans="1:22" s="342" customFormat="1" ht="32.25" customHeight="1" x14ac:dyDescent="0.2">
      <c r="A66" s="333">
        <v>50</v>
      </c>
      <c r="B66" s="343">
        <v>45958</v>
      </c>
      <c r="C66" s="336" t="s">
        <v>330</v>
      </c>
      <c r="D66" s="344"/>
      <c r="E66" s="344">
        <v>1</v>
      </c>
      <c r="F66" s="336" t="s">
        <v>331</v>
      </c>
      <c r="G66" s="345" t="s">
        <v>185</v>
      </c>
      <c r="H66" s="164" t="s">
        <v>180</v>
      </c>
      <c r="I66" s="384" t="s">
        <v>181</v>
      </c>
      <c r="J66" s="335" t="s">
        <v>39</v>
      </c>
      <c r="K66" s="336" t="s">
        <v>1634</v>
      </c>
      <c r="L66" s="370" t="s">
        <v>333</v>
      </c>
      <c r="M66" s="347">
        <v>1500000</v>
      </c>
      <c r="N66" s="524"/>
      <c r="O66" s="524"/>
      <c r="P66" s="524"/>
      <c r="Q66" s="541"/>
      <c r="R66" s="347"/>
      <c r="S66" s="524"/>
      <c r="T66" s="524"/>
      <c r="U66" s="340">
        <v>4500000</v>
      </c>
      <c r="V66" s="341"/>
    </row>
    <row r="67" spans="1:22" s="342" customFormat="1" ht="32.25" customHeight="1" x14ac:dyDescent="0.2">
      <c r="A67" s="333">
        <v>51</v>
      </c>
      <c r="B67" s="343">
        <v>45958</v>
      </c>
      <c r="C67" s="336" t="s">
        <v>330</v>
      </c>
      <c r="D67" s="348"/>
      <c r="E67" s="344">
        <v>1</v>
      </c>
      <c r="F67" s="345" t="s">
        <v>334</v>
      </c>
      <c r="G67" s="345" t="s">
        <v>335</v>
      </c>
      <c r="H67" s="164" t="s">
        <v>180</v>
      </c>
      <c r="I67" s="384" t="s">
        <v>181</v>
      </c>
      <c r="J67" s="335" t="s">
        <v>39</v>
      </c>
      <c r="K67" s="336" t="s">
        <v>1634</v>
      </c>
      <c r="L67" s="370" t="s">
        <v>336</v>
      </c>
      <c r="M67" s="347">
        <v>1500000</v>
      </c>
      <c r="N67" s="524"/>
      <c r="O67" s="524"/>
      <c r="P67" s="524"/>
      <c r="Q67" s="541"/>
      <c r="R67" s="347"/>
      <c r="S67" s="524"/>
      <c r="T67" s="524"/>
      <c r="U67" s="340">
        <v>4500000</v>
      </c>
      <c r="V67" s="341"/>
    </row>
    <row r="68" spans="1:22" s="342" customFormat="1" ht="32.25" customHeight="1" x14ac:dyDescent="0.2">
      <c r="A68" s="333">
        <v>52</v>
      </c>
      <c r="B68" s="343">
        <v>45958</v>
      </c>
      <c r="C68" s="336" t="s">
        <v>330</v>
      </c>
      <c r="D68" s="348"/>
      <c r="E68" s="344">
        <v>1</v>
      </c>
      <c r="F68" s="353" t="s">
        <v>337</v>
      </c>
      <c r="G68" s="345" t="s">
        <v>338</v>
      </c>
      <c r="H68" s="164" t="s">
        <v>180</v>
      </c>
      <c r="I68" s="384" t="s">
        <v>181</v>
      </c>
      <c r="J68" s="335" t="s">
        <v>39</v>
      </c>
      <c r="K68" s="336" t="s">
        <v>1634</v>
      </c>
      <c r="L68" s="370" t="s">
        <v>339</v>
      </c>
      <c r="M68" s="347">
        <v>1512000</v>
      </c>
      <c r="N68" s="524"/>
      <c r="O68" s="524"/>
      <c r="P68" s="524"/>
      <c r="Q68" s="541"/>
      <c r="R68" s="347"/>
      <c r="S68" s="524"/>
      <c r="T68" s="524"/>
      <c r="U68" s="340">
        <v>4500000</v>
      </c>
      <c r="V68" s="341"/>
    </row>
    <row r="69" spans="1:22" s="354" customFormat="1" ht="32.25" customHeight="1" x14ac:dyDescent="0.2">
      <c r="A69" s="333">
        <v>53</v>
      </c>
      <c r="B69" s="343">
        <v>45958</v>
      </c>
      <c r="C69" s="336" t="s">
        <v>330</v>
      </c>
      <c r="D69" s="348"/>
      <c r="E69" s="344">
        <v>1</v>
      </c>
      <c r="F69" s="336" t="s">
        <v>340</v>
      </c>
      <c r="G69" s="345" t="s">
        <v>341</v>
      </c>
      <c r="H69" s="164" t="s">
        <v>180</v>
      </c>
      <c r="I69" s="384" t="s">
        <v>181</v>
      </c>
      <c r="J69" s="335" t="s">
        <v>39</v>
      </c>
      <c r="K69" s="336" t="s">
        <v>1634</v>
      </c>
      <c r="L69" s="370" t="s">
        <v>342</v>
      </c>
      <c r="M69" s="347">
        <v>1512000</v>
      </c>
      <c r="N69" s="524"/>
      <c r="O69" s="524"/>
      <c r="P69" s="524"/>
      <c r="Q69" s="541"/>
      <c r="R69" s="347"/>
      <c r="S69" s="524"/>
      <c r="T69" s="524"/>
      <c r="U69" s="340">
        <v>4500000</v>
      </c>
      <c r="V69" s="341"/>
    </row>
    <row r="70" spans="1:22" s="342" customFormat="1" ht="32.25" customHeight="1" x14ac:dyDescent="0.2">
      <c r="A70" s="333">
        <v>54</v>
      </c>
      <c r="B70" s="343">
        <v>45958</v>
      </c>
      <c r="C70" s="336" t="s">
        <v>330</v>
      </c>
      <c r="D70" s="348"/>
      <c r="E70" s="344">
        <v>1</v>
      </c>
      <c r="F70" s="336" t="s">
        <v>343</v>
      </c>
      <c r="G70" s="345" t="s">
        <v>191</v>
      </c>
      <c r="H70" s="164" t="s">
        <v>180</v>
      </c>
      <c r="I70" s="384" t="s">
        <v>181</v>
      </c>
      <c r="J70" s="335" t="s">
        <v>39</v>
      </c>
      <c r="K70" s="336" t="s">
        <v>1634</v>
      </c>
      <c r="L70" s="371">
        <v>64389</v>
      </c>
      <c r="M70" s="372">
        <v>1512000</v>
      </c>
      <c r="N70" s="525"/>
      <c r="O70" s="525"/>
      <c r="P70" s="525"/>
      <c r="Q70" s="542"/>
      <c r="R70" s="372"/>
      <c r="S70" s="525"/>
      <c r="T70" s="525"/>
      <c r="U70" s="340">
        <v>4500000</v>
      </c>
      <c r="V70" s="341"/>
    </row>
    <row r="71" spans="1:22" s="342" customFormat="1" ht="32.25" customHeight="1" x14ac:dyDescent="0.2">
      <c r="A71" s="333">
        <v>55</v>
      </c>
      <c r="B71" s="343">
        <v>45959</v>
      </c>
      <c r="C71" s="336" t="s">
        <v>345</v>
      </c>
      <c r="D71" s="348"/>
      <c r="E71" s="344">
        <v>1</v>
      </c>
      <c r="F71" s="336" t="s">
        <v>346</v>
      </c>
      <c r="G71" s="359" t="s">
        <v>254</v>
      </c>
      <c r="H71" s="156" t="s">
        <v>172</v>
      </c>
      <c r="I71" s="384" t="s">
        <v>173</v>
      </c>
      <c r="J71" s="335" t="s">
        <v>39</v>
      </c>
      <c r="K71" s="336" t="s">
        <v>1629</v>
      </c>
      <c r="L71" s="346" t="s">
        <v>347</v>
      </c>
      <c r="M71" s="347">
        <v>1500000</v>
      </c>
      <c r="N71" s="524"/>
      <c r="O71" s="524"/>
      <c r="P71" s="524"/>
      <c r="Q71" s="541"/>
      <c r="R71" s="347">
        <v>2500000</v>
      </c>
      <c r="S71" s="525"/>
      <c r="T71" s="525"/>
      <c r="U71" s="373">
        <v>2700000</v>
      </c>
      <c r="V71" s="341"/>
    </row>
    <row r="72" spans="1:22" s="342" customFormat="1" ht="32.25" customHeight="1" x14ac:dyDescent="0.2">
      <c r="A72" s="333">
        <v>56</v>
      </c>
      <c r="B72" s="343">
        <v>45959</v>
      </c>
      <c r="C72" s="336" t="s">
        <v>345</v>
      </c>
      <c r="D72" s="348"/>
      <c r="E72" s="344">
        <v>1</v>
      </c>
      <c r="F72" s="336" t="s">
        <v>348</v>
      </c>
      <c r="G72" s="374" t="s">
        <v>349</v>
      </c>
      <c r="H72" s="156" t="s">
        <v>172</v>
      </c>
      <c r="I72" s="384" t="s">
        <v>173</v>
      </c>
      <c r="J72" s="335" t="s">
        <v>39</v>
      </c>
      <c r="K72" s="336" t="s">
        <v>1629</v>
      </c>
      <c r="L72" s="346" t="s">
        <v>350</v>
      </c>
      <c r="M72" s="347">
        <v>1500000</v>
      </c>
      <c r="N72" s="524"/>
      <c r="O72" s="524"/>
      <c r="P72" s="524"/>
      <c r="Q72" s="541"/>
      <c r="R72" s="347">
        <v>700000</v>
      </c>
      <c r="S72" s="525"/>
      <c r="T72" s="525"/>
      <c r="U72" s="373">
        <v>2700000</v>
      </c>
      <c r="V72" s="341"/>
    </row>
    <row r="73" spans="1:22" s="342" customFormat="1" ht="32.25" customHeight="1" x14ac:dyDescent="0.2">
      <c r="A73" s="333">
        <v>57</v>
      </c>
      <c r="B73" s="343">
        <v>45959</v>
      </c>
      <c r="C73" s="336" t="s">
        <v>345</v>
      </c>
      <c r="D73" s="348"/>
      <c r="E73" s="344">
        <v>1</v>
      </c>
      <c r="F73" s="353" t="s">
        <v>351</v>
      </c>
      <c r="G73" s="375" t="s">
        <v>308</v>
      </c>
      <c r="H73" s="156" t="s">
        <v>172</v>
      </c>
      <c r="I73" s="384" t="s">
        <v>173</v>
      </c>
      <c r="J73" s="335" t="s">
        <v>39</v>
      </c>
      <c r="K73" s="336" t="s">
        <v>1629</v>
      </c>
      <c r="L73" s="346" t="s">
        <v>352</v>
      </c>
      <c r="M73" s="347">
        <v>1500000</v>
      </c>
      <c r="N73" s="524"/>
      <c r="O73" s="524"/>
      <c r="P73" s="524"/>
      <c r="Q73" s="541"/>
      <c r="R73" s="347">
        <v>1100000</v>
      </c>
      <c r="S73" s="525"/>
      <c r="T73" s="525"/>
      <c r="U73" s="373">
        <v>2700000</v>
      </c>
      <c r="V73" s="341"/>
    </row>
    <row r="74" spans="1:22" s="342" customFormat="1" ht="32.25" customHeight="1" x14ac:dyDescent="0.2">
      <c r="A74" s="333">
        <v>58</v>
      </c>
      <c r="B74" s="343">
        <v>45959</v>
      </c>
      <c r="C74" s="336" t="s">
        <v>345</v>
      </c>
      <c r="D74" s="348"/>
      <c r="E74" s="344">
        <v>1</v>
      </c>
      <c r="F74" s="336" t="s">
        <v>353</v>
      </c>
      <c r="G74" s="336" t="s">
        <v>354</v>
      </c>
      <c r="H74" s="156" t="s">
        <v>172</v>
      </c>
      <c r="I74" s="384" t="s">
        <v>173</v>
      </c>
      <c r="J74" s="335" t="s">
        <v>39</v>
      </c>
      <c r="K74" s="336" t="s">
        <v>1629</v>
      </c>
      <c r="L74" s="346" t="s">
        <v>355</v>
      </c>
      <c r="M74" s="347">
        <v>1500000</v>
      </c>
      <c r="N74" s="524"/>
      <c r="O74" s="524"/>
      <c r="P74" s="524"/>
      <c r="Q74" s="541"/>
      <c r="R74" s="347">
        <v>1500000</v>
      </c>
      <c r="S74" s="525"/>
      <c r="T74" s="525"/>
      <c r="U74" s="373">
        <v>2700000</v>
      </c>
      <c r="V74" s="341"/>
    </row>
    <row r="75" spans="1:22" s="342" customFormat="1" ht="32.25" customHeight="1" x14ac:dyDescent="0.2">
      <c r="A75" s="333">
        <v>59</v>
      </c>
      <c r="B75" s="343">
        <v>45960</v>
      </c>
      <c r="C75" s="336" t="s">
        <v>356</v>
      </c>
      <c r="D75" s="348"/>
      <c r="E75" s="344">
        <v>1</v>
      </c>
      <c r="F75" s="336" t="s">
        <v>357</v>
      </c>
      <c r="G75" s="337" t="s">
        <v>308</v>
      </c>
      <c r="H75" s="152" t="s">
        <v>298</v>
      </c>
      <c r="I75" s="384" t="s">
        <v>299</v>
      </c>
      <c r="J75" s="335" t="s">
        <v>39</v>
      </c>
      <c r="K75" s="336" t="s">
        <v>358</v>
      </c>
      <c r="L75" s="377">
        <v>391740</v>
      </c>
      <c r="M75" s="347">
        <v>1500000</v>
      </c>
      <c r="N75" s="524"/>
      <c r="O75" s="524"/>
      <c r="P75" s="524"/>
      <c r="Q75" s="541"/>
      <c r="R75" s="347">
        <v>9000000</v>
      </c>
      <c r="S75" s="525"/>
      <c r="T75" s="525"/>
      <c r="U75" s="373">
        <v>5300000</v>
      </c>
      <c r="V75" s="341"/>
    </row>
    <row r="76" spans="1:22" s="342" customFormat="1" ht="32.25" customHeight="1" x14ac:dyDescent="0.2">
      <c r="A76" s="333">
        <v>60</v>
      </c>
      <c r="B76" s="343">
        <v>45960</v>
      </c>
      <c r="C76" s="336" t="s">
        <v>356</v>
      </c>
      <c r="D76" s="348"/>
      <c r="E76" s="344">
        <v>1</v>
      </c>
      <c r="F76" s="336" t="s">
        <v>359</v>
      </c>
      <c r="G76" s="345" t="s">
        <v>302</v>
      </c>
      <c r="H76" s="152" t="s">
        <v>298</v>
      </c>
      <c r="I76" s="384" t="s">
        <v>299</v>
      </c>
      <c r="J76" s="335" t="s">
        <v>39</v>
      </c>
      <c r="K76" s="336" t="s">
        <v>358</v>
      </c>
      <c r="L76" s="376">
        <v>392409</v>
      </c>
      <c r="M76" s="347">
        <v>1500000</v>
      </c>
      <c r="N76" s="524"/>
      <c r="O76" s="524"/>
      <c r="P76" s="524"/>
      <c r="Q76" s="541"/>
      <c r="R76" s="347"/>
      <c r="S76" s="525"/>
      <c r="T76" s="525"/>
      <c r="U76" s="373">
        <v>5300000</v>
      </c>
      <c r="V76" s="341"/>
    </row>
    <row r="77" spans="1:22" s="354" customFormat="1" ht="32.25" customHeight="1" x14ac:dyDescent="0.2">
      <c r="A77" s="333">
        <v>61</v>
      </c>
      <c r="B77" s="343">
        <v>45960</v>
      </c>
      <c r="C77" s="353">
        <v>257754101</v>
      </c>
      <c r="D77" s="353"/>
      <c r="E77" s="344">
        <v>1</v>
      </c>
      <c r="F77" s="336" t="s">
        <v>360</v>
      </c>
      <c r="G77" s="345" t="s">
        <v>213</v>
      </c>
      <c r="H77" s="152" t="s">
        <v>298</v>
      </c>
      <c r="I77" s="384" t="s">
        <v>299</v>
      </c>
      <c r="J77" s="335" t="s">
        <v>39</v>
      </c>
      <c r="K77" s="344" t="s">
        <v>361</v>
      </c>
      <c r="L77" s="355">
        <v>120362</v>
      </c>
      <c r="M77" s="347">
        <v>1450000</v>
      </c>
      <c r="N77" s="524"/>
      <c r="O77" s="524"/>
      <c r="P77" s="524"/>
      <c r="Q77" s="541"/>
      <c r="R77" s="347"/>
      <c r="S77" s="525"/>
      <c r="T77" s="525"/>
      <c r="U77" s="373">
        <v>5300000</v>
      </c>
      <c r="V77" s="341"/>
    </row>
    <row r="78" spans="1:22" s="354" customFormat="1" ht="32.25" customHeight="1" x14ac:dyDescent="0.2">
      <c r="A78" s="333">
        <v>62</v>
      </c>
      <c r="B78" s="343">
        <v>45960</v>
      </c>
      <c r="C78" s="353">
        <v>257754101</v>
      </c>
      <c r="D78" s="348"/>
      <c r="E78" s="344">
        <v>1</v>
      </c>
      <c r="F78" s="336" t="s">
        <v>363</v>
      </c>
      <c r="G78" s="345" t="s">
        <v>198</v>
      </c>
      <c r="H78" s="152" t="s">
        <v>298</v>
      </c>
      <c r="I78" s="384" t="s">
        <v>299</v>
      </c>
      <c r="J78" s="335" t="s">
        <v>39</v>
      </c>
      <c r="K78" s="344" t="s">
        <v>361</v>
      </c>
      <c r="L78" s="355">
        <v>120391</v>
      </c>
      <c r="M78" s="347">
        <v>1450000</v>
      </c>
      <c r="N78" s="524"/>
      <c r="O78" s="524"/>
      <c r="P78" s="524"/>
      <c r="Q78" s="541"/>
      <c r="R78" s="347"/>
      <c r="S78" s="525"/>
      <c r="T78" s="525"/>
      <c r="U78" s="373">
        <v>5300000</v>
      </c>
      <c r="V78" s="341"/>
    </row>
    <row r="79" spans="1:22" s="354" customFormat="1" ht="32.25" customHeight="1" x14ac:dyDescent="0.2">
      <c r="A79" s="333">
        <v>63</v>
      </c>
      <c r="B79" s="343">
        <v>45960</v>
      </c>
      <c r="C79" s="353">
        <v>257754101</v>
      </c>
      <c r="D79" s="348"/>
      <c r="E79" s="344">
        <v>1</v>
      </c>
      <c r="F79" s="336" t="s">
        <v>365</v>
      </c>
      <c r="G79" s="345" t="s">
        <v>191</v>
      </c>
      <c r="H79" s="152" t="s">
        <v>298</v>
      </c>
      <c r="I79" s="384" t="s">
        <v>299</v>
      </c>
      <c r="J79" s="335" t="s">
        <v>39</v>
      </c>
      <c r="K79" s="344" t="s">
        <v>361</v>
      </c>
      <c r="L79" s="355">
        <v>120206</v>
      </c>
      <c r="M79" s="347">
        <v>1450000</v>
      </c>
      <c r="N79" s="524"/>
      <c r="O79" s="524"/>
      <c r="P79" s="524"/>
      <c r="Q79" s="541"/>
      <c r="R79" s="347"/>
      <c r="S79" s="525"/>
      <c r="T79" s="525"/>
      <c r="U79" s="373">
        <v>5300000</v>
      </c>
      <c r="V79" s="341"/>
    </row>
    <row r="80" spans="1:22" s="379" customFormat="1" ht="32.25" customHeight="1" x14ac:dyDescent="0.2">
      <c r="A80" s="333">
        <v>64</v>
      </c>
      <c r="B80" s="343">
        <v>45960</v>
      </c>
      <c r="C80" s="353">
        <v>257754101</v>
      </c>
      <c r="D80" s="348"/>
      <c r="E80" s="344">
        <v>1</v>
      </c>
      <c r="F80" s="336" t="s">
        <v>367</v>
      </c>
      <c r="G80" s="345" t="s">
        <v>368</v>
      </c>
      <c r="H80" s="152" t="s">
        <v>298</v>
      </c>
      <c r="I80" s="384" t="s">
        <v>299</v>
      </c>
      <c r="J80" s="335" t="s">
        <v>39</v>
      </c>
      <c r="K80" s="344" t="s">
        <v>361</v>
      </c>
      <c r="L80" s="378">
        <v>120539</v>
      </c>
      <c r="M80" s="347">
        <v>1450000</v>
      </c>
      <c r="N80" s="524"/>
      <c r="O80" s="524"/>
      <c r="P80" s="524"/>
      <c r="Q80" s="541"/>
      <c r="R80" s="347"/>
      <c r="S80" s="525"/>
      <c r="T80" s="525"/>
      <c r="U80" s="373">
        <v>5300000</v>
      </c>
      <c r="V80" s="341"/>
    </row>
    <row r="81" spans="1:22" s="379" customFormat="1" ht="32.25" customHeight="1" x14ac:dyDescent="0.2">
      <c r="A81" s="333">
        <v>65</v>
      </c>
      <c r="B81" s="343">
        <v>45960</v>
      </c>
      <c r="C81" s="353">
        <v>257754101</v>
      </c>
      <c r="D81" s="348"/>
      <c r="E81" s="344">
        <v>1</v>
      </c>
      <c r="F81" s="353" t="s">
        <v>370</v>
      </c>
      <c r="G81" s="345" t="s">
        <v>338</v>
      </c>
      <c r="H81" s="152" t="s">
        <v>298</v>
      </c>
      <c r="I81" s="384" t="s">
        <v>299</v>
      </c>
      <c r="J81" s="335" t="s">
        <v>39</v>
      </c>
      <c r="K81" s="344" t="s">
        <v>361</v>
      </c>
      <c r="L81" s="355">
        <v>120200</v>
      </c>
      <c r="M81" s="347">
        <v>1450000</v>
      </c>
      <c r="N81" s="524"/>
      <c r="O81" s="524"/>
      <c r="P81" s="524"/>
      <c r="Q81" s="541"/>
      <c r="R81" s="347"/>
      <c r="S81" s="525"/>
      <c r="T81" s="525"/>
      <c r="U81" s="373">
        <v>5300000</v>
      </c>
      <c r="V81" s="341"/>
    </row>
    <row r="82" spans="1:22" s="379" customFormat="1" ht="32.25" customHeight="1" x14ac:dyDescent="0.2">
      <c r="A82" s="333">
        <v>66</v>
      </c>
      <c r="B82" s="343">
        <v>45960</v>
      </c>
      <c r="C82" s="353">
        <v>257754101</v>
      </c>
      <c r="D82" s="348"/>
      <c r="E82" s="344">
        <v>1</v>
      </c>
      <c r="F82" s="336" t="s">
        <v>372</v>
      </c>
      <c r="G82" s="345" t="s">
        <v>305</v>
      </c>
      <c r="H82" s="152" t="s">
        <v>298</v>
      </c>
      <c r="I82" s="384" t="s">
        <v>299</v>
      </c>
      <c r="J82" s="335" t="s">
        <v>39</v>
      </c>
      <c r="K82" s="344" t="s">
        <v>361</v>
      </c>
      <c r="L82" s="355">
        <v>120268</v>
      </c>
      <c r="M82" s="347">
        <v>1450000</v>
      </c>
      <c r="N82" s="524"/>
      <c r="O82" s="524"/>
      <c r="P82" s="524"/>
      <c r="Q82" s="541"/>
      <c r="R82" s="347"/>
      <c r="S82" s="525"/>
      <c r="T82" s="525"/>
      <c r="U82" s="373">
        <v>5300000</v>
      </c>
      <c r="V82" s="341"/>
    </row>
    <row r="83" spans="1:22" s="379" customFormat="1" ht="32.25" customHeight="1" x14ac:dyDescent="0.2">
      <c r="A83" s="333">
        <v>67</v>
      </c>
      <c r="B83" s="343">
        <v>45960</v>
      </c>
      <c r="C83" s="353">
        <v>257754101</v>
      </c>
      <c r="D83" s="348"/>
      <c r="E83" s="344">
        <v>1</v>
      </c>
      <c r="F83" s="336" t="s">
        <v>374</v>
      </c>
      <c r="G83" s="345" t="s">
        <v>216</v>
      </c>
      <c r="H83" s="152" t="s">
        <v>298</v>
      </c>
      <c r="I83" s="384" t="s">
        <v>299</v>
      </c>
      <c r="J83" s="335" t="s">
        <v>39</v>
      </c>
      <c r="K83" s="344" t="s">
        <v>361</v>
      </c>
      <c r="L83" s="355">
        <v>120361</v>
      </c>
      <c r="M83" s="347">
        <v>1450000</v>
      </c>
      <c r="N83" s="524"/>
      <c r="O83" s="524"/>
      <c r="P83" s="524"/>
      <c r="Q83" s="541"/>
      <c r="R83" s="347"/>
      <c r="S83" s="525"/>
      <c r="T83" s="525"/>
      <c r="U83" s="373">
        <v>5300000</v>
      </c>
      <c r="V83" s="341"/>
    </row>
    <row r="84" spans="1:22" s="379" customFormat="1" ht="32.25" customHeight="1" x14ac:dyDescent="0.2">
      <c r="A84" s="333">
        <v>68</v>
      </c>
      <c r="B84" s="343">
        <v>45960</v>
      </c>
      <c r="C84" s="353">
        <v>257754101</v>
      </c>
      <c r="D84" s="348"/>
      <c r="E84" s="344">
        <v>1</v>
      </c>
      <c r="F84" s="336" t="s">
        <v>376</v>
      </c>
      <c r="G84" s="345" t="s">
        <v>210</v>
      </c>
      <c r="H84" s="152" t="s">
        <v>298</v>
      </c>
      <c r="I84" s="384" t="s">
        <v>299</v>
      </c>
      <c r="J84" s="335" t="s">
        <v>39</v>
      </c>
      <c r="K84" s="344" t="s">
        <v>361</v>
      </c>
      <c r="L84" s="355">
        <v>120392</v>
      </c>
      <c r="M84" s="347">
        <v>1450000</v>
      </c>
      <c r="N84" s="524"/>
      <c r="O84" s="524"/>
      <c r="P84" s="524"/>
      <c r="Q84" s="541"/>
      <c r="R84" s="347"/>
      <c r="S84" s="525"/>
      <c r="T84" s="525"/>
      <c r="U84" s="373">
        <v>5300000</v>
      </c>
      <c r="V84" s="341"/>
    </row>
    <row r="85" spans="1:22" s="354" customFormat="1" ht="32.25" customHeight="1" x14ac:dyDescent="0.2">
      <c r="A85" s="333">
        <v>69</v>
      </c>
      <c r="B85" s="380">
        <v>45960</v>
      </c>
      <c r="C85" s="336">
        <v>2313711130</v>
      </c>
      <c r="D85" s="361"/>
      <c r="E85" s="344">
        <v>1</v>
      </c>
      <c r="F85" s="336" t="s">
        <v>378</v>
      </c>
      <c r="G85" s="345" t="s">
        <v>191</v>
      </c>
      <c r="H85" s="152" t="s">
        <v>298</v>
      </c>
      <c r="I85" s="384" t="s">
        <v>299</v>
      </c>
      <c r="J85" s="336" t="s">
        <v>1631</v>
      </c>
      <c r="K85" s="344" t="s">
        <v>39</v>
      </c>
      <c r="L85" s="355">
        <v>391698</v>
      </c>
      <c r="M85" s="347">
        <v>1500000</v>
      </c>
      <c r="N85" s="524"/>
      <c r="O85" s="524"/>
      <c r="P85" s="524"/>
      <c r="Q85" s="541"/>
      <c r="R85" s="347"/>
      <c r="S85" s="525"/>
      <c r="T85" s="525"/>
      <c r="U85" s="373">
        <v>5300000</v>
      </c>
      <c r="V85" s="341"/>
    </row>
    <row r="86" spans="1:22" s="354" customFormat="1" ht="32.25" customHeight="1" x14ac:dyDescent="0.2">
      <c r="A86" s="333">
        <v>70</v>
      </c>
      <c r="B86" s="380">
        <v>45960</v>
      </c>
      <c r="C86" s="336">
        <v>2313711130</v>
      </c>
      <c r="D86" s="348"/>
      <c r="E86" s="344">
        <v>1</v>
      </c>
      <c r="F86" s="336" t="s">
        <v>380</v>
      </c>
      <c r="G86" s="345" t="s">
        <v>338</v>
      </c>
      <c r="H86" s="152" t="s">
        <v>298</v>
      </c>
      <c r="I86" s="384" t="s">
        <v>299</v>
      </c>
      <c r="J86" s="336" t="s">
        <v>1631</v>
      </c>
      <c r="K86" s="344" t="s">
        <v>39</v>
      </c>
      <c r="L86" s="355">
        <v>391601</v>
      </c>
      <c r="M86" s="347">
        <v>1500000</v>
      </c>
      <c r="N86" s="524"/>
      <c r="O86" s="524"/>
      <c r="P86" s="524"/>
      <c r="Q86" s="541"/>
      <c r="R86" s="347"/>
      <c r="S86" s="525"/>
      <c r="T86" s="525"/>
      <c r="U86" s="373">
        <v>5300000</v>
      </c>
      <c r="V86" s="341"/>
    </row>
    <row r="87" spans="1:22" s="354" customFormat="1" ht="32.25" customHeight="1" x14ac:dyDescent="0.2">
      <c r="A87" s="333">
        <v>71</v>
      </c>
      <c r="B87" s="380">
        <v>45960</v>
      </c>
      <c r="C87" s="367" t="s">
        <v>382</v>
      </c>
      <c r="D87" s="352"/>
      <c r="E87" s="351">
        <v>1</v>
      </c>
      <c r="F87" s="367" t="s">
        <v>383</v>
      </c>
      <c r="G87" s="367" t="s">
        <v>236</v>
      </c>
      <c r="H87" s="180" t="s">
        <v>180</v>
      </c>
      <c r="I87" s="387" t="s">
        <v>181</v>
      </c>
      <c r="J87" s="367" t="s">
        <v>39</v>
      </c>
      <c r="K87" s="367" t="s">
        <v>1631</v>
      </c>
      <c r="L87" s="345">
        <v>6433</v>
      </c>
      <c r="M87" s="347">
        <v>1500000</v>
      </c>
      <c r="N87" s="524"/>
      <c r="O87" s="524"/>
      <c r="P87" s="524"/>
      <c r="Q87" s="541"/>
      <c r="R87" s="347"/>
      <c r="S87" s="525"/>
      <c r="T87" s="525"/>
      <c r="U87" s="373">
        <v>4500000</v>
      </c>
      <c r="V87" s="341"/>
    </row>
    <row r="88" spans="1:22" s="354" customFormat="1" ht="32.25" customHeight="1" x14ac:dyDescent="0.2">
      <c r="A88" s="333">
        <v>72</v>
      </c>
      <c r="B88" s="381">
        <v>45960</v>
      </c>
      <c r="C88" s="344" t="s">
        <v>384</v>
      </c>
      <c r="D88" s="344"/>
      <c r="E88" s="344">
        <v>1</v>
      </c>
      <c r="F88" s="345" t="s">
        <v>385</v>
      </c>
      <c r="G88" s="345" t="s">
        <v>354</v>
      </c>
      <c r="H88" s="152" t="s">
        <v>199</v>
      </c>
      <c r="I88" s="384" t="s">
        <v>200</v>
      </c>
      <c r="J88" s="345" t="s">
        <v>39</v>
      </c>
      <c r="K88" s="345" t="s">
        <v>1635</v>
      </c>
      <c r="L88" s="349" t="s">
        <v>387</v>
      </c>
      <c r="M88" s="347">
        <v>1546000</v>
      </c>
      <c r="N88" s="524"/>
      <c r="O88" s="524"/>
      <c r="P88" s="524"/>
      <c r="Q88" s="541"/>
      <c r="R88" s="347"/>
      <c r="S88" s="525"/>
      <c r="T88" s="525"/>
      <c r="U88" s="373">
        <v>4700000</v>
      </c>
      <c r="V88" s="341"/>
    </row>
    <row r="89" spans="1:22" s="354" customFormat="1" ht="32.25" customHeight="1" x14ac:dyDescent="0.2">
      <c r="A89" s="333">
        <v>73</v>
      </c>
      <c r="B89" s="381">
        <v>45960</v>
      </c>
      <c r="C89" s="344" t="s">
        <v>384</v>
      </c>
      <c r="D89" s="344"/>
      <c r="E89" s="344">
        <v>1</v>
      </c>
      <c r="F89" s="345" t="s">
        <v>388</v>
      </c>
      <c r="G89" s="345" t="s">
        <v>389</v>
      </c>
      <c r="H89" s="152" t="s">
        <v>199</v>
      </c>
      <c r="I89" s="384" t="s">
        <v>200</v>
      </c>
      <c r="J89" s="345" t="s">
        <v>39</v>
      </c>
      <c r="K89" s="345" t="s">
        <v>1635</v>
      </c>
      <c r="L89" s="377">
        <v>73579</v>
      </c>
      <c r="M89" s="347">
        <v>1450000</v>
      </c>
      <c r="N89" s="524"/>
      <c r="O89" s="524"/>
      <c r="P89" s="524"/>
      <c r="Q89" s="541"/>
      <c r="R89" s="347"/>
      <c r="S89" s="525"/>
      <c r="T89" s="525"/>
      <c r="U89" s="373">
        <v>4700000</v>
      </c>
      <c r="V89" s="341"/>
    </row>
    <row r="90" spans="1:22" s="354" customFormat="1" ht="32.25" customHeight="1" x14ac:dyDescent="0.2">
      <c r="A90" s="333">
        <v>74</v>
      </c>
      <c r="B90" s="343">
        <v>45961</v>
      </c>
      <c r="C90" s="382" t="s">
        <v>390</v>
      </c>
      <c r="D90" s="361"/>
      <c r="E90" s="360">
        <v>1</v>
      </c>
      <c r="F90" s="382" t="s">
        <v>391</v>
      </c>
      <c r="G90" s="345" t="s">
        <v>207</v>
      </c>
      <c r="H90" s="196" t="s">
        <v>180</v>
      </c>
      <c r="I90" s="388" t="s">
        <v>181</v>
      </c>
      <c r="J90" s="383" t="s">
        <v>1631</v>
      </c>
      <c r="K90" s="360" t="s">
        <v>39</v>
      </c>
      <c r="L90" s="349">
        <v>393318</v>
      </c>
      <c r="M90" s="347">
        <v>1500000</v>
      </c>
      <c r="N90" s="524"/>
      <c r="O90" s="524"/>
      <c r="P90" s="524"/>
      <c r="Q90" s="541"/>
      <c r="R90" s="347"/>
      <c r="S90" s="524"/>
      <c r="T90" s="524"/>
      <c r="U90" s="340">
        <v>4500000</v>
      </c>
      <c r="V90" s="341"/>
    </row>
    <row r="91" spans="1:22" s="354" customFormat="1" ht="32.25" customHeight="1" x14ac:dyDescent="0.2">
      <c r="A91" s="333">
        <v>75</v>
      </c>
      <c r="B91" s="343">
        <v>45961</v>
      </c>
      <c r="C91" s="345" t="s">
        <v>390</v>
      </c>
      <c r="D91" s="348"/>
      <c r="E91" s="344">
        <v>1</v>
      </c>
      <c r="F91" s="336" t="s">
        <v>393</v>
      </c>
      <c r="G91" s="345" t="s">
        <v>338</v>
      </c>
      <c r="H91" s="186" t="s">
        <v>180</v>
      </c>
      <c r="I91" s="384" t="s">
        <v>181</v>
      </c>
      <c r="J91" s="336" t="s">
        <v>1631</v>
      </c>
      <c r="K91" s="344" t="s">
        <v>39</v>
      </c>
      <c r="L91" s="355">
        <v>394044</v>
      </c>
      <c r="M91" s="347">
        <v>1500000</v>
      </c>
      <c r="N91" s="524"/>
      <c r="O91" s="524"/>
      <c r="P91" s="524"/>
      <c r="Q91" s="541"/>
      <c r="R91" s="347"/>
      <c r="S91" s="524"/>
      <c r="T91" s="524"/>
      <c r="U91" s="340">
        <v>4500000</v>
      </c>
      <c r="V91" s="341"/>
    </row>
    <row r="92" spans="1:22" s="379" customFormat="1" ht="32.25" customHeight="1" x14ac:dyDescent="0.2">
      <c r="A92" s="333">
        <v>76</v>
      </c>
      <c r="B92" s="343">
        <v>45961</v>
      </c>
      <c r="C92" s="345" t="s">
        <v>390</v>
      </c>
      <c r="D92" s="348"/>
      <c r="E92" s="344">
        <v>1</v>
      </c>
      <c r="F92" s="336" t="s">
        <v>395</v>
      </c>
      <c r="G92" s="345" t="s">
        <v>191</v>
      </c>
      <c r="H92" s="186" t="s">
        <v>180</v>
      </c>
      <c r="I92" s="384" t="s">
        <v>181</v>
      </c>
      <c r="J92" s="336" t="s">
        <v>1631</v>
      </c>
      <c r="K92" s="344" t="s">
        <v>39</v>
      </c>
      <c r="L92" s="355">
        <v>393584</v>
      </c>
      <c r="M92" s="347">
        <v>1500000</v>
      </c>
      <c r="N92" s="524"/>
      <c r="O92" s="524"/>
      <c r="P92" s="524"/>
      <c r="Q92" s="541"/>
      <c r="R92" s="347"/>
      <c r="S92" s="524"/>
      <c r="T92" s="524"/>
      <c r="U92" s="340">
        <v>4500000</v>
      </c>
      <c r="V92" s="341"/>
    </row>
    <row r="93" spans="1:22" s="379" customFormat="1" ht="32.25" customHeight="1" x14ac:dyDescent="0.2">
      <c r="A93" s="333">
        <v>77</v>
      </c>
      <c r="B93" s="343">
        <v>45961</v>
      </c>
      <c r="C93" s="345" t="s">
        <v>390</v>
      </c>
      <c r="D93" s="348"/>
      <c r="E93" s="344">
        <v>1</v>
      </c>
      <c r="F93" s="336" t="s">
        <v>397</v>
      </c>
      <c r="G93" s="345" t="s">
        <v>335</v>
      </c>
      <c r="H93" s="186" t="s">
        <v>180</v>
      </c>
      <c r="I93" s="384" t="s">
        <v>181</v>
      </c>
      <c r="J93" s="336" t="s">
        <v>1631</v>
      </c>
      <c r="K93" s="344" t="s">
        <v>39</v>
      </c>
      <c r="L93" s="345">
        <v>393944</v>
      </c>
      <c r="M93" s="347">
        <v>1500000</v>
      </c>
      <c r="N93" s="524"/>
      <c r="O93" s="524"/>
      <c r="P93" s="524"/>
      <c r="Q93" s="541"/>
      <c r="R93" s="347"/>
      <c r="S93" s="524"/>
      <c r="T93" s="524"/>
      <c r="U93" s="340">
        <v>4500000</v>
      </c>
      <c r="V93" s="341"/>
    </row>
    <row r="94" spans="1:22" s="379" customFormat="1" ht="32.25" customHeight="1" x14ac:dyDescent="0.2">
      <c r="A94" s="333">
        <v>78</v>
      </c>
      <c r="B94" s="343">
        <v>45961</v>
      </c>
      <c r="C94" s="345" t="s">
        <v>390</v>
      </c>
      <c r="D94" s="344"/>
      <c r="E94" s="344">
        <v>1</v>
      </c>
      <c r="F94" s="336" t="s">
        <v>398</v>
      </c>
      <c r="G94" s="345" t="s">
        <v>349</v>
      </c>
      <c r="H94" s="186" t="s">
        <v>180</v>
      </c>
      <c r="I94" s="384" t="s">
        <v>181</v>
      </c>
      <c r="J94" s="336" t="s">
        <v>1631</v>
      </c>
      <c r="K94" s="344" t="s">
        <v>39</v>
      </c>
      <c r="L94" s="349">
        <v>393967</v>
      </c>
      <c r="M94" s="347">
        <v>1500000</v>
      </c>
      <c r="N94" s="524"/>
      <c r="O94" s="524"/>
      <c r="P94" s="524"/>
      <c r="Q94" s="541"/>
      <c r="R94" s="347"/>
      <c r="S94" s="524"/>
      <c r="T94" s="524"/>
      <c r="U94" s="340">
        <v>4500000</v>
      </c>
      <c r="V94" s="341"/>
    </row>
    <row r="95" spans="1:22" s="379" customFormat="1" ht="32.25" customHeight="1" x14ac:dyDescent="0.2">
      <c r="A95" s="333">
        <v>79</v>
      </c>
      <c r="B95" s="343">
        <v>45961</v>
      </c>
      <c r="C95" s="345" t="s">
        <v>390</v>
      </c>
      <c r="D95" s="348"/>
      <c r="E95" s="344">
        <v>1</v>
      </c>
      <c r="F95" s="336" t="s">
        <v>400</v>
      </c>
      <c r="G95" s="345" t="s">
        <v>216</v>
      </c>
      <c r="H95" s="186" t="s">
        <v>180</v>
      </c>
      <c r="I95" s="384" t="s">
        <v>181</v>
      </c>
      <c r="J95" s="336" t="s">
        <v>1631</v>
      </c>
      <c r="K95" s="344" t="s">
        <v>39</v>
      </c>
      <c r="L95" s="355">
        <v>394388</v>
      </c>
      <c r="M95" s="347">
        <v>1500000</v>
      </c>
      <c r="N95" s="524"/>
      <c r="O95" s="524"/>
      <c r="P95" s="524"/>
      <c r="Q95" s="541"/>
      <c r="R95" s="347"/>
      <c r="S95" s="524"/>
      <c r="T95" s="524"/>
      <c r="U95" s="340">
        <v>4500000</v>
      </c>
      <c r="V95" s="341"/>
    </row>
    <row r="96" spans="1:22" s="379" customFormat="1" ht="32.25" customHeight="1" x14ac:dyDescent="0.2">
      <c r="A96" s="333">
        <v>80</v>
      </c>
      <c r="B96" s="343">
        <v>45961</v>
      </c>
      <c r="C96" s="345" t="s">
        <v>390</v>
      </c>
      <c r="D96" s="348"/>
      <c r="E96" s="344">
        <v>1</v>
      </c>
      <c r="F96" s="336" t="s">
        <v>402</v>
      </c>
      <c r="G96" s="345" t="s">
        <v>305</v>
      </c>
      <c r="H96" s="186" t="s">
        <v>180</v>
      </c>
      <c r="I96" s="384" t="s">
        <v>181</v>
      </c>
      <c r="J96" s="336" t="s">
        <v>1631</v>
      </c>
      <c r="K96" s="344" t="s">
        <v>39</v>
      </c>
      <c r="L96" s="355">
        <v>394743</v>
      </c>
      <c r="M96" s="347">
        <v>1500000</v>
      </c>
      <c r="N96" s="524"/>
      <c r="O96" s="524"/>
      <c r="P96" s="524"/>
      <c r="Q96" s="541"/>
      <c r="R96" s="347"/>
      <c r="S96" s="524"/>
      <c r="T96" s="524"/>
      <c r="U96" s="340">
        <v>4500000</v>
      </c>
      <c r="V96" s="341"/>
    </row>
    <row r="97" spans="1:22" s="379" customFormat="1" ht="32.25" customHeight="1" x14ac:dyDescent="0.2">
      <c r="A97" s="333">
        <v>81</v>
      </c>
      <c r="B97" s="343">
        <v>45961</v>
      </c>
      <c r="C97" s="336">
        <v>7263632460</v>
      </c>
      <c r="D97" s="357"/>
      <c r="E97" s="358">
        <v>1</v>
      </c>
      <c r="F97" s="336" t="s">
        <v>404</v>
      </c>
      <c r="G97" s="345" t="s">
        <v>207</v>
      </c>
      <c r="H97" s="152" t="s">
        <v>298</v>
      </c>
      <c r="I97" s="384" t="s">
        <v>299</v>
      </c>
      <c r="J97" s="345" t="s">
        <v>1636</v>
      </c>
      <c r="K97" s="344" t="s">
        <v>39</v>
      </c>
      <c r="L97" s="371">
        <v>124158</v>
      </c>
      <c r="M97" s="347">
        <v>1500000</v>
      </c>
      <c r="N97" s="524"/>
      <c r="O97" s="524"/>
      <c r="P97" s="524"/>
      <c r="Q97" s="541"/>
      <c r="R97" s="347"/>
      <c r="S97" s="524"/>
      <c r="T97" s="524"/>
      <c r="U97" s="340">
        <v>5300000</v>
      </c>
      <c r="V97" s="341"/>
    </row>
    <row r="98" spans="1:22" s="379" customFormat="1" ht="32.25" customHeight="1" x14ac:dyDescent="0.2">
      <c r="A98" s="333">
        <v>82</v>
      </c>
      <c r="B98" s="343">
        <v>45961</v>
      </c>
      <c r="C98" s="336">
        <v>7263632460</v>
      </c>
      <c r="D98" s="357"/>
      <c r="E98" s="358">
        <v>1</v>
      </c>
      <c r="F98" s="336" t="s">
        <v>407</v>
      </c>
      <c r="G98" s="345" t="s">
        <v>341</v>
      </c>
      <c r="H98" s="152" t="s">
        <v>298</v>
      </c>
      <c r="I98" s="384" t="s">
        <v>299</v>
      </c>
      <c r="J98" s="345" t="s">
        <v>1636</v>
      </c>
      <c r="K98" s="344" t="s">
        <v>39</v>
      </c>
      <c r="L98" s="355">
        <v>124188</v>
      </c>
      <c r="M98" s="347">
        <v>1500000</v>
      </c>
      <c r="N98" s="524"/>
      <c r="O98" s="524"/>
      <c r="P98" s="524"/>
      <c r="Q98" s="541"/>
      <c r="R98" s="347"/>
      <c r="S98" s="524"/>
      <c r="T98" s="524"/>
      <c r="U98" s="340">
        <v>5300000</v>
      </c>
      <c r="V98" s="341"/>
    </row>
    <row r="99" spans="1:22" s="379" customFormat="1" ht="32.25" customHeight="1" x14ac:dyDescent="0.2">
      <c r="A99" s="333">
        <v>83</v>
      </c>
      <c r="B99" s="343">
        <v>45961</v>
      </c>
      <c r="C99" s="336" t="s">
        <v>382</v>
      </c>
      <c r="D99" s="344"/>
      <c r="E99" s="344">
        <v>1</v>
      </c>
      <c r="F99" s="336" t="s">
        <v>409</v>
      </c>
      <c r="G99" s="345" t="s">
        <v>198</v>
      </c>
      <c r="H99" s="186" t="s">
        <v>180</v>
      </c>
      <c r="I99" s="384" t="s">
        <v>181</v>
      </c>
      <c r="J99" s="344" t="s">
        <v>39</v>
      </c>
      <c r="K99" s="336" t="s">
        <v>1631</v>
      </c>
      <c r="L99" s="355">
        <v>393802</v>
      </c>
      <c r="M99" s="347">
        <v>1500000</v>
      </c>
      <c r="N99" s="524"/>
      <c r="O99" s="524"/>
      <c r="P99" s="524"/>
      <c r="Q99" s="541"/>
      <c r="R99" s="347"/>
      <c r="S99" s="524"/>
      <c r="T99" s="524"/>
      <c r="U99" s="340">
        <v>4500000</v>
      </c>
      <c r="V99" s="341"/>
    </row>
    <row r="100" spans="1:22" s="379" customFormat="1" ht="32.25" customHeight="1" x14ac:dyDescent="0.2">
      <c r="A100" s="333">
        <v>84</v>
      </c>
      <c r="B100" s="343">
        <v>45961</v>
      </c>
      <c r="C100" s="336" t="s">
        <v>382</v>
      </c>
      <c r="D100" s="348"/>
      <c r="E100" s="344">
        <v>1</v>
      </c>
      <c r="F100" s="336" t="s">
        <v>411</v>
      </c>
      <c r="G100" s="345" t="s">
        <v>341</v>
      </c>
      <c r="H100" s="186" t="s">
        <v>180</v>
      </c>
      <c r="I100" s="384" t="s">
        <v>181</v>
      </c>
      <c r="J100" s="344" t="s">
        <v>39</v>
      </c>
      <c r="K100" s="336" t="s">
        <v>1631</v>
      </c>
      <c r="L100" s="355">
        <v>393431</v>
      </c>
      <c r="M100" s="347">
        <v>1500000</v>
      </c>
      <c r="N100" s="525"/>
      <c r="O100" s="525"/>
      <c r="P100" s="525"/>
      <c r="Q100" s="542"/>
      <c r="R100" s="372"/>
      <c r="S100" s="525"/>
      <c r="T100" s="525"/>
      <c r="U100" s="340">
        <v>4500000</v>
      </c>
      <c r="V100" s="341"/>
    </row>
    <row r="101" spans="1:22" s="379" customFormat="1" ht="32.25" customHeight="1" x14ac:dyDescent="0.2">
      <c r="A101" s="333">
        <v>85</v>
      </c>
      <c r="B101" s="343">
        <v>45961</v>
      </c>
      <c r="C101" s="336" t="s">
        <v>382</v>
      </c>
      <c r="D101" s="348"/>
      <c r="E101" s="344">
        <v>1</v>
      </c>
      <c r="F101" s="336" t="s">
        <v>413</v>
      </c>
      <c r="G101" s="345" t="s">
        <v>302</v>
      </c>
      <c r="H101" s="152" t="s">
        <v>180</v>
      </c>
      <c r="I101" s="384" t="s">
        <v>181</v>
      </c>
      <c r="J101" s="344" t="s">
        <v>39</v>
      </c>
      <c r="K101" s="336" t="s">
        <v>1631</v>
      </c>
      <c r="L101" s="355">
        <v>393903</v>
      </c>
      <c r="M101" s="347">
        <v>1500000</v>
      </c>
      <c r="N101" s="525"/>
      <c r="O101" s="525"/>
      <c r="P101" s="525"/>
      <c r="Q101" s="542"/>
      <c r="R101" s="372"/>
      <c r="S101" s="525"/>
      <c r="T101" s="525"/>
      <c r="U101" s="340">
        <v>4500000</v>
      </c>
      <c r="V101" s="341"/>
    </row>
    <row r="102" spans="1:22" s="190" customFormat="1" ht="32.25" customHeight="1" x14ac:dyDescent="0.2">
      <c r="A102" s="446">
        <v>86</v>
      </c>
      <c r="B102" s="635">
        <v>45668</v>
      </c>
      <c r="C102" s="457" t="s">
        <v>415</v>
      </c>
      <c r="D102" s="636"/>
      <c r="E102" s="468">
        <v>1</v>
      </c>
      <c r="F102" s="457" t="s">
        <v>416</v>
      </c>
      <c r="G102" s="457" t="s">
        <v>225</v>
      </c>
      <c r="H102" s="457" t="s">
        <v>180</v>
      </c>
      <c r="I102" s="637" t="s">
        <v>181</v>
      </c>
      <c r="J102" s="468" t="s">
        <v>39</v>
      </c>
      <c r="K102" s="457" t="s">
        <v>1629</v>
      </c>
      <c r="L102" s="638">
        <v>124538</v>
      </c>
      <c r="M102" s="451">
        <v>1500000</v>
      </c>
      <c r="N102" s="639"/>
      <c r="O102" s="639"/>
      <c r="P102" s="639"/>
      <c r="Q102" s="640"/>
      <c r="R102" s="641">
        <v>2600000</v>
      </c>
      <c r="S102" s="639"/>
      <c r="T102" s="639"/>
      <c r="U102" s="642">
        <v>4500000</v>
      </c>
      <c r="V102" s="332"/>
    </row>
    <row r="103" spans="1:22" s="190" customFormat="1" ht="32.25" customHeight="1" x14ac:dyDescent="0.2">
      <c r="A103" s="446">
        <v>87</v>
      </c>
      <c r="B103" s="635">
        <v>45668</v>
      </c>
      <c r="C103" s="457" t="s">
        <v>415</v>
      </c>
      <c r="D103" s="636"/>
      <c r="E103" s="468">
        <v>1</v>
      </c>
      <c r="F103" s="457" t="s">
        <v>418</v>
      </c>
      <c r="G103" s="457" t="s">
        <v>191</v>
      </c>
      <c r="H103" s="457" t="s">
        <v>180</v>
      </c>
      <c r="I103" s="637" t="s">
        <v>181</v>
      </c>
      <c r="J103" s="468" t="s">
        <v>39</v>
      </c>
      <c r="K103" s="457" t="s">
        <v>1629</v>
      </c>
      <c r="L103" s="638">
        <v>124734</v>
      </c>
      <c r="M103" s="451">
        <v>1500000</v>
      </c>
      <c r="N103" s="639"/>
      <c r="O103" s="639"/>
      <c r="P103" s="639"/>
      <c r="Q103" s="640"/>
      <c r="R103" s="641"/>
      <c r="S103" s="639"/>
      <c r="T103" s="639"/>
      <c r="U103" s="642">
        <v>4500000</v>
      </c>
      <c r="V103" s="332"/>
    </row>
    <row r="104" spans="1:22" s="190" customFormat="1" ht="32.25" customHeight="1" x14ac:dyDescent="0.2">
      <c r="A104" s="446">
        <v>88</v>
      </c>
      <c r="B104" s="635">
        <v>45668</v>
      </c>
      <c r="C104" s="457" t="s">
        <v>415</v>
      </c>
      <c r="D104" s="636"/>
      <c r="E104" s="468">
        <v>1</v>
      </c>
      <c r="F104" s="457" t="s">
        <v>420</v>
      </c>
      <c r="G104" s="457" t="s">
        <v>204</v>
      </c>
      <c r="H104" s="457" t="s">
        <v>180</v>
      </c>
      <c r="I104" s="637" t="s">
        <v>181</v>
      </c>
      <c r="J104" s="468" t="s">
        <v>39</v>
      </c>
      <c r="K104" s="457" t="s">
        <v>1629</v>
      </c>
      <c r="L104" s="638">
        <v>124807</v>
      </c>
      <c r="M104" s="451">
        <v>1500000</v>
      </c>
      <c r="N104" s="639"/>
      <c r="O104" s="639"/>
      <c r="P104" s="639"/>
      <c r="Q104" s="640"/>
      <c r="R104" s="641"/>
      <c r="S104" s="639"/>
      <c r="T104" s="639"/>
      <c r="U104" s="642">
        <v>4500000</v>
      </c>
      <c r="V104" s="332"/>
    </row>
    <row r="105" spans="1:22" s="190" customFormat="1" ht="32.25" customHeight="1" x14ac:dyDescent="0.2">
      <c r="A105" s="446">
        <v>89</v>
      </c>
      <c r="B105" s="635">
        <v>45964</v>
      </c>
      <c r="C105" s="457">
        <v>7263702820</v>
      </c>
      <c r="D105" s="636"/>
      <c r="E105" s="468">
        <v>1</v>
      </c>
      <c r="F105" s="457" t="s">
        <v>422</v>
      </c>
      <c r="G105" s="457" t="s">
        <v>368</v>
      </c>
      <c r="H105" s="449" t="s">
        <v>172</v>
      </c>
      <c r="I105" s="637" t="s">
        <v>173</v>
      </c>
      <c r="J105" s="457" t="s">
        <v>1629</v>
      </c>
      <c r="K105" s="457" t="s">
        <v>39</v>
      </c>
      <c r="L105" s="638">
        <v>125177</v>
      </c>
      <c r="M105" s="451">
        <v>1500000</v>
      </c>
      <c r="N105" s="639"/>
      <c r="O105" s="639"/>
      <c r="P105" s="639"/>
      <c r="Q105" s="640"/>
      <c r="R105" s="641"/>
      <c r="S105" s="639"/>
      <c r="T105" s="639"/>
      <c r="U105" s="642">
        <v>2700000</v>
      </c>
      <c r="V105" s="332"/>
    </row>
    <row r="106" spans="1:22" s="190" customFormat="1" ht="32.25" customHeight="1" x14ac:dyDescent="0.2">
      <c r="A106" s="446">
        <v>90</v>
      </c>
      <c r="B106" s="635">
        <v>45964</v>
      </c>
      <c r="C106" s="457">
        <v>7263702820</v>
      </c>
      <c r="D106" s="636"/>
      <c r="E106" s="468">
        <v>1</v>
      </c>
      <c r="F106" s="457" t="s">
        <v>424</v>
      </c>
      <c r="G106" s="457" t="s">
        <v>341</v>
      </c>
      <c r="H106" s="449" t="s">
        <v>172</v>
      </c>
      <c r="I106" s="637" t="s">
        <v>173</v>
      </c>
      <c r="J106" s="457" t="s">
        <v>1629</v>
      </c>
      <c r="K106" s="457" t="s">
        <v>39</v>
      </c>
      <c r="L106" s="638">
        <v>125174</v>
      </c>
      <c r="M106" s="451">
        <v>1500000</v>
      </c>
      <c r="N106" s="639"/>
      <c r="O106" s="639"/>
      <c r="P106" s="639"/>
      <c r="Q106" s="640"/>
      <c r="R106" s="641"/>
      <c r="S106" s="639"/>
      <c r="T106" s="639"/>
      <c r="U106" s="642">
        <v>2700000</v>
      </c>
      <c r="V106" s="332"/>
    </row>
    <row r="107" spans="1:22" s="190" customFormat="1" ht="32.25" customHeight="1" x14ac:dyDescent="0.2">
      <c r="A107" s="446">
        <v>91</v>
      </c>
      <c r="B107" s="635">
        <v>45964</v>
      </c>
      <c r="C107" s="457">
        <v>7263632461</v>
      </c>
      <c r="D107" s="636"/>
      <c r="E107" s="468">
        <v>1</v>
      </c>
      <c r="F107" s="457" t="s">
        <v>426</v>
      </c>
      <c r="G107" s="457" t="s">
        <v>219</v>
      </c>
      <c r="H107" s="457" t="s">
        <v>298</v>
      </c>
      <c r="I107" s="637" t="s">
        <v>299</v>
      </c>
      <c r="J107" s="457" t="s">
        <v>1629</v>
      </c>
      <c r="K107" s="457" t="s">
        <v>39</v>
      </c>
      <c r="L107" s="638">
        <v>125164</v>
      </c>
      <c r="M107" s="451">
        <v>1500000</v>
      </c>
      <c r="N107" s="639"/>
      <c r="O107" s="639"/>
      <c r="P107" s="639"/>
      <c r="Q107" s="640"/>
      <c r="R107" s="641"/>
      <c r="S107" s="639"/>
      <c r="T107" s="639"/>
      <c r="U107" s="642">
        <v>5300000</v>
      </c>
      <c r="V107" s="332"/>
    </row>
    <row r="108" spans="1:22" s="190" customFormat="1" ht="32.25" customHeight="1" x14ac:dyDescent="0.2">
      <c r="A108" s="446">
        <v>92</v>
      </c>
      <c r="B108" s="635">
        <v>45964</v>
      </c>
      <c r="C108" s="457">
        <v>7263678330</v>
      </c>
      <c r="D108" s="636"/>
      <c r="E108" s="468">
        <v>1</v>
      </c>
      <c r="F108" s="457" t="s">
        <v>428</v>
      </c>
      <c r="G108" s="457" t="s">
        <v>191</v>
      </c>
      <c r="H108" s="457" t="s">
        <v>180</v>
      </c>
      <c r="I108" s="637" t="s">
        <v>181</v>
      </c>
      <c r="J108" s="457" t="s">
        <v>1630</v>
      </c>
      <c r="K108" s="457" t="s">
        <v>39</v>
      </c>
      <c r="L108" s="638">
        <v>136008</v>
      </c>
      <c r="M108" s="451">
        <v>1500000</v>
      </c>
      <c r="N108" s="639"/>
      <c r="O108" s="639"/>
      <c r="P108" s="639"/>
      <c r="Q108" s="640"/>
      <c r="R108" s="641"/>
      <c r="S108" s="639"/>
      <c r="T108" s="639"/>
      <c r="U108" s="642">
        <v>4500000</v>
      </c>
      <c r="V108" s="332"/>
    </row>
    <row r="109" spans="1:22" s="190" customFormat="1" ht="32.25" customHeight="1" x14ac:dyDescent="0.2">
      <c r="A109" s="446">
        <v>93</v>
      </c>
      <c r="B109" s="643">
        <v>45964</v>
      </c>
      <c r="C109" s="463">
        <v>7263625870</v>
      </c>
      <c r="D109" s="644"/>
      <c r="E109" s="645">
        <v>1</v>
      </c>
      <c r="F109" s="463" t="s">
        <v>430</v>
      </c>
      <c r="G109" s="646" t="s">
        <v>308</v>
      </c>
      <c r="H109" s="449" t="s">
        <v>172</v>
      </c>
      <c r="I109" s="647" t="s">
        <v>173</v>
      </c>
      <c r="J109" s="463" t="s">
        <v>1629</v>
      </c>
      <c r="K109" s="457" t="s">
        <v>39</v>
      </c>
      <c r="L109" s="638">
        <v>125191</v>
      </c>
      <c r="M109" s="451">
        <v>1500000</v>
      </c>
      <c r="N109" s="639"/>
      <c r="O109" s="639"/>
      <c r="P109" s="639"/>
      <c r="Q109" s="640"/>
      <c r="R109" s="641"/>
      <c r="S109" s="639"/>
      <c r="T109" s="639"/>
      <c r="U109" s="642">
        <v>2700000</v>
      </c>
      <c r="V109" s="332"/>
    </row>
    <row r="110" spans="1:22" s="190" customFormat="1" ht="32.25" customHeight="1" x14ac:dyDescent="0.2">
      <c r="A110" s="446">
        <v>94</v>
      </c>
      <c r="B110" s="635">
        <v>45964</v>
      </c>
      <c r="C110" s="457">
        <v>261260495</v>
      </c>
      <c r="D110" s="636"/>
      <c r="E110" s="468">
        <v>1</v>
      </c>
      <c r="F110" s="457" t="s">
        <v>432</v>
      </c>
      <c r="G110" s="457" t="s">
        <v>207</v>
      </c>
      <c r="H110" s="457" t="s">
        <v>298</v>
      </c>
      <c r="I110" s="637" t="s">
        <v>299</v>
      </c>
      <c r="J110" s="468" t="s">
        <v>1637</v>
      </c>
      <c r="K110" s="648" t="s">
        <v>39</v>
      </c>
      <c r="L110" s="638">
        <v>121867</v>
      </c>
      <c r="M110" s="451">
        <v>1450000</v>
      </c>
      <c r="N110" s="639"/>
      <c r="O110" s="639"/>
      <c r="P110" s="639"/>
      <c r="Q110" s="640"/>
      <c r="R110" s="641"/>
      <c r="S110" s="639"/>
      <c r="T110" s="639"/>
      <c r="U110" s="642">
        <v>5300000</v>
      </c>
      <c r="V110" s="332"/>
    </row>
    <row r="111" spans="1:22" s="190" customFormat="1" ht="32.25" customHeight="1" x14ac:dyDescent="0.2">
      <c r="A111" s="446">
        <v>95</v>
      </c>
      <c r="B111" s="649">
        <v>45965</v>
      </c>
      <c r="C111" s="457" t="s">
        <v>435</v>
      </c>
      <c r="D111" s="636"/>
      <c r="E111" s="468">
        <v>1</v>
      </c>
      <c r="F111" s="457" t="s">
        <v>436</v>
      </c>
      <c r="G111" s="457" t="s">
        <v>194</v>
      </c>
      <c r="H111" s="449" t="s">
        <v>172</v>
      </c>
      <c r="I111" s="637" t="s">
        <v>173</v>
      </c>
      <c r="J111" s="457" t="s">
        <v>1631</v>
      </c>
      <c r="K111" s="457" t="s">
        <v>39</v>
      </c>
      <c r="L111" s="457">
        <v>398267</v>
      </c>
      <c r="M111" s="451">
        <v>1500000</v>
      </c>
      <c r="N111" s="639"/>
      <c r="O111" s="639"/>
      <c r="P111" s="639"/>
      <c r="Q111" s="640"/>
      <c r="R111" s="641"/>
      <c r="S111" s="639"/>
      <c r="T111" s="639"/>
      <c r="U111" s="642">
        <v>2700000</v>
      </c>
      <c r="V111" s="332"/>
    </row>
    <row r="112" spans="1:22" s="190" customFormat="1" ht="32.25" customHeight="1" x14ac:dyDescent="0.2">
      <c r="A112" s="446">
        <v>96</v>
      </c>
      <c r="B112" s="649">
        <v>45965</v>
      </c>
      <c r="C112" s="457" t="s">
        <v>435</v>
      </c>
      <c r="D112" s="636"/>
      <c r="E112" s="468">
        <v>1</v>
      </c>
      <c r="F112" s="468" t="s">
        <v>437</v>
      </c>
      <c r="G112" s="457" t="s">
        <v>305</v>
      </c>
      <c r="H112" s="449" t="s">
        <v>172</v>
      </c>
      <c r="I112" s="637" t="s">
        <v>173</v>
      </c>
      <c r="J112" s="457" t="s">
        <v>1631</v>
      </c>
      <c r="K112" s="457" t="s">
        <v>39</v>
      </c>
      <c r="L112" s="457">
        <v>398342</v>
      </c>
      <c r="M112" s="451">
        <v>1500000</v>
      </c>
      <c r="N112" s="639"/>
      <c r="O112" s="639"/>
      <c r="P112" s="639"/>
      <c r="Q112" s="640"/>
      <c r="R112" s="641"/>
      <c r="S112" s="639"/>
      <c r="T112" s="639"/>
      <c r="U112" s="642">
        <v>2700000</v>
      </c>
      <c r="V112" s="332"/>
    </row>
    <row r="113" spans="1:22" s="190" customFormat="1" ht="32.25" customHeight="1" x14ac:dyDescent="0.2">
      <c r="A113" s="446">
        <v>97</v>
      </c>
      <c r="B113" s="649">
        <v>45965</v>
      </c>
      <c r="C113" s="457" t="s">
        <v>435</v>
      </c>
      <c r="D113" s="650"/>
      <c r="E113" s="651">
        <v>1</v>
      </c>
      <c r="F113" s="457" t="s">
        <v>438</v>
      </c>
      <c r="G113" s="457" t="s">
        <v>204</v>
      </c>
      <c r="H113" s="449" t="s">
        <v>172</v>
      </c>
      <c r="I113" s="637" t="s">
        <v>173</v>
      </c>
      <c r="J113" s="457" t="s">
        <v>1631</v>
      </c>
      <c r="K113" s="457" t="s">
        <v>39</v>
      </c>
      <c r="L113" s="457">
        <v>398434</v>
      </c>
      <c r="M113" s="451">
        <v>1500000</v>
      </c>
      <c r="N113" s="639"/>
      <c r="O113" s="639"/>
      <c r="P113" s="639"/>
      <c r="Q113" s="640"/>
      <c r="R113" s="641"/>
      <c r="S113" s="639"/>
      <c r="T113" s="639"/>
      <c r="U113" s="642">
        <v>2700000</v>
      </c>
      <c r="V113" s="332"/>
    </row>
    <row r="114" spans="1:22" s="190" customFormat="1" ht="32.25" customHeight="1" x14ac:dyDescent="0.2">
      <c r="A114" s="446">
        <v>98</v>
      </c>
      <c r="B114" s="635">
        <v>45966</v>
      </c>
      <c r="C114" s="457">
        <v>258303573</v>
      </c>
      <c r="D114" s="636"/>
      <c r="E114" s="468">
        <v>1</v>
      </c>
      <c r="F114" s="457" t="s">
        <v>439</v>
      </c>
      <c r="G114" s="457" t="s">
        <v>440</v>
      </c>
      <c r="H114" s="457" t="s">
        <v>180</v>
      </c>
      <c r="I114" s="637" t="s">
        <v>181</v>
      </c>
      <c r="J114" s="468" t="s">
        <v>441</v>
      </c>
      <c r="K114" s="457" t="s">
        <v>1638</v>
      </c>
      <c r="L114" s="638" t="s">
        <v>443</v>
      </c>
      <c r="M114" s="451">
        <v>1500000</v>
      </c>
      <c r="N114" s="639"/>
      <c r="O114" s="639"/>
      <c r="P114" s="639"/>
      <c r="Q114" s="640"/>
      <c r="R114" s="641"/>
      <c r="S114" s="639"/>
      <c r="T114" s="639">
        <v>260000</v>
      </c>
      <c r="U114" s="731">
        <v>4500000</v>
      </c>
      <c r="V114" s="332"/>
    </row>
    <row r="115" spans="1:22" s="190" customFormat="1" ht="32.25" customHeight="1" x14ac:dyDescent="0.2">
      <c r="A115" s="446">
        <v>99</v>
      </c>
      <c r="B115" s="635">
        <v>45966</v>
      </c>
      <c r="C115" s="457">
        <v>7263119590</v>
      </c>
      <c r="D115" s="636"/>
      <c r="E115" s="468">
        <v>1</v>
      </c>
      <c r="F115" s="457" t="s">
        <v>444</v>
      </c>
      <c r="G115" s="457" t="s">
        <v>445</v>
      </c>
      <c r="H115" s="449" t="s">
        <v>172</v>
      </c>
      <c r="I115" s="637" t="s">
        <v>173</v>
      </c>
      <c r="J115" s="457" t="s">
        <v>1629</v>
      </c>
      <c r="K115" s="457" t="s">
        <v>39</v>
      </c>
      <c r="L115" s="638">
        <v>125957</v>
      </c>
      <c r="M115" s="451">
        <v>1500000</v>
      </c>
      <c r="N115" s="639"/>
      <c r="O115" s="639"/>
      <c r="P115" s="639"/>
      <c r="Q115" s="640"/>
      <c r="R115" s="641"/>
      <c r="S115" s="639"/>
      <c r="T115" s="639"/>
      <c r="U115" s="642">
        <v>2700000</v>
      </c>
      <c r="V115" s="332"/>
    </row>
    <row r="116" spans="1:22" s="190" customFormat="1" ht="32.25" customHeight="1" x14ac:dyDescent="0.2">
      <c r="A116" s="446">
        <v>100</v>
      </c>
      <c r="B116" s="635">
        <v>45966</v>
      </c>
      <c r="C116" s="457">
        <v>7263119590</v>
      </c>
      <c r="D116" s="636"/>
      <c r="E116" s="468">
        <v>1</v>
      </c>
      <c r="F116" s="457" t="s">
        <v>447</v>
      </c>
      <c r="G116" s="468" t="s">
        <v>318</v>
      </c>
      <c r="H116" s="449" t="s">
        <v>172</v>
      </c>
      <c r="I116" s="637" t="s">
        <v>173</v>
      </c>
      <c r="J116" s="457" t="s">
        <v>1629</v>
      </c>
      <c r="K116" s="457" t="s">
        <v>39</v>
      </c>
      <c r="L116" s="757">
        <v>125993</v>
      </c>
      <c r="M116" s="451">
        <v>1500000</v>
      </c>
      <c r="N116" s="639"/>
      <c r="O116" s="639"/>
      <c r="P116" s="639"/>
      <c r="Q116" s="640"/>
      <c r="R116" s="641"/>
      <c r="S116" s="639"/>
      <c r="T116" s="639"/>
      <c r="U116" s="642">
        <v>2700000</v>
      </c>
      <c r="V116" s="332"/>
    </row>
    <row r="117" spans="1:22" s="190" customFormat="1" ht="32.25" customHeight="1" x14ac:dyDescent="0.2">
      <c r="A117" s="446">
        <v>101</v>
      </c>
      <c r="B117" s="635">
        <v>45966</v>
      </c>
      <c r="C117" s="457">
        <v>7263119590</v>
      </c>
      <c r="D117" s="636"/>
      <c r="E117" s="468">
        <v>1</v>
      </c>
      <c r="F117" s="457" t="s">
        <v>449</v>
      </c>
      <c r="G117" s="457" t="s">
        <v>450</v>
      </c>
      <c r="H117" s="449" t="s">
        <v>172</v>
      </c>
      <c r="I117" s="637" t="s">
        <v>173</v>
      </c>
      <c r="J117" s="457" t="s">
        <v>1629</v>
      </c>
      <c r="K117" s="457" t="s">
        <v>39</v>
      </c>
      <c r="L117" s="758"/>
      <c r="M117" s="451">
        <v>1500000</v>
      </c>
      <c r="N117" s="639"/>
      <c r="O117" s="639"/>
      <c r="P117" s="639"/>
      <c r="Q117" s="640"/>
      <c r="R117" s="641"/>
      <c r="S117" s="639"/>
      <c r="T117" s="639"/>
      <c r="U117" s="642">
        <v>2700000</v>
      </c>
      <c r="V117" s="332"/>
    </row>
    <row r="118" spans="1:22" s="190" customFormat="1" ht="32.25" customHeight="1" x14ac:dyDescent="0.2">
      <c r="A118" s="446">
        <v>102</v>
      </c>
      <c r="B118" s="643">
        <v>45966</v>
      </c>
      <c r="C118" s="463">
        <v>7263119590</v>
      </c>
      <c r="D118" s="644"/>
      <c r="E118" s="645">
        <v>1</v>
      </c>
      <c r="F118" s="463" t="s">
        <v>452</v>
      </c>
      <c r="G118" s="463" t="s">
        <v>453</v>
      </c>
      <c r="H118" s="449" t="s">
        <v>172</v>
      </c>
      <c r="I118" s="637" t="s">
        <v>173</v>
      </c>
      <c r="J118" s="457" t="s">
        <v>1629</v>
      </c>
      <c r="K118" s="457" t="s">
        <v>39</v>
      </c>
      <c r="L118" s="638">
        <v>126012</v>
      </c>
      <c r="M118" s="451">
        <v>1500000</v>
      </c>
      <c r="N118" s="639"/>
      <c r="O118" s="639"/>
      <c r="P118" s="639"/>
      <c r="Q118" s="640"/>
      <c r="R118" s="641"/>
      <c r="S118" s="639"/>
      <c r="T118" s="639"/>
      <c r="U118" s="642">
        <v>2700000</v>
      </c>
      <c r="V118" s="332"/>
    </row>
    <row r="119" spans="1:22" s="190" customFormat="1" ht="32.25" customHeight="1" x14ac:dyDescent="0.2">
      <c r="A119" s="446">
        <v>103</v>
      </c>
      <c r="B119" s="643">
        <v>45966</v>
      </c>
      <c r="C119" s="457" t="s">
        <v>455</v>
      </c>
      <c r="D119" s="644"/>
      <c r="E119" s="645">
        <v>1</v>
      </c>
      <c r="F119" s="463" t="s">
        <v>456</v>
      </c>
      <c r="G119" s="463" t="s">
        <v>354</v>
      </c>
      <c r="H119" s="653" t="s">
        <v>180</v>
      </c>
      <c r="I119" s="637" t="s">
        <v>181</v>
      </c>
      <c r="J119" s="457" t="s">
        <v>457</v>
      </c>
      <c r="K119" s="457" t="s">
        <v>39</v>
      </c>
      <c r="L119" s="638">
        <v>149295</v>
      </c>
      <c r="M119" s="451">
        <v>1500000</v>
      </c>
      <c r="N119" s="639"/>
      <c r="O119" s="639"/>
      <c r="P119" s="639"/>
      <c r="Q119" s="640"/>
      <c r="R119" s="641"/>
      <c r="S119" s="639"/>
      <c r="T119" s="639"/>
      <c r="U119" s="642">
        <v>4500000</v>
      </c>
      <c r="V119" s="332"/>
    </row>
    <row r="120" spans="1:22" s="190" customFormat="1" ht="32.25" customHeight="1" x14ac:dyDescent="0.2">
      <c r="A120" s="446">
        <v>104</v>
      </c>
      <c r="B120" s="635">
        <v>45967</v>
      </c>
      <c r="C120" s="468" t="s">
        <v>459</v>
      </c>
      <c r="D120" s="468"/>
      <c r="E120" s="468">
        <v>1</v>
      </c>
      <c r="F120" s="457" t="s">
        <v>460</v>
      </c>
      <c r="G120" s="457" t="s">
        <v>194</v>
      </c>
      <c r="H120" s="653" t="s">
        <v>1632</v>
      </c>
      <c r="I120" s="654" t="s">
        <v>256</v>
      </c>
      <c r="J120" s="655" t="s">
        <v>39</v>
      </c>
      <c r="K120" s="457" t="s">
        <v>1639</v>
      </c>
      <c r="L120" s="638">
        <v>7478</v>
      </c>
      <c r="M120" s="451">
        <v>1500000</v>
      </c>
      <c r="N120" s="639"/>
      <c r="O120" s="639"/>
      <c r="P120" s="639"/>
      <c r="Q120" s="640"/>
      <c r="R120" s="641"/>
      <c r="S120" s="639"/>
      <c r="T120" s="639"/>
      <c r="U120" s="642">
        <v>4500000</v>
      </c>
      <c r="V120" s="332"/>
    </row>
    <row r="121" spans="1:22" s="190" customFormat="1" ht="32.25" customHeight="1" x14ac:dyDescent="0.2">
      <c r="A121" s="446">
        <v>105</v>
      </c>
      <c r="B121" s="635">
        <v>45967</v>
      </c>
      <c r="C121" s="468" t="s">
        <v>459</v>
      </c>
      <c r="D121" s="636"/>
      <c r="E121" s="468">
        <v>1</v>
      </c>
      <c r="F121" s="457" t="s">
        <v>463</v>
      </c>
      <c r="G121" s="468" t="s">
        <v>284</v>
      </c>
      <c r="H121" s="653" t="s">
        <v>1632</v>
      </c>
      <c r="I121" s="654" t="s">
        <v>256</v>
      </c>
      <c r="J121" s="655" t="s">
        <v>39</v>
      </c>
      <c r="K121" s="457" t="s">
        <v>1639</v>
      </c>
      <c r="L121" s="457">
        <v>401361</v>
      </c>
      <c r="M121" s="451">
        <v>1500000</v>
      </c>
      <c r="N121" s="639"/>
      <c r="O121" s="639"/>
      <c r="P121" s="639"/>
      <c r="Q121" s="640"/>
      <c r="R121" s="641"/>
      <c r="S121" s="639"/>
      <c r="T121" s="639"/>
      <c r="U121" s="642">
        <v>4500000</v>
      </c>
      <c r="V121" s="332"/>
    </row>
    <row r="122" spans="1:22" s="190" customFormat="1" ht="32.25" customHeight="1" x14ac:dyDescent="0.2">
      <c r="A122" s="446">
        <v>106</v>
      </c>
      <c r="B122" s="635">
        <v>45967</v>
      </c>
      <c r="C122" s="468" t="s">
        <v>459</v>
      </c>
      <c r="D122" s="636"/>
      <c r="E122" s="468">
        <v>1</v>
      </c>
      <c r="F122" s="457" t="s">
        <v>464</v>
      </c>
      <c r="G122" s="457" t="s">
        <v>341</v>
      </c>
      <c r="H122" s="653" t="s">
        <v>1632</v>
      </c>
      <c r="I122" s="654" t="s">
        <v>256</v>
      </c>
      <c r="J122" s="655" t="s">
        <v>39</v>
      </c>
      <c r="K122" s="457" t="s">
        <v>1639</v>
      </c>
      <c r="L122" s="638">
        <v>7466</v>
      </c>
      <c r="M122" s="451">
        <v>1500000</v>
      </c>
      <c r="N122" s="639"/>
      <c r="O122" s="639"/>
      <c r="P122" s="639"/>
      <c r="Q122" s="640"/>
      <c r="R122" s="641"/>
      <c r="S122" s="639"/>
      <c r="T122" s="639"/>
      <c r="U122" s="642">
        <v>4500000</v>
      </c>
      <c r="V122" s="332"/>
    </row>
    <row r="123" spans="1:22" s="190" customFormat="1" ht="32.25" customHeight="1" x14ac:dyDescent="0.2">
      <c r="A123" s="446">
        <v>107</v>
      </c>
      <c r="B123" s="635">
        <v>45967</v>
      </c>
      <c r="C123" s="468" t="s">
        <v>459</v>
      </c>
      <c r="D123" s="636"/>
      <c r="E123" s="468">
        <v>1</v>
      </c>
      <c r="F123" s="457" t="s">
        <v>466</v>
      </c>
      <c r="G123" s="457" t="s">
        <v>284</v>
      </c>
      <c r="H123" s="653" t="s">
        <v>1632</v>
      </c>
      <c r="I123" s="654" t="s">
        <v>256</v>
      </c>
      <c r="J123" s="655" t="s">
        <v>39</v>
      </c>
      <c r="K123" s="457" t="s">
        <v>1639</v>
      </c>
      <c r="L123" s="457">
        <v>401876</v>
      </c>
      <c r="M123" s="451">
        <v>1500000</v>
      </c>
      <c r="N123" s="639"/>
      <c r="O123" s="639"/>
      <c r="P123" s="639"/>
      <c r="Q123" s="640"/>
      <c r="R123" s="641"/>
      <c r="S123" s="639"/>
      <c r="T123" s="639"/>
      <c r="U123" s="642">
        <v>4500000</v>
      </c>
      <c r="V123" s="332"/>
    </row>
    <row r="124" spans="1:22" s="190" customFormat="1" ht="32.25" customHeight="1" x14ac:dyDescent="0.2">
      <c r="A124" s="446">
        <v>108</v>
      </c>
      <c r="B124" s="635">
        <v>45967</v>
      </c>
      <c r="C124" s="468" t="s">
        <v>459</v>
      </c>
      <c r="D124" s="636"/>
      <c r="E124" s="468">
        <v>1</v>
      </c>
      <c r="F124" s="457" t="s">
        <v>467</v>
      </c>
      <c r="G124" s="457" t="s">
        <v>262</v>
      </c>
      <c r="H124" s="653" t="s">
        <v>1632</v>
      </c>
      <c r="I124" s="654" t="s">
        <v>256</v>
      </c>
      <c r="J124" s="655" t="s">
        <v>39</v>
      </c>
      <c r="K124" s="457" t="s">
        <v>1639</v>
      </c>
      <c r="L124" s="457">
        <v>402792</v>
      </c>
      <c r="M124" s="451">
        <v>1500000</v>
      </c>
      <c r="N124" s="639"/>
      <c r="O124" s="639"/>
      <c r="P124" s="639"/>
      <c r="Q124" s="640"/>
      <c r="R124" s="641"/>
      <c r="S124" s="639"/>
      <c r="T124" s="639"/>
      <c r="U124" s="642">
        <v>4500000</v>
      </c>
      <c r="V124" s="332"/>
    </row>
    <row r="125" spans="1:22" s="190" customFormat="1" ht="32.25" customHeight="1" x14ac:dyDescent="0.2">
      <c r="A125" s="446">
        <v>109</v>
      </c>
      <c r="B125" s="635">
        <v>45967</v>
      </c>
      <c r="C125" s="468" t="s">
        <v>459</v>
      </c>
      <c r="D125" s="636"/>
      <c r="E125" s="468">
        <v>1</v>
      </c>
      <c r="F125" s="457" t="s">
        <v>468</v>
      </c>
      <c r="G125" s="457" t="s">
        <v>198</v>
      </c>
      <c r="H125" s="653" t="s">
        <v>1632</v>
      </c>
      <c r="I125" s="654" t="s">
        <v>256</v>
      </c>
      <c r="J125" s="655" t="s">
        <v>39</v>
      </c>
      <c r="K125" s="457" t="s">
        <v>1639</v>
      </c>
      <c r="L125" s="457">
        <v>401872</v>
      </c>
      <c r="M125" s="451">
        <v>1500000</v>
      </c>
      <c r="N125" s="639"/>
      <c r="O125" s="639"/>
      <c r="P125" s="639"/>
      <c r="Q125" s="640"/>
      <c r="R125" s="641"/>
      <c r="S125" s="639"/>
      <c r="T125" s="639"/>
      <c r="U125" s="642">
        <v>4500000</v>
      </c>
      <c r="V125" s="332"/>
    </row>
    <row r="126" spans="1:22" s="190" customFormat="1" ht="32.25" customHeight="1" x14ac:dyDescent="0.2">
      <c r="A126" s="446">
        <v>110</v>
      </c>
      <c r="B126" s="635">
        <v>45967</v>
      </c>
      <c r="C126" s="468" t="s">
        <v>459</v>
      </c>
      <c r="D126" s="636"/>
      <c r="E126" s="468">
        <v>1</v>
      </c>
      <c r="F126" s="457" t="s">
        <v>469</v>
      </c>
      <c r="G126" s="457" t="s">
        <v>470</v>
      </c>
      <c r="H126" s="653" t="s">
        <v>1632</v>
      </c>
      <c r="I126" s="654" t="s">
        <v>256</v>
      </c>
      <c r="J126" s="655" t="s">
        <v>39</v>
      </c>
      <c r="K126" s="457" t="s">
        <v>1639</v>
      </c>
      <c r="L126" s="457">
        <v>7449</v>
      </c>
      <c r="M126" s="451">
        <v>1500000</v>
      </c>
      <c r="N126" s="639"/>
      <c r="O126" s="639"/>
      <c r="P126" s="639"/>
      <c r="Q126" s="640"/>
      <c r="R126" s="641"/>
      <c r="S126" s="639"/>
      <c r="T126" s="639"/>
      <c r="U126" s="642">
        <v>4500000</v>
      </c>
      <c r="V126" s="332"/>
    </row>
    <row r="127" spans="1:22" s="190" customFormat="1" ht="32.25" customHeight="1" x14ac:dyDescent="0.2">
      <c r="A127" s="446">
        <v>111</v>
      </c>
      <c r="B127" s="635">
        <v>45967</v>
      </c>
      <c r="C127" s="468" t="s">
        <v>459</v>
      </c>
      <c r="D127" s="636"/>
      <c r="E127" s="468">
        <v>1</v>
      </c>
      <c r="F127" s="457" t="s">
        <v>471</v>
      </c>
      <c r="G127" s="457" t="s">
        <v>472</v>
      </c>
      <c r="H127" s="653" t="s">
        <v>1632</v>
      </c>
      <c r="I127" s="654" t="s">
        <v>256</v>
      </c>
      <c r="J127" s="655" t="s">
        <v>39</v>
      </c>
      <c r="K127" s="457" t="s">
        <v>1639</v>
      </c>
      <c r="L127" s="457">
        <v>401609</v>
      </c>
      <c r="M127" s="451">
        <v>1500000</v>
      </c>
      <c r="N127" s="639"/>
      <c r="O127" s="639"/>
      <c r="P127" s="639"/>
      <c r="Q127" s="640"/>
      <c r="R127" s="641"/>
      <c r="S127" s="639"/>
      <c r="T127" s="639"/>
      <c r="U127" s="642">
        <v>4500000</v>
      </c>
      <c r="V127" s="332"/>
    </row>
    <row r="128" spans="1:22" s="190" customFormat="1" ht="32.25" customHeight="1" x14ac:dyDescent="0.2">
      <c r="A128" s="446">
        <v>112</v>
      </c>
      <c r="B128" s="635">
        <v>45967</v>
      </c>
      <c r="C128" s="468" t="s">
        <v>459</v>
      </c>
      <c r="D128" s="636"/>
      <c r="E128" s="468">
        <v>1</v>
      </c>
      <c r="F128" s="457" t="s">
        <v>473</v>
      </c>
      <c r="G128" s="457" t="s">
        <v>474</v>
      </c>
      <c r="H128" s="653" t="s">
        <v>1632</v>
      </c>
      <c r="I128" s="654" t="s">
        <v>256</v>
      </c>
      <c r="J128" s="655" t="s">
        <v>39</v>
      </c>
      <c r="K128" s="457" t="s">
        <v>1639</v>
      </c>
      <c r="L128" s="457">
        <v>401839</v>
      </c>
      <c r="M128" s="451">
        <v>1500000</v>
      </c>
      <c r="N128" s="639"/>
      <c r="O128" s="639"/>
      <c r="P128" s="639"/>
      <c r="Q128" s="640"/>
      <c r="R128" s="641"/>
      <c r="S128" s="639"/>
      <c r="T128" s="639"/>
      <c r="U128" s="642">
        <v>4500000</v>
      </c>
      <c r="V128" s="332"/>
    </row>
    <row r="129" spans="1:22" s="190" customFormat="1" ht="32.25" customHeight="1" x14ac:dyDescent="0.2">
      <c r="A129" s="446">
        <v>113</v>
      </c>
      <c r="B129" s="635">
        <v>45967</v>
      </c>
      <c r="C129" s="468" t="s">
        <v>476</v>
      </c>
      <c r="D129" s="636"/>
      <c r="E129" s="468">
        <v>1</v>
      </c>
      <c r="F129" s="468" t="s">
        <v>477</v>
      </c>
      <c r="G129" s="646" t="s">
        <v>308</v>
      </c>
      <c r="H129" s="449" t="s">
        <v>172</v>
      </c>
      <c r="I129" s="637" t="s">
        <v>173</v>
      </c>
      <c r="J129" s="655" t="s">
        <v>1637</v>
      </c>
      <c r="K129" s="457" t="s">
        <v>39</v>
      </c>
      <c r="L129" s="457">
        <v>123544</v>
      </c>
      <c r="M129" s="451">
        <v>1450000</v>
      </c>
      <c r="N129" s="639"/>
      <c r="O129" s="639"/>
      <c r="P129" s="639"/>
      <c r="Q129" s="640"/>
      <c r="R129" s="641"/>
      <c r="S129" s="639"/>
      <c r="T129" s="639"/>
      <c r="U129" s="642">
        <v>2700000</v>
      </c>
      <c r="V129" s="332"/>
    </row>
    <row r="130" spans="1:22" s="190" customFormat="1" ht="32.25" customHeight="1" x14ac:dyDescent="0.2">
      <c r="A130" s="446">
        <v>114</v>
      </c>
      <c r="B130" s="635">
        <v>45967</v>
      </c>
      <c r="C130" s="457" t="s">
        <v>476</v>
      </c>
      <c r="D130" s="650"/>
      <c r="E130" s="466">
        <v>1</v>
      </c>
      <c r="F130" s="457" t="s">
        <v>479</v>
      </c>
      <c r="G130" s="457" t="s">
        <v>225</v>
      </c>
      <c r="H130" s="449" t="s">
        <v>172</v>
      </c>
      <c r="I130" s="637" t="s">
        <v>173</v>
      </c>
      <c r="J130" s="468" t="s">
        <v>1640</v>
      </c>
      <c r="K130" s="457" t="s">
        <v>39</v>
      </c>
      <c r="L130" s="638">
        <v>292476</v>
      </c>
      <c r="M130" s="451">
        <v>1500000</v>
      </c>
      <c r="N130" s="639"/>
      <c r="O130" s="639"/>
      <c r="P130" s="639"/>
      <c r="Q130" s="640"/>
      <c r="R130" s="641"/>
      <c r="S130" s="639"/>
      <c r="T130" s="639"/>
      <c r="U130" s="642">
        <v>2700000</v>
      </c>
      <c r="V130" s="332"/>
    </row>
    <row r="131" spans="1:22" s="190" customFormat="1" ht="32.25" customHeight="1" x14ac:dyDescent="0.2">
      <c r="A131" s="446">
        <v>115</v>
      </c>
      <c r="B131" s="635">
        <v>45967</v>
      </c>
      <c r="C131" s="457" t="s">
        <v>476</v>
      </c>
      <c r="D131" s="650"/>
      <c r="E131" s="466">
        <v>1</v>
      </c>
      <c r="F131" s="457" t="s">
        <v>482</v>
      </c>
      <c r="G131" s="457" t="s">
        <v>216</v>
      </c>
      <c r="H131" s="449" t="s">
        <v>172</v>
      </c>
      <c r="I131" s="637" t="s">
        <v>173</v>
      </c>
      <c r="J131" s="457" t="s">
        <v>1637</v>
      </c>
      <c r="K131" s="457" t="s">
        <v>39</v>
      </c>
      <c r="L131" s="638">
        <v>123568</v>
      </c>
      <c r="M131" s="451">
        <v>1350000</v>
      </c>
      <c r="N131" s="639"/>
      <c r="O131" s="639"/>
      <c r="P131" s="639"/>
      <c r="Q131" s="640"/>
      <c r="R131" s="641"/>
      <c r="S131" s="639"/>
      <c r="T131" s="639"/>
      <c r="U131" s="642">
        <v>2700000</v>
      </c>
      <c r="V131" s="332"/>
    </row>
    <row r="132" spans="1:22" s="190" customFormat="1" ht="32.25" customHeight="1" x14ac:dyDescent="0.2">
      <c r="A132" s="446">
        <v>116</v>
      </c>
      <c r="B132" s="635">
        <v>45967</v>
      </c>
      <c r="C132" s="457" t="s">
        <v>476</v>
      </c>
      <c r="D132" s="650"/>
      <c r="E132" s="466">
        <v>1</v>
      </c>
      <c r="F132" s="457" t="s">
        <v>484</v>
      </c>
      <c r="G132" s="457" t="s">
        <v>341</v>
      </c>
      <c r="H132" s="449" t="s">
        <v>172</v>
      </c>
      <c r="I132" s="647" t="s">
        <v>173</v>
      </c>
      <c r="J132" s="468" t="s">
        <v>1637</v>
      </c>
      <c r="K132" s="457" t="s">
        <v>39</v>
      </c>
      <c r="L132" s="638">
        <v>123514</v>
      </c>
      <c r="M132" s="451">
        <v>1450000</v>
      </c>
      <c r="N132" s="639"/>
      <c r="O132" s="639"/>
      <c r="P132" s="639"/>
      <c r="Q132" s="640"/>
      <c r="R132" s="641"/>
      <c r="S132" s="639"/>
      <c r="T132" s="639"/>
      <c r="U132" s="642">
        <v>2700000</v>
      </c>
      <c r="V132" s="332"/>
    </row>
    <row r="133" spans="1:22" s="190" customFormat="1" ht="32.25" customHeight="1" x14ac:dyDescent="0.2">
      <c r="A133" s="446">
        <v>117</v>
      </c>
      <c r="B133" s="643">
        <v>45967</v>
      </c>
      <c r="C133" s="457" t="s">
        <v>459</v>
      </c>
      <c r="D133" s="656"/>
      <c r="E133" s="657">
        <v>1</v>
      </c>
      <c r="F133" s="645" t="s">
        <v>475</v>
      </c>
      <c r="G133" s="457" t="s">
        <v>302</v>
      </c>
      <c r="H133" s="658" t="s">
        <v>1641</v>
      </c>
      <c r="I133" s="654" t="s">
        <v>256</v>
      </c>
      <c r="J133" s="645" t="s">
        <v>39</v>
      </c>
      <c r="K133" s="463" t="s">
        <v>1639</v>
      </c>
      <c r="L133" s="638">
        <v>401557</v>
      </c>
      <c r="M133" s="451">
        <v>1500000</v>
      </c>
      <c r="N133" s="639"/>
      <c r="O133" s="639"/>
      <c r="P133" s="639"/>
      <c r="Q133" s="640"/>
      <c r="R133" s="641"/>
      <c r="S133" s="639"/>
      <c r="T133" s="639"/>
      <c r="U133" s="642">
        <v>4500000</v>
      </c>
      <c r="V133" s="332"/>
    </row>
    <row r="134" spans="1:22" s="190" customFormat="1" ht="32.25" customHeight="1" x14ac:dyDescent="0.2">
      <c r="A134" s="446">
        <v>118</v>
      </c>
      <c r="B134" s="635">
        <v>45968</v>
      </c>
      <c r="C134" s="457" t="s">
        <v>459</v>
      </c>
      <c r="D134" s="636"/>
      <c r="E134" s="468">
        <v>1</v>
      </c>
      <c r="F134" s="457" t="s">
        <v>487</v>
      </c>
      <c r="G134" s="646" t="s">
        <v>228</v>
      </c>
      <c r="H134" s="648" t="s">
        <v>1632</v>
      </c>
      <c r="I134" s="654" t="s">
        <v>256</v>
      </c>
      <c r="J134" s="468" t="s">
        <v>39</v>
      </c>
      <c r="K134" s="457" t="s">
        <v>1639</v>
      </c>
      <c r="L134" s="638">
        <v>7546</v>
      </c>
      <c r="M134" s="451">
        <v>1500000</v>
      </c>
      <c r="N134" s="639"/>
      <c r="O134" s="639"/>
      <c r="P134" s="639"/>
      <c r="Q134" s="640"/>
      <c r="R134" s="641"/>
      <c r="S134" s="639"/>
      <c r="T134" s="639"/>
      <c r="U134" s="642">
        <v>4500000</v>
      </c>
      <c r="V134" s="332"/>
    </row>
    <row r="135" spans="1:22" s="190" customFormat="1" ht="32.25" customHeight="1" x14ac:dyDescent="0.2">
      <c r="A135" s="446">
        <v>119</v>
      </c>
      <c r="B135" s="635">
        <v>45968</v>
      </c>
      <c r="C135" s="457" t="s">
        <v>459</v>
      </c>
      <c r="D135" s="636"/>
      <c r="E135" s="468">
        <v>1</v>
      </c>
      <c r="F135" s="457" t="s">
        <v>489</v>
      </c>
      <c r="G135" s="457" t="s">
        <v>219</v>
      </c>
      <c r="H135" s="648" t="s">
        <v>1632</v>
      </c>
      <c r="I135" s="654" t="s">
        <v>256</v>
      </c>
      <c r="J135" s="468" t="s">
        <v>39</v>
      </c>
      <c r="K135" s="457" t="s">
        <v>1639</v>
      </c>
      <c r="L135" s="457">
        <v>403510</v>
      </c>
      <c r="M135" s="451">
        <v>1500000</v>
      </c>
      <c r="N135" s="639"/>
      <c r="O135" s="639"/>
      <c r="P135" s="639"/>
      <c r="Q135" s="640"/>
      <c r="R135" s="641"/>
      <c r="S135" s="639"/>
      <c r="T135" s="639"/>
      <c r="U135" s="642">
        <v>4500000</v>
      </c>
      <c r="V135" s="332"/>
    </row>
    <row r="136" spans="1:22" s="190" customFormat="1" ht="32.25" customHeight="1" x14ac:dyDescent="0.2">
      <c r="A136" s="446">
        <v>120</v>
      </c>
      <c r="B136" s="635">
        <v>45968</v>
      </c>
      <c r="C136" s="457" t="s">
        <v>459</v>
      </c>
      <c r="D136" s="636"/>
      <c r="E136" s="468">
        <v>1</v>
      </c>
      <c r="F136" s="457" t="s">
        <v>490</v>
      </c>
      <c r="G136" s="457" t="s">
        <v>204</v>
      </c>
      <c r="H136" s="648" t="s">
        <v>1632</v>
      </c>
      <c r="I136" s="654" t="s">
        <v>256</v>
      </c>
      <c r="J136" s="468" t="s">
        <v>39</v>
      </c>
      <c r="K136" s="457" t="s">
        <v>1639</v>
      </c>
      <c r="L136" s="457">
        <v>12012</v>
      </c>
      <c r="M136" s="451">
        <v>1500000</v>
      </c>
      <c r="N136" s="639"/>
      <c r="O136" s="639"/>
      <c r="P136" s="639"/>
      <c r="Q136" s="640"/>
      <c r="R136" s="641"/>
      <c r="S136" s="639"/>
      <c r="T136" s="639"/>
      <c r="U136" s="642">
        <v>4500000</v>
      </c>
      <c r="V136" s="332"/>
    </row>
    <row r="137" spans="1:22" s="190" customFormat="1" ht="32.25" customHeight="1" x14ac:dyDescent="0.2">
      <c r="A137" s="446">
        <v>121</v>
      </c>
      <c r="B137" s="635">
        <v>45968</v>
      </c>
      <c r="C137" s="457" t="s">
        <v>459</v>
      </c>
      <c r="D137" s="636"/>
      <c r="E137" s="468">
        <v>1</v>
      </c>
      <c r="F137" s="457" t="s">
        <v>491</v>
      </c>
      <c r="G137" s="457" t="s">
        <v>213</v>
      </c>
      <c r="H137" s="648" t="s">
        <v>1632</v>
      </c>
      <c r="I137" s="654" t="s">
        <v>256</v>
      </c>
      <c r="J137" s="468" t="s">
        <v>39</v>
      </c>
      <c r="K137" s="457" t="s">
        <v>1639</v>
      </c>
      <c r="L137" s="457">
        <v>12029</v>
      </c>
      <c r="M137" s="451">
        <v>1500000</v>
      </c>
      <c r="N137" s="639"/>
      <c r="O137" s="639"/>
      <c r="P137" s="639"/>
      <c r="Q137" s="640"/>
      <c r="R137" s="641"/>
      <c r="S137" s="639"/>
      <c r="T137" s="639"/>
      <c r="U137" s="642">
        <v>4500000</v>
      </c>
      <c r="V137" s="332"/>
    </row>
    <row r="138" spans="1:22" s="190" customFormat="1" ht="32.25" customHeight="1" x14ac:dyDescent="0.2">
      <c r="A138" s="446">
        <v>122</v>
      </c>
      <c r="B138" s="635">
        <v>45968</v>
      </c>
      <c r="C138" s="457" t="s">
        <v>459</v>
      </c>
      <c r="D138" s="636"/>
      <c r="E138" s="468">
        <v>1</v>
      </c>
      <c r="F138" s="468" t="s">
        <v>492</v>
      </c>
      <c r="G138" s="646" t="s">
        <v>222</v>
      </c>
      <c r="H138" s="648" t="s">
        <v>1632</v>
      </c>
      <c r="I138" s="654" t="s">
        <v>256</v>
      </c>
      <c r="J138" s="468" t="s">
        <v>39</v>
      </c>
      <c r="K138" s="457" t="s">
        <v>1639</v>
      </c>
      <c r="L138" s="638">
        <v>7523</v>
      </c>
      <c r="M138" s="451">
        <v>1500000</v>
      </c>
      <c r="N138" s="639"/>
      <c r="O138" s="639"/>
      <c r="P138" s="639"/>
      <c r="Q138" s="640"/>
      <c r="R138" s="641"/>
      <c r="S138" s="639"/>
      <c r="T138" s="639"/>
      <c r="U138" s="642">
        <v>4500000</v>
      </c>
      <c r="V138" s="332"/>
    </row>
    <row r="139" spans="1:22" s="190" customFormat="1" ht="32.25" customHeight="1" x14ac:dyDescent="0.2">
      <c r="A139" s="446">
        <v>123</v>
      </c>
      <c r="B139" s="635">
        <v>45968</v>
      </c>
      <c r="C139" s="457" t="s">
        <v>459</v>
      </c>
      <c r="D139" s="636"/>
      <c r="E139" s="468">
        <v>1</v>
      </c>
      <c r="F139" s="457" t="s">
        <v>494</v>
      </c>
      <c r="G139" s="457" t="s">
        <v>191</v>
      </c>
      <c r="H139" s="648" t="s">
        <v>1632</v>
      </c>
      <c r="I139" s="654" t="s">
        <v>256</v>
      </c>
      <c r="J139" s="468" t="s">
        <v>39</v>
      </c>
      <c r="K139" s="457" t="s">
        <v>1639</v>
      </c>
      <c r="L139" s="457">
        <v>403454</v>
      </c>
      <c r="M139" s="451">
        <v>1500000</v>
      </c>
      <c r="N139" s="639"/>
      <c r="O139" s="639"/>
      <c r="P139" s="639"/>
      <c r="Q139" s="640"/>
      <c r="R139" s="641"/>
      <c r="S139" s="639"/>
      <c r="T139" s="639"/>
      <c r="U139" s="642">
        <v>4500000</v>
      </c>
      <c r="V139" s="332"/>
    </row>
    <row r="140" spans="1:22" s="190" customFormat="1" ht="32.25" customHeight="1" x14ac:dyDescent="0.2">
      <c r="A140" s="446">
        <v>124</v>
      </c>
      <c r="B140" s="649">
        <v>45969</v>
      </c>
      <c r="C140" s="457">
        <v>261611944</v>
      </c>
      <c r="D140" s="636"/>
      <c r="E140" s="468">
        <v>1</v>
      </c>
      <c r="F140" s="457" t="s">
        <v>495</v>
      </c>
      <c r="G140" s="646" t="s">
        <v>222</v>
      </c>
      <c r="H140" s="449" t="s">
        <v>172</v>
      </c>
      <c r="I140" s="637" t="s">
        <v>173</v>
      </c>
      <c r="J140" s="457" t="s">
        <v>1633</v>
      </c>
      <c r="K140" s="468" t="s">
        <v>39</v>
      </c>
      <c r="L140" s="638">
        <v>124665</v>
      </c>
      <c r="M140" s="451">
        <v>1450000</v>
      </c>
      <c r="N140" s="639"/>
      <c r="O140" s="639"/>
      <c r="P140" s="639"/>
      <c r="Q140" s="640"/>
      <c r="R140" s="641"/>
      <c r="S140" s="639"/>
      <c r="T140" s="639"/>
      <c r="U140" s="642">
        <v>2700000</v>
      </c>
      <c r="V140" s="332"/>
    </row>
    <row r="141" spans="1:22" s="190" customFormat="1" ht="32.25" customHeight="1" x14ac:dyDescent="0.2">
      <c r="A141" s="446">
        <v>125</v>
      </c>
      <c r="B141" s="649">
        <v>45969</v>
      </c>
      <c r="C141" s="457">
        <v>261611944</v>
      </c>
      <c r="D141" s="636"/>
      <c r="E141" s="468">
        <v>1</v>
      </c>
      <c r="F141" s="468" t="s">
        <v>497</v>
      </c>
      <c r="G141" s="457" t="s">
        <v>219</v>
      </c>
      <c r="H141" s="449" t="s">
        <v>172</v>
      </c>
      <c r="I141" s="637" t="s">
        <v>173</v>
      </c>
      <c r="J141" s="457" t="s">
        <v>1633</v>
      </c>
      <c r="K141" s="468" t="s">
        <v>39</v>
      </c>
      <c r="L141" s="638">
        <v>124639</v>
      </c>
      <c r="M141" s="451">
        <v>1450000</v>
      </c>
      <c r="N141" s="639"/>
      <c r="O141" s="639"/>
      <c r="P141" s="639"/>
      <c r="Q141" s="640"/>
      <c r="R141" s="641"/>
      <c r="S141" s="639"/>
      <c r="T141" s="639"/>
      <c r="U141" s="642">
        <v>2700000</v>
      </c>
      <c r="V141" s="332"/>
    </row>
    <row r="142" spans="1:22" s="190" customFormat="1" ht="32.25" customHeight="1" x14ac:dyDescent="0.2">
      <c r="A142" s="446">
        <v>126</v>
      </c>
      <c r="B142" s="649">
        <v>45969</v>
      </c>
      <c r="C142" s="457">
        <v>261611944</v>
      </c>
      <c r="D142" s="636"/>
      <c r="E142" s="468">
        <v>1</v>
      </c>
      <c r="F142" s="457" t="s">
        <v>499</v>
      </c>
      <c r="G142" s="457" t="s">
        <v>198</v>
      </c>
      <c r="H142" s="449" t="s">
        <v>172</v>
      </c>
      <c r="I142" s="637" t="s">
        <v>173</v>
      </c>
      <c r="J142" s="457" t="s">
        <v>1633</v>
      </c>
      <c r="K142" s="468" t="s">
        <v>39</v>
      </c>
      <c r="L142" s="638">
        <v>221055</v>
      </c>
      <c r="M142" s="451">
        <v>1500000</v>
      </c>
      <c r="N142" s="639"/>
      <c r="O142" s="639"/>
      <c r="P142" s="639"/>
      <c r="Q142" s="640"/>
      <c r="R142" s="641"/>
      <c r="S142" s="639"/>
      <c r="T142" s="639"/>
      <c r="U142" s="642">
        <v>2700000</v>
      </c>
      <c r="V142" s="332"/>
    </row>
    <row r="143" spans="1:22" s="190" customFormat="1" ht="32.25" customHeight="1" x14ac:dyDescent="0.2">
      <c r="A143" s="446">
        <v>127</v>
      </c>
      <c r="B143" s="649">
        <v>45969</v>
      </c>
      <c r="C143" s="457">
        <v>261611944</v>
      </c>
      <c r="D143" s="636"/>
      <c r="E143" s="468">
        <v>1</v>
      </c>
      <c r="F143" s="457" t="s">
        <v>501</v>
      </c>
      <c r="G143" s="457" t="s">
        <v>225</v>
      </c>
      <c r="H143" s="449" t="s">
        <v>172</v>
      </c>
      <c r="I143" s="637" t="s">
        <v>173</v>
      </c>
      <c r="J143" s="457" t="s">
        <v>1633</v>
      </c>
      <c r="K143" s="468" t="s">
        <v>39</v>
      </c>
      <c r="L143" s="457">
        <v>125033</v>
      </c>
      <c r="M143" s="451">
        <v>1450000</v>
      </c>
      <c r="N143" s="639"/>
      <c r="O143" s="639"/>
      <c r="P143" s="639"/>
      <c r="Q143" s="640"/>
      <c r="R143" s="641"/>
      <c r="S143" s="639"/>
      <c r="T143" s="639"/>
      <c r="U143" s="642">
        <v>2700000</v>
      </c>
      <c r="V143" s="332"/>
    </row>
    <row r="144" spans="1:22" s="190" customFormat="1" ht="32.25" customHeight="1" x14ac:dyDescent="0.2">
      <c r="A144" s="446">
        <v>128</v>
      </c>
      <c r="B144" s="649">
        <v>45969</v>
      </c>
      <c r="C144" s="457">
        <v>261611944</v>
      </c>
      <c r="D144" s="636"/>
      <c r="E144" s="468">
        <v>1</v>
      </c>
      <c r="F144" s="457" t="s">
        <v>502</v>
      </c>
      <c r="G144" s="457" t="s">
        <v>213</v>
      </c>
      <c r="H144" s="449" t="s">
        <v>172</v>
      </c>
      <c r="I144" s="637" t="s">
        <v>173</v>
      </c>
      <c r="J144" s="457" t="s">
        <v>1633</v>
      </c>
      <c r="K144" s="468" t="s">
        <v>39</v>
      </c>
      <c r="L144" s="638">
        <v>125027</v>
      </c>
      <c r="M144" s="451">
        <v>1450000</v>
      </c>
      <c r="N144" s="639"/>
      <c r="O144" s="639"/>
      <c r="P144" s="639"/>
      <c r="Q144" s="640"/>
      <c r="R144" s="641"/>
      <c r="S144" s="639"/>
      <c r="T144" s="639"/>
      <c r="U144" s="642">
        <v>2700000</v>
      </c>
      <c r="V144" s="332"/>
    </row>
    <row r="145" spans="1:22" s="190" customFormat="1" ht="32.25" customHeight="1" x14ac:dyDescent="0.2">
      <c r="A145" s="446">
        <v>129</v>
      </c>
      <c r="B145" s="649">
        <v>45969</v>
      </c>
      <c r="C145" s="457">
        <v>261611944</v>
      </c>
      <c r="D145" s="636"/>
      <c r="E145" s="468">
        <v>1</v>
      </c>
      <c r="F145" s="468" t="s">
        <v>504</v>
      </c>
      <c r="G145" s="457" t="s">
        <v>204</v>
      </c>
      <c r="H145" s="449" t="s">
        <v>172</v>
      </c>
      <c r="I145" s="637" t="s">
        <v>173</v>
      </c>
      <c r="J145" s="457" t="s">
        <v>1633</v>
      </c>
      <c r="K145" s="468" t="s">
        <v>39</v>
      </c>
      <c r="L145" s="638">
        <v>124689</v>
      </c>
      <c r="M145" s="451">
        <v>1450000</v>
      </c>
      <c r="N145" s="639"/>
      <c r="O145" s="639"/>
      <c r="P145" s="639"/>
      <c r="Q145" s="640"/>
      <c r="R145" s="641"/>
      <c r="S145" s="639"/>
      <c r="T145" s="639"/>
      <c r="U145" s="642">
        <v>2700000</v>
      </c>
      <c r="V145" s="332"/>
    </row>
    <row r="146" spans="1:22" s="190" customFormat="1" ht="32.25" customHeight="1" x14ac:dyDescent="0.2">
      <c r="A146" s="446">
        <v>130</v>
      </c>
      <c r="B146" s="649">
        <v>45969</v>
      </c>
      <c r="C146" s="457">
        <v>261611944</v>
      </c>
      <c r="D146" s="636"/>
      <c r="E146" s="468">
        <v>1</v>
      </c>
      <c r="F146" s="457" t="s">
        <v>506</v>
      </c>
      <c r="G146" s="457" t="s">
        <v>216</v>
      </c>
      <c r="H146" s="449" t="s">
        <v>172</v>
      </c>
      <c r="I146" s="637" t="s">
        <v>173</v>
      </c>
      <c r="J146" s="457" t="s">
        <v>1633</v>
      </c>
      <c r="K146" s="468" t="s">
        <v>39</v>
      </c>
      <c r="L146" s="638">
        <v>125050</v>
      </c>
      <c r="M146" s="451">
        <v>1450000</v>
      </c>
      <c r="N146" s="639"/>
      <c r="O146" s="639"/>
      <c r="P146" s="639"/>
      <c r="Q146" s="640"/>
      <c r="R146" s="641"/>
      <c r="S146" s="639"/>
      <c r="T146" s="639"/>
      <c r="U146" s="642">
        <v>2700000</v>
      </c>
      <c r="V146" s="332"/>
    </row>
    <row r="147" spans="1:22" s="190" customFormat="1" ht="32.25" customHeight="1" x14ac:dyDescent="0.2">
      <c r="A147" s="446">
        <v>131</v>
      </c>
      <c r="B147" s="649">
        <v>45969</v>
      </c>
      <c r="C147" s="457">
        <v>261611944</v>
      </c>
      <c r="D147" s="636"/>
      <c r="E147" s="468">
        <v>1</v>
      </c>
      <c r="F147" s="457" t="s">
        <v>508</v>
      </c>
      <c r="G147" s="457" t="s">
        <v>194</v>
      </c>
      <c r="H147" s="449" t="s">
        <v>172</v>
      </c>
      <c r="I147" s="637" t="s">
        <v>173</v>
      </c>
      <c r="J147" s="457" t="s">
        <v>1633</v>
      </c>
      <c r="K147" s="468" t="s">
        <v>39</v>
      </c>
      <c r="L147" s="638">
        <v>220614</v>
      </c>
      <c r="M147" s="451">
        <v>1500000</v>
      </c>
      <c r="N147" s="639"/>
      <c r="O147" s="639"/>
      <c r="P147" s="639"/>
      <c r="Q147" s="640"/>
      <c r="R147" s="641"/>
      <c r="S147" s="639"/>
      <c r="T147" s="639"/>
      <c r="U147" s="642">
        <v>2700000</v>
      </c>
      <c r="V147" s="332"/>
    </row>
    <row r="148" spans="1:22" s="190" customFormat="1" ht="32.25" customHeight="1" x14ac:dyDescent="0.2">
      <c r="A148" s="446">
        <v>132</v>
      </c>
      <c r="B148" s="649">
        <v>45969</v>
      </c>
      <c r="C148" s="457">
        <v>261611944</v>
      </c>
      <c r="D148" s="636"/>
      <c r="E148" s="468">
        <v>1</v>
      </c>
      <c r="F148" s="457" t="s">
        <v>510</v>
      </c>
      <c r="G148" s="646" t="s">
        <v>222</v>
      </c>
      <c r="H148" s="449" t="s">
        <v>172</v>
      </c>
      <c r="I148" s="637" t="s">
        <v>173</v>
      </c>
      <c r="J148" s="457" t="s">
        <v>1633</v>
      </c>
      <c r="K148" s="468" t="s">
        <v>39</v>
      </c>
      <c r="L148" s="659" t="s">
        <v>1676</v>
      </c>
      <c r="M148" s="451">
        <v>1450000</v>
      </c>
      <c r="N148" s="639"/>
      <c r="O148" s="639"/>
      <c r="P148" s="639">
        <v>453600</v>
      </c>
      <c r="Q148" s="640">
        <v>149714</v>
      </c>
      <c r="R148" s="641"/>
      <c r="S148" s="639"/>
      <c r="T148" s="639"/>
      <c r="U148" s="642">
        <v>2700000</v>
      </c>
      <c r="V148" s="332"/>
    </row>
    <row r="149" spans="1:22" s="190" customFormat="1" ht="32.25" customHeight="1" x14ac:dyDescent="0.2">
      <c r="A149" s="446">
        <v>133</v>
      </c>
      <c r="B149" s="649">
        <v>45969</v>
      </c>
      <c r="C149" s="457">
        <v>261611944</v>
      </c>
      <c r="D149" s="636"/>
      <c r="E149" s="468">
        <v>1</v>
      </c>
      <c r="F149" s="457" t="s">
        <v>512</v>
      </c>
      <c r="G149" s="457" t="s">
        <v>204</v>
      </c>
      <c r="H149" s="449" t="s">
        <v>172</v>
      </c>
      <c r="I149" s="637" t="s">
        <v>173</v>
      </c>
      <c r="J149" s="457" t="s">
        <v>1633</v>
      </c>
      <c r="K149" s="468" t="s">
        <v>39</v>
      </c>
      <c r="L149" s="660" t="s">
        <v>1677</v>
      </c>
      <c r="M149" s="451">
        <v>1500000</v>
      </c>
      <c r="N149" s="639"/>
      <c r="O149" s="639"/>
      <c r="P149" s="639">
        <v>453600</v>
      </c>
      <c r="Q149" s="640">
        <v>14970</v>
      </c>
      <c r="R149" s="641"/>
      <c r="S149" s="639"/>
      <c r="T149" s="639"/>
      <c r="U149" s="642">
        <v>2700000</v>
      </c>
      <c r="V149" s="332"/>
    </row>
    <row r="150" spans="1:22" s="190" customFormat="1" ht="32.25" customHeight="1" x14ac:dyDescent="0.2">
      <c r="A150" s="446">
        <v>134</v>
      </c>
      <c r="B150" s="649">
        <v>45969</v>
      </c>
      <c r="C150" s="457" t="s">
        <v>514</v>
      </c>
      <c r="D150" s="636"/>
      <c r="E150" s="468">
        <v>1</v>
      </c>
      <c r="F150" s="457" t="s">
        <v>515</v>
      </c>
      <c r="G150" s="457" t="s">
        <v>219</v>
      </c>
      <c r="H150" s="648" t="s">
        <v>1632</v>
      </c>
      <c r="I150" s="654" t="s">
        <v>256</v>
      </c>
      <c r="J150" s="457" t="s">
        <v>39</v>
      </c>
      <c r="K150" s="457" t="s">
        <v>1639</v>
      </c>
      <c r="L150" s="468">
        <v>12094</v>
      </c>
      <c r="M150" s="451">
        <v>1500000</v>
      </c>
      <c r="N150" s="639"/>
      <c r="O150" s="639"/>
      <c r="P150" s="639"/>
      <c r="Q150" s="640"/>
      <c r="R150" s="641"/>
      <c r="S150" s="639"/>
      <c r="T150" s="639"/>
      <c r="U150" s="642">
        <v>4500000</v>
      </c>
      <c r="V150" s="332"/>
    </row>
    <row r="151" spans="1:22" s="190" customFormat="1" ht="32.25" customHeight="1" x14ac:dyDescent="0.2">
      <c r="A151" s="446">
        <v>135</v>
      </c>
      <c r="B151" s="649">
        <v>45969</v>
      </c>
      <c r="C151" s="457" t="s">
        <v>514</v>
      </c>
      <c r="D151" s="636"/>
      <c r="E151" s="468">
        <v>1</v>
      </c>
      <c r="F151" s="457" t="s">
        <v>516</v>
      </c>
      <c r="G151" s="457" t="s">
        <v>225</v>
      </c>
      <c r="H151" s="648" t="s">
        <v>1632</v>
      </c>
      <c r="I151" s="654" t="s">
        <v>256</v>
      </c>
      <c r="J151" s="457" t="s">
        <v>39</v>
      </c>
      <c r="K151" s="457" t="s">
        <v>1639</v>
      </c>
      <c r="L151" s="659">
        <v>405143</v>
      </c>
      <c r="M151" s="451">
        <v>1500000</v>
      </c>
      <c r="N151" s="639"/>
      <c r="O151" s="639"/>
      <c r="P151" s="639"/>
      <c r="Q151" s="640"/>
      <c r="R151" s="641"/>
      <c r="S151" s="639"/>
      <c r="T151" s="639"/>
      <c r="U151" s="642">
        <v>4500000</v>
      </c>
      <c r="V151" s="332"/>
    </row>
    <row r="152" spans="1:22" s="190" customFormat="1" ht="32.25" customHeight="1" x14ac:dyDescent="0.2">
      <c r="A152" s="446">
        <v>136</v>
      </c>
      <c r="B152" s="649">
        <v>45969</v>
      </c>
      <c r="C152" s="457" t="s">
        <v>514</v>
      </c>
      <c r="D152" s="636"/>
      <c r="E152" s="468">
        <v>1</v>
      </c>
      <c r="F152" s="457" t="s">
        <v>518</v>
      </c>
      <c r="G152" s="457" t="s">
        <v>368</v>
      </c>
      <c r="H152" s="648" t="s">
        <v>1632</v>
      </c>
      <c r="I152" s="654" t="s">
        <v>256</v>
      </c>
      <c r="J152" s="457" t="s">
        <v>39</v>
      </c>
      <c r="K152" s="457" t="s">
        <v>1639</v>
      </c>
      <c r="L152" s="468">
        <v>7548</v>
      </c>
      <c r="M152" s="451">
        <v>1500000</v>
      </c>
      <c r="N152" s="639"/>
      <c r="O152" s="639"/>
      <c r="P152" s="639"/>
      <c r="Q152" s="640"/>
      <c r="R152" s="641"/>
      <c r="S152" s="639"/>
      <c r="T152" s="639"/>
      <c r="U152" s="642">
        <v>4500000</v>
      </c>
      <c r="V152" s="332"/>
    </row>
    <row r="153" spans="1:22" s="190" customFormat="1" ht="32.25" customHeight="1" x14ac:dyDescent="0.2">
      <c r="A153" s="446">
        <v>137</v>
      </c>
      <c r="B153" s="649">
        <v>45969</v>
      </c>
      <c r="C153" s="457" t="s">
        <v>514</v>
      </c>
      <c r="D153" s="636"/>
      <c r="E153" s="468">
        <v>1</v>
      </c>
      <c r="F153" s="457" t="s">
        <v>519</v>
      </c>
      <c r="G153" s="457" t="s">
        <v>210</v>
      </c>
      <c r="H153" s="648" t="s">
        <v>1632</v>
      </c>
      <c r="I153" s="654" t="s">
        <v>256</v>
      </c>
      <c r="J153" s="457" t="s">
        <v>39</v>
      </c>
      <c r="K153" s="457" t="s">
        <v>1639</v>
      </c>
      <c r="L153" s="468">
        <v>405060</v>
      </c>
      <c r="M153" s="451">
        <v>1500000</v>
      </c>
      <c r="N153" s="639"/>
      <c r="O153" s="639"/>
      <c r="P153" s="639"/>
      <c r="Q153" s="640"/>
      <c r="R153" s="641"/>
      <c r="S153" s="639"/>
      <c r="T153" s="639"/>
      <c r="U153" s="642">
        <v>4500000</v>
      </c>
      <c r="V153" s="332"/>
    </row>
    <row r="154" spans="1:22" s="190" customFormat="1" ht="32.25" customHeight="1" x14ac:dyDescent="0.2">
      <c r="A154" s="446">
        <v>138</v>
      </c>
      <c r="B154" s="649">
        <v>45969</v>
      </c>
      <c r="C154" s="457" t="s">
        <v>514</v>
      </c>
      <c r="D154" s="636"/>
      <c r="E154" s="468">
        <v>1</v>
      </c>
      <c r="F154" s="457" t="s">
        <v>520</v>
      </c>
      <c r="G154" s="457" t="s">
        <v>216</v>
      </c>
      <c r="H154" s="648" t="s">
        <v>1632</v>
      </c>
      <c r="I154" s="654" t="s">
        <v>256</v>
      </c>
      <c r="J154" s="457" t="s">
        <v>39</v>
      </c>
      <c r="K154" s="457" t="s">
        <v>1639</v>
      </c>
      <c r="L154" s="468">
        <v>405181</v>
      </c>
      <c r="M154" s="451">
        <v>1500000</v>
      </c>
      <c r="N154" s="639"/>
      <c r="O154" s="639"/>
      <c r="P154" s="639"/>
      <c r="Q154" s="640"/>
      <c r="R154" s="641"/>
      <c r="S154" s="639"/>
      <c r="T154" s="639"/>
      <c r="U154" s="642">
        <v>4500000</v>
      </c>
      <c r="V154" s="332"/>
    </row>
    <row r="155" spans="1:22" s="190" customFormat="1" ht="32.25" customHeight="1" x14ac:dyDescent="0.2">
      <c r="A155" s="446">
        <v>139</v>
      </c>
      <c r="B155" s="649">
        <v>45970</v>
      </c>
      <c r="C155" s="457">
        <v>261614090</v>
      </c>
      <c r="D155" s="636"/>
      <c r="E155" s="468">
        <v>1</v>
      </c>
      <c r="F155" s="457" t="s">
        <v>521</v>
      </c>
      <c r="G155" s="457" t="s">
        <v>368</v>
      </c>
      <c r="H155" s="449" t="s">
        <v>172</v>
      </c>
      <c r="I155" s="637" t="s">
        <v>173</v>
      </c>
      <c r="J155" s="457" t="s">
        <v>1633</v>
      </c>
      <c r="K155" s="468" t="s">
        <v>39</v>
      </c>
      <c r="L155" s="638">
        <v>221532</v>
      </c>
      <c r="M155" s="451">
        <v>1500000</v>
      </c>
      <c r="N155" s="639"/>
      <c r="O155" s="639"/>
      <c r="P155" s="639"/>
      <c r="Q155" s="640"/>
      <c r="R155" s="641"/>
      <c r="S155" s="639"/>
      <c r="T155" s="639"/>
      <c r="U155" s="642">
        <v>2700000</v>
      </c>
      <c r="V155" s="332"/>
    </row>
    <row r="156" spans="1:22" s="190" customFormat="1" ht="32.25" customHeight="1" x14ac:dyDescent="0.2">
      <c r="A156" s="446">
        <v>140</v>
      </c>
      <c r="B156" s="649">
        <v>45970</v>
      </c>
      <c r="C156" s="457">
        <v>261614090</v>
      </c>
      <c r="D156" s="636"/>
      <c r="E156" s="468">
        <v>1</v>
      </c>
      <c r="F156" s="457" t="s">
        <v>523</v>
      </c>
      <c r="G156" s="457" t="s">
        <v>204</v>
      </c>
      <c r="H156" s="449" t="s">
        <v>172</v>
      </c>
      <c r="I156" s="637" t="s">
        <v>173</v>
      </c>
      <c r="J156" s="457" t="s">
        <v>1633</v>
      </c>
      <c r="K156" s="468" t="s">
        <v>39</v>
      </c>
      <c r="L156" s="638">
        <v>1226</v>
      </c>
      <c r="M156" s="451">
        <v>1450000</v>
      </c>
      <c r="N156" s="639"/>
      <c r="O156" s="639"/>
      <c r="P156" s="639"/>
      <c r="Q156" s="640"/>
      <c r="R156" s="641"/>
      <c r="S156" s="639"/>
      <c r="T156" s="639"/>
      <c r="U156" s="642">
        <v>2700000</v>
      </c>
      <c r="V156" s="332"/>
    </row>
    <row r="157" spans="1:22" s="190" customFormat="1" ht="32.25" customHeight="1" x14ac:dyDescent="0.2">
      <c r="A157" s="446">
        <v>141</v>
      </c>
      <c r="B157" s="649">
        <v>45970</v>
      </c>
      <c r="C157" s="463">
        <v>261614090</v>
      </c>
      <c r="D157" s="644"/>
      <c r="E157" s="645">
        <v>1</v>
      </c>
      <c r="F157" s="463" t="s">
        <v>525</v>
      </c>
      <c r="G157" s="457" t="s">
        <v>207</v>
      </c>
      <c r="H157" s="449" t="s">
        <v>172</v>
      </c>
      <c r="I157" s="647" t="s">
        <v>173</v>
      </c>
      <c r="J157" s="463" t="s">
        <v>1633</v>
      </c>
      <c r="K157" s="645" t="s">
        <v>39</v>
      </c>
      <c r="L157" s="638">
        <v>221715</v>
      </c>
      <c r="M157" s="451">
        <v>1500000</v>
      </c>
      <c r="N157" s="639"/>
      <c r="O157" s="639"/>
      <c r="P157" s="639"/>
      <c r="Q157" s="640"/>
      <c r="R157" s="641"/>
      <c r="S157" s="639"/>
      <c r="T157" s="639"/>
      <c r="U157" s="642">
        <v>2700000</v>
      </c>
      <c r="V157" s="332"/>
    </row>
    <row r="158" spans="1:22" s="190" customFormat="1" ht="32.25" customHeight="1" x14ac:dyDescent="0.2">
      <c r="A158" s="446">
        <v>142</v>
      </c>
      <c r="B158" s="649">
        <v>45970</v>
      </c>
      <c r="C158" s="457" t="s">
        <v>527</v>
      </c>
      <c r="D158" s="636"/>
      <c r="E158" s="468">
        <v>1</v>
      </c>
      <c r="F158" s="468" t="s">
        <v>528</v>
      </c>
      <c r="G158" s="457" t="s">
        <v>305</v>
      </c>
      <c r="H158" s="648" t="s">
        <v>180</v>
      </c>
      <c r="I158" s="637" t="s">
        <v>181</v>
      </c>
      <c r="J158" s="457" t="s">
        <v>39</v>
      </c>
      <c r="K158" s="457" t="s">
        <v>1631</v>
      </c>
      <c r="L158" s="638">
        <v>405513</v>
      </c>
      <c r="M158" s="451">
        <v>1500000</v>
      </c>
      <c r="N158" s="639"/>
      <c r="O158" s="639"/>
      <c r="P158" s="639"/>
      <c r="Q158" s="640"/>
      <c r="R158" s="641"/>
      <c r="S158" s="639"/>
      <c r="T158" s="639"/>
      <c r="U158" s="642">
        <v>4500000</v>
      </c>
      <c r="V158" s="332"/>
    </row>
    <row r="159" spans="1:22" s="190" customFormat="1" ht="32.25" customHeight="1" x14ac:dyDescent="0.2">
      <c r="A159" s="446">
        <v>143</v>
      </c>
      <c r="B159" s="649">
        <v>45970</v>
      </c>
      <c r="C159" s="457" t="s">
        <v>527</v>
      </c>
      <c r="D159" s="636"/>
      <c r="E159" s="468">
        <v>1</v>
      </c>
      <c r="F159" s="457" t="s">
        <v>530</v>
      </c>
      <c r="G159" s="457" t="s">
        <v>219</v>
      </c>
      <c r="H159" s="648" t="s">
        <v>180</v>
      </c>
      <c r="I159" s="637" t="s">
        <v>181</v>
      </c>
      <c r="J159" s="457" t="s">
        <v>39</v>
      </c>
      <c r="K159" s="457" t="s">
        <v>1631</v>
      </c>
      <c r="L159" s="470">
        <v>405709</v>
      </c>
      <c r="M159" s="451">
        <v>1500000</v>
      </c>
      <c r="N159" s="639"/>
      <c r="O159" s="639"/>
      <c r="P159" s="639"/>
      <c r="Q159" s="640"/>
      <c r="R159" s="641"/>
      <c r="S159" s="639"/>
      <c r="T159" s="639"/>
      <c r="U159" s="642">
        <v>4500000</v>
      </c>
      <c r="V159" s="332"/>
    </row>
    <row r="160" spans="1:22" s="190" customFormat="1" ht="32.25" customHeight="1" x14ac:dyDescent="0.2">
      <c r="A160" s="446">
        <v>144</v>
      </c>
      <c r="B160" s="649">
        <v>45970</v>
      </c>
      <c r="C160" s="457" t="s">
        <v>527</v>
      </c>
      <c r="D160" s="636"/>
      <c r="E160" s="468">
        <v>1</v>
      </c>
      <c r="F160" s="457" t="s">
        <v>531</v>
      </c>
      <c r="G160" s="646" t="s">
        <v>222</v>
      </c>
      <c r="H160" s="648" t="s">
        <v>180</v>
      </c>
      <c r="I160" s="637" t="s">
        <v>181</v>
      </c>
      <c r="J160" s="457" t="s">
        <v>39</v>
      </c>
      <c r="K160" s="457" t="s">
        <v>1631</v>
      </c>
      <c r="L160" s="638">
        <v>405719</v>
      </c>
      <c r="M160" s="451">
        <v>1500000</v>
      </c>
      <c r="N160" s="639"/>
      <c r="O160" s="639"/>
      <c r="P160" s="639"/>
      <c r="Q160" s="640"/>
      <c r="R160" s="641"/>
      <c r="S160" s="639"/>
      <c r="T160" s="639"/>
      <c r="U160" s="642">
        <v>4500000</v>
      </c>
      <c r="V160" s="332"/>
    </row>
    <row r="161" spans="1:22" s="190" customFormat="1" ht="32.25" customHeight="1" x14ac:dyDescent="0.2">
      <c r="A161" s="446">
        <v>145</v>
      </c>
      <c r="B161" s="649">
        <v>45970</v>
      </c>
      <c r="C161" s="457" t="s">
        <v>527</v>
      </c>
      <c r="D161" s="636"/>
      <c r="E161" s="468">
        <v>1</v>
      </c>
      <c r="F161" s="457" t="s">
        <v>533</v>
      </c>
      <c r="G161" s="646" t="s">
        <v>228</v>
      </c>
      <c r="H161" s="648" t="s">
        <v>180</v>
      </c>
      <c r="I161" s="637" t="s">
        <v>181</v>
      </c>
      <c r="J161" s="457" t="s">
        <v>39</v>
      </c>
      <c r="K161" s="457" t="s">
        <v>1631</v>
      </c>
      <c r="L161" s="638">
        <v>405922</v>
      </c>
      <c r="M161" s="451">
        <v>1500000</v>
      </c>
      <c r="N161" s="639"/>
      <c r="O161" s="639"/>
      <c r="P161" s="639"/>
      <c r="Q161" s="640"/>
      <c r="R161" s="641"/>
      <c r="S161" s="639"/>
      <c r="T161" s="639"/>
      <c r="U161" s="642">
        <v>4500000</v>
      </c>
      <c r="V161" s="332"/>
    </row>
    <row r="162" spans="1:22" s="190" customFormat="1" ht="32.25" customHeight="1" x14ac:dyDescent="0.2">
      <c r="A162" s="446">
        <v>146</v>
      </c>
      <c r="B162" s="649">
        <v>45970</v>
      </c>
      <c r="C162" s="457" t="s">
        <v>535</v>
      </c>
      <c r="D162" s="636"/>
      <c r="E162" s="468">
        <v>1</v>
      </c>
      <c r="F162" s="457" t="s">
        <v>536</v>
      </c>
      <c r="G162" s="457" t="s">
        <v>210</v>
      </c>
      <c r="H162" s="449" t="s">
        <v>172</v>
      </c>
      <c r="I162" s="637" t="s">
        <v>173</v>
      </c>
      <c r="J162" s="457" t="s">
        <v>1642</v>
      </c>
      <c r="K162" s="655" t="s">
        <v>39</v>
      </c>
      <c r="L162" s="457"/>
      <c r="M162" s="451" t="s">
        <v>1643</v>
      </c>
      <c r="N162" s="639"/>
      <c r="O162" s="639"/>
      <c r="P162" s="639"/>
      <c r="Q162" s="640"/>
      <c r="R162" s="641"/>
      <c r="S162" s="639"/>
      <c r="T162" s="639"/>
      <c r="U162" s="642">
        <v>2700000</v>
      </c>
      <c r="V162" s="332"/>
    </row>
    <row r="163" spans="1:22" s="190" customFormat="1" ht="32.25" customHeight="1" x14ac:dyDescent="0.2">
      <c r="A163" s="446">
        <v>147</v>
      </c>
      <c r="B163" s="649">
        <v>45970</v>
      </c>
      <c r="C163" s="463" t="s">
        <v>535</v>
      </c>
      <c r="D163" s="644"/>
      <c r="E163" s="645">
        <v>1</v>
      </c>
      <c r="F163" s="463" t="s">
        <v>538</v>
      </c>
      <c r="G163" s="457" t="s">
        <v>302</v>
      </c>
      <c r="H163" s="449" t="s">
        <v>172</v>
      </c>
      <c r="I163" s="647" t="s">
        <v>173</v>
      </c>
      <c r="J163" s="463" t="s">
        <v>1642</v>
      </c>
      <c r="K163" s="661" t="s">
        <v>39</v>
      </c>
      <c r="L163" s="457"/>
      <c r="M163" s="451" t="s">
        <v>1643</v>
      </c>
      <c r="N163" s="639"/>
      <c r="O163" s="639"/>
      <c r="P163" s="639"/>
      <c r="Q163" s="640"/>
      <c r="R163" s="641"/>
      <c r="S163" s="639"/>
      <c r="T163" s="639"/>
      <c r="U163" s="642">
        <v>2700000</v>
      </c>
      <c r="V163" s="332"/>
    </row>
    <row r="164" spans="1:22" s="190" customFormat="1" ht="32.25" customHeight="1" x14ac:dyDescent="0.2">
      <c r="A164" s="446">
        <v>148</v>
      </c>
      <c r="B164" s="662">
        <v>45970</v>
      </c>
      <c r="C164" s="468" t="s">
        <v>539</v>
      </c>
      <c r="D164" s="468"/>
      <c r="E164" s="468">
        <v>1</v>
      </c>
      <c r="F164" s="457" t="s">
        <v>540</v>
      </c>
      <c r="G164" s="646" t="s">
        <v>308</v>
      </c>
      <c r="H164" s="648" t="s">
        <v>180</v>
      </c>
      <c r="I164" s="637" t="s">
        <v>181</v>
      </c>
      <c r="J164" s="457" t="s">
        <v>39</v>
      </c>
      <c r="K164" s="457" t="s">
        <v>1629</v>
      </c>
      <c r="L164" s="638">
        <v>127761</v>
      </c>
      <c r="M164" s="451">
        <v>1500000</v>
      </c>
      <c r="N164" s="639"/>
      <c r="O164" s="639"/>
      <c r="P164" s="639"/>
      <c r="Q164" s="640"/>
      <c r="R164" s="641">
        <v>2400000</v>
      </c>
      <c r="S164" s="639"/>
      <c r="T164" s="639"/>
      <c r="U164" s="642">
        <v>4500000</v>
      </c>
      <c r="V164" s="332"/>
    </row>
    <row r="165" spans="1:22" s="190" customFormat="1" ht="32.25" customHeight="1" x14ac:dyDescent="0.2">
      <c r="A165" s="446">
        <v>149</v>
      </c>
      <c r="B165" s="662">
        <v>45970</v>
      </c>
      <c r="C165" s="468" t="s">
        <v>539</v>
      </c>
      <c r="D165" s="636"/>
      <c r="E165" s="468">
        <v>1</v>
      </c>
      <c r="F165" s="457" t="s">
        <v>542</v>
      </c>
      <c r="G165" s="457" t="s">
        <v>198</v>
      </c>
      <c r="H165" s="648" t="s">
        <v>180</v>
      </c>
      <c r="I165" s="637" t="s">
        <v>181</v>
      </c>
      <c r="J165" s="457" t="s">
        <v>39</v>
      </c>
      <c r="K165" s="457" t="s">
        <v>1629</v>
      </c>
      <c r="L165" s="638">
        <v>127904</v>
      </c>
      <c r="M165" s="451">
        <v>1500000</v>
      </c>
      <c r="N165" s="639"/>
      <c r="O165" s="639"/>
      <c r="P165" s="639"/>
      <c r="Q165" s="640"/>
      <c r="R165" s="641">
        <v>3500000</v>
      </c>
      <c r="S165" s="639"/>
      <c r="T165" s="639"/>
      <c r="U165" s="642">
        <v>4500000</v>
      </c>
      <c r="V165" s="332"/>
    </row>
    <row r="166" spans="1:22" s="190" customFormat="1" ht="32.25" customHeight="1" x14ac:dyDescent="0.2">
      <c r="A166" s="446">
        <v>150</v>
      </c>
      <c r="B166" s="662">
        <v>45970</v>
      </c>
      <c r="C166" s="645" t="s">
        <v>539</v>
      </c>
      <c r="D166" s="644"/>
      <c r="E166" s="645">
        <v>1</v>
      </c>
      <c r="F166" s="463" t="s">
        <v>544</v>
      </c>
      <c r="G166" s="457" t="s">
        <v>194</v>
      </c>
      <c r="H166" s="658" t="s">
        <v>180</v>
      </c>
      <c r="I166" s="647" t="s">
        <v>181</v>
      </c>
      <c r="J166" s="463" t="s">
        <v>39</v>
      </c>
      <c r="K166" s="463" t="s">
        <v>1629</v>
      </c>
      <c r="L166" s="638">
        <v>127778</v>
      </c>
      <c r="M166" s="451">
        <v>1500000</v>
      </c>
      <c r="N166" s="639"/>
      <c r="O166" s="639"/>
      <c r="P166" s="639"/>
      <c r="Q166" s="640"/>
      <c r="R166" s="641"/>
      <c r="S166" s="639"/>
      <c r="T166" s="639"/>
      <c r="U166" s="642">
        <v>4500000</v>
      </c>
      <c r="V166" s="332"/>
    </row>
    <row r="167" spans="1:22" s="190" customFormat="1" ht="32.25" customHeight="1" x14ac:dyDescent="0.2">
      <c r="A167" s="446">
        <v>151</v>
      </c>
      <c r="B167" s="662">
        <v>45970</v>
      </c>
      <c r="C167" s="645" t="s">
        <v>546</v>
      </c>
      <c r="D167" s="645"/>
      <c r="E167" s="645">
        <v>1</v>
      </c>
      <c r="F167" s="463" t="s">
        <v>547</v>
      </c>
      <c r="G167" s="646" t="s">
        <v>171</v>
      </c>
      <c r="H167" s="658" t="s">
        <v>1632</v>
      </c>
      <c r="I167" s="663" t="s">
        <v>256</v>
      </c>
      <c r="J167" s="463" t="s">
        <v>39</v>
      </c>
      <c r="K167" s="645" t="s">
        <v>201</v>
      </c>
      <c r="L167" s="457">
        <v>30274</v>
      </c>
      <c r="M167" s="451">
        <v>1566000</v>
      </c>
      <c r="N167" s="639"/>
      <c r="O167" s="639"/>
      <c r="P167" s="639"/>
      <c r="Q167" s="640"/>
      <c r="R167" s="641"/>
      <c r="S167" s="639"/>
      <c r="T167" s="639"/>
      <c r="U167" s="642">
        <v>4500000</v>
      </c>
      <c r="V167" s="332"/>
    </row>
    <row r="168" spans="1:22" s="190" customFormat="1" ht="32.25" customHeight="1" x14ac:dyDescent="0.2">
      <c r="A168" s="446">
        <v>152</v>
      </c>
      <c r="B168" s="662">
        <v>45970</v>
      </c>
      <c r="C168" s="457" t="s">
        <v>548</v>
      </c>
      <c r="D168" s="468"/>
      <c r="E168" s="468">
        <v>1</v>
      </c>
      <c r="F168" s="457" t="s">
        <v>549</v>
      </c>
      <c r="G168" s="457" t="s">
        <v>248</v>
      </c>
      <c r="H168" s="457" t="s">
        <v>180</v>
      </c>
      <c r="I168" s="637" t="s">
        <v>181</v>
      </c>
      <c r="J168" s="457" t="s">
        <v>39</v>
      </c>
      <c r="K168" s="468" t="s">
        <v>1644</v>
      </c>
      <c r="L168" s="457">
        <v>7577</v>
      </c>
      <c r="M168" s="451">
        <v>1500000</v>
      </c>
      <c r="N168" s="639"/>
      <c r="O168" s="639"/>
      <c r="P168" s="639"/>
      <c r="Q168" s="640"/>
      <c r="R168" s="641"/>
      <c r="S168" s="639"/>
      <c r="T168" s="639"/>
      <c r="U168" s="642">
        <v>4500000</v>
      </c>
      <c r="V168" s="332"/>
    </row>
    <row r="169" spans="1:22" s="190" customFormat="1" ht="32.25" customHeight="1" x14ac:dyDescent="0.2">
      <c r="A169" s="446">
        <v>153</v>
      </c>
      <c r="B169" s="662">
        <v>45970</v>
      </c>
      <c r="C169" s="457" t="s">
        <v>548</v>
      </c>
      <c r="D169" s="468"/>
      <c r="E169" s="468">
        <v>1</v>
      </c>
      <c r="F169" s="457" t="s">
        <v>551</v>
      </c>
      <c r="G169" s="457" t="s">
        <v>552</v>
      </c>
      <c r="H169" s="457" t="s">
        <v>180</v>
      </c>
      <c r="I169" s="637" t="s">
        <v>181</v>
      </c>
      <c r="J169" s="457" t="s">
        <v>39</v>
      </c>
      <c r="K169" s="468" t="s">
        <v>1644</v>
      </c>
      <c r="L169" s="457">
        <v>7579</v>
      </c>
      <c r="M169" s="451">
        <v>1500000</v>
      </c>
      <c r="N169" s="639"/>
      <c r="O169" s="639"/>
      <c r="P169" s="639"/>
      <c r="Q169" s="640"/>
      <c r="R169" s="641"/>
      <c r="S169" s="639"/>
      <c r="T169" s="639"/>
      <c r="U169" s="642">
        <v>4500000</v>
      </c>
      <c r="V169" s="332"/>
    </row>
    <row r="170" spans="1:22" s="190" customFormat="1" ht="32.25" customHeight="1" x14ac:dyDescent="0.2">
      <c r="A170" s="446">
        <v>154</v>
      </c>
      <c r="B170" s="662">
        <v>45970</v>
      </c>
      <c r="C170" s="457" t="s">
        <v>548</v>
      </c>
      <c r="D170" s="468"/>
      <c r="E170" s="468">
        <v>1</v>
      </c>
      <c r="F170" s="457" t="s">
        <v>553</v>
      </c>
      <c r="G170" s="457" t="s">
        <v>323</v>
      </c>
      <c r="H170" s="457" t="s">
        <v>180</v>
      </c>
      <c r="I170" s="637" t="s">
        <v>181</v>
      </c>
      <c r="J170" s="457" t="s">
        <v>39</v>
      </c>
      <c r="K170" s="468" t="s">
        <v>1644</v>
      </c>
      <c r="L170" s="457">
        <v>7585</v>
      </c>
      <c r="M170" s="451">
        <v>1500000</v>
      </c>
      <c r="N170" s="639"/>
      <c r="O170" s="639"/>
      <c r="P170" s="639"/>
      <c r="Q170" s="640"/>
      <c r="R170" s="641"/>
      <c r="S170" s="639"/>
      <c r="T170" s="639"/>
      <c r="U170" s="642">
        <v>4500000</v>
      </c>
      <c r="V170" s="332"/>
    </row>
    <row r="171" spans="1:22" s="190" customFormat="1" ht="32.25" customHeight="1" x14ac:dyDescent="0.2">
      <c r="A171" s="446">
        <v>155</v>
      </c>
      <c r="B171" s="662">
        <v>45970</v>
      </c>
      <c r="C171" s="651" t="s">
        <v>554</v>
      </c>
      <c r="D171" s="664"/>
      <c r="E171" s="664">
        <v>1</v>
      </c>
      <c r="F171" s="655" t="s">
        <v>555</v>
      </c>
      <c r="G171" s="655" t="s">
        <v>556</v>
      </c>
      <c r="H171" s="655" t="s">
        <v>180</v>
      </c>
      <c r="I171" s="665" t="s">
        <v>181</v>
      </c>
      <c r="J171" s="655" t="s">
        <v>39</v>
      </c>
      <c r="K171" s="655" t="s">
        <v>1645</v>
      </c>
      <c r="L171" s="638">
        <v>70563</v>
      </c>
      <c r="M171" s="451">
        <v>1500000</v>
      </c>
      <c r="N171" s="639"/>
      <c r="O171" s="639"/>
      <c r="P171" s="639"/>
      <c r="Q171" s="640"/>
      <c r="R171" s="641"/>
      <c r="S171" s="639"/>
      <c r="T171" s="639"/>
      <c r="U171" s="642">
        <v>4500000</v>
      </c>
      <c r="V171" s="332"/>
    </row>
    <row r="172" spans="1:22" s="190" customFormat="1" ht="32.25" customHeight="1" x14ac:dyDescent="0.2">
      <c r="A172" s="446">
        <v>156</v>
      </c>
      <c r="B172" s="662">
        <v>45970</v>
      </c>
      <c r="C172" s="468" t="s">
        <v>554</v>
      </c>
      <c r="D172" s="645"/>
      <c r="E172" s="645">
        <v>1</v>
      </c>
      <c r="F172" s="457" t="s">
        <v>559</v>
      </c>
      <c r="G172" s="457" t="s">
        <v>560</v>
      </c>
      <c r="H172" s="655" t="s">
        <v>180</v>
      </c>
      <c r="I172" s="637" t="s">
        <v>181</v>
      </c>
      <c r="J172" s="457" t="s">
        <v>39</v>
      </c>
      <c r="K172" s="655" t="s">
        <v>1645</v>
      </c>
      <c r="L172" s="638">
        <v>70809</v>
      </c>
      <c r="M172" s="451">
        <v>1500000</v>
      </c>
      <c r="N172" s="639"/>
      <c r="O172" s="639"/>
      <c r="P172" s="639"/>
      <c r="Q172" s="640"/>
      <c r="R172" s="641"/>
      <c r="S172" s="639"/>
      <c r="T172" s="639"/>
      <c r="U172" s="642">
        <v>4500000</v>
      </c>
      <c r="V172" s="332"/>
    </row>
    <row r="173" spans="1:22" s="190" customFormat="1" ht="32.25" customHeight="1" x14ac:dyDescent="0.2">
      <c r="A173" s="446">
        <v>157</v>
      </c>
      <c r="B173" s="662">
        <v>45970</v>
      </c>
      <c r="C173" s="468" t="s">
        <v>554</v>
      </c>
      <c r="D173" s="645"/>
      <c r="E173" s="645">
        <v>1</v>
      </c>
      <c r="F173" s="457" t="s">
        <v>562</v>
      </c>
      <c r="G173" s="457" t="s">
        <v>563</v>
      </c>
      <c r="H173" s="655" t="s">
        <v>180</v>
      </c>
      <c r="I173" s="637" t="s">
        <v>181</v>
      </c>
      <c r="J173" s="457" t="s">
        <v>39</v>
      </c>
      <c r="K173" s="655" t="s">
        <v>1645</v>
      </c>
      <c r="L173" s="638">
        <v>70609</v>
      </c>
      <c r="M173" s="451">
        <v>1500000</v>
      </c>
      <c r="N173" s="639"/>
      <c r="O173" s="639"/>
      <c r="P173" s="639"/>
      <c r="Q173" s="640"/>
      <c r="R173" s="641"/>
      <c r="S173" s="639"/>
      <c r="T173" s="639"/>
      <c r="U173" s="642">
        <v>4500000</v>
      </c>
      <c r="V173" s="332"/>
    </row>
    <row r="174" spans="1:22" s="190" customFormat="1" ht="32.25" customHeight="1" x14ac:dyDescent="0.2">
      <c r="A174" s="446">
        <v>158</v>
      </c>
      <c r="B174" s="662">
        <v>45970</v>
      </c>
      <c r="C174" s="468" t="s">
        <v>554</v>
      </c>
      <c r="D174" s="645"/>
      <c r="E174" s="645">
        <v>1</v>
      </c>
      <c r="F174" s="457" t="s">
        <v>565</v>
      </c>
      <c r="G174" s="457" t="s">
        <v>566</v>
      </c>
      <c r="H174" s="655" t="s">
        <v>180</v>
      </c>
      <c r="I174" s="637" t="s">
        <v>181</v>
      </c>
      <c r="J174" s="457" t="s">
        <v>39</v>
      </c>
      <c r="K174" s="655" t="s">
        <v>1645</v>
      </c>
      <c r="L174" s="638">
        <v>70504</v>
      </c>
      <c r="M174" s="451">
        <v>1500000</v>
      </c>
      <c r="N174" s="639"/>
      <c r="O174" s="639"/>
      <c r="P174" s="639"/>
      <c r="Q174" s="640"/>
      <c r="R174" s="641"/>
      <c r="S174" s="639"/>
      <c r="T174" s="639"/>
      <c r="U174" s="642">
        <v>4500000</v>
      </c>
      <c r="V174" s="332"/>
    </row>
    <row r="175" spans="1:22" s="190" customFormat="1" ht="32.25" customHeight="1" x14ac:dyDescent="0.2">
      <c r="A175" s="446">
        <v>159</v>
      </c>
      <c r="B175" s="662">
        <v>45970</v>
      </c>
      <c r="C175" s="468" t="s">
        <v>554</v>
      </c>
      <c r="D175" s="468"/>
      <c r="E175" s="645">
        <v>1</v>
      </c>
      <c r="F175" s="457" t="s">
        <v>568</v>
      </c>
      <c r="G175" s="646" t="s">
        <v>569</v>
      </c>
      <c r="H175" s="655" t="s">
        <v>180</v>
      </c>
      <c r="I175" s="637" t="s">
        <v>181</v>
      </c>
      <c r="J175" s="457" t="s">
        <v>39</v>
      </c>
      <c r="K175" s="655" t="s">
        <v>1645</v>
      </c>
      <c r="L175" s="457">
        <v>70430</v>
      </c>
      <c r="M175" s="451">
        <v>1500000</v>
      </c>
      <c r="N175" s="639"/>
      <c r="O175" s="639"/>
      <c r="P175" s="639"/>
      <c r="Q175" s="640"/>
      <c r="R175" s="641"/>
      <c r="S175" s="639"/>
      <c r="T175" s="639"/>
      <c r="U175" s="642">
        <v>4500000</v>
      </c>
      <c r="V175" s="332"/>
    </row>
    <row r="176" spans="1:22" s="190" customFormat="1" ht="32.25" customHeight="1" x14ac:dyDescent="0.2">
      <c r="A176" s="446">
        <v>160</v>
      </c>
      <c r="B176" s="635">
        <v>45970</v>
      </c>
      <c r="C176" s="457" t="s">
        <v>570</v>
      </c>
      <c r="D176" s="636"/>
      <c r="E176" s="468">
        <v>1</v>
      </c>
      <c r="F176" s="457" t="s">
        <v>571</v>
      </c>
      <c r="G176" s="457" t="s">
        <v>287</v>
      </c>
      <c r="H176" s="457" t="s">
        <v>1632</v>
      </c>
      <c r="I176" s="654" t="s">
        <v>256</v>
      </c>
      <c r="J176" s="457" t="s">
        <v>39</v>
      </c>
      <c r="K176" s="468" t="s">
        <v>201</v>
      </c>
      <c r="L176" s="638">
        <v>30292</v>
      </c>
      <c r="M176" s="451">
        <v>1566000</v>
      </c>
      <c r="N176" s="639"/>
      <c r="O176" s="639"/>
      <c r="P176" s="639"/>
      <c r="Q176" s="640"/>
      <c r="R176" s="641"/>
      <c r="S176" s="639"/>
      <c r="T176" s="639"/>
      <c r="U176" s="642">
        <v>4500000</v>
      </c>
      <c r="V176" s="332"/>
    </row>
    <row r="177" spans="1:22" s="190" customFormat="1" ht="32.25" customHeight="1" x14ac:dyDescent="0.2">
      <c r="A177" s="446">
        <v>161</v>
      </c>
      <c r="B177" s="635">
        <v>45970</v>
      </c>
      <c r="C177" s="457" t="s">
        <v>570</v>
      </c>
      <c r="D177" s="636"/>
      <c r="E177" s="468">
        <v>1</v>
      </c>
      <c r="F177" s="468" t="s">
        <v>573</v>
      </c>
      <c r="G177" s="457" t="s">
        <v>262</v>
      </c>
      <c r="H177" s="457" t="s">
        <v>1632</v>
      </c>
      <c r="I177" s="654" t="s">
        <v>256</v>
      </c>
      <c r="J177" s="457" t="s">
        <v>39</v>
      </c>
      <c r="K177" s="468" t="s">
        <v>201</v>
      </c>
      <c r="L177" s="638">
        <v>30290</v>
      </c>
      <c r="M177" s="451">
        <v>1566000</v>
      </c>
      <c r="N177" s="639"/>
      <c r="O177" s="639"/>
      <c r="P177" s="639"/>
      <c r="Q177" s="640"/>
      <c r="R177" s="641">
        <v>1000000</v>
      </c>
      <c r="S177" s="639"/>
      <c r="T177" s="639"/>
      <c r="U177" s="642">
        <v>4500000</v>
      </c>
      <c r="V177" s="332"/>
    </row>
    <row r="178" spans="1:22" s="190" customFormat="1" ht="32.25" customHeight="1" x14ac:dyDescent="0.2">
      <c r="A178" s="446">
        <v>162</v>
      </c>
      <c r="B178" s="635">
        <v>45970</v>
      </c>
      <c r="C178" s="457" t="s">
        <v>570</v>
      </c>
      <c r="D178" s="636"/>
      <c r="E178" s="468">
        <v>1</v>
      </c>
      <c r="F178" s="457" t="s">
        <v>575</v>
      </c>
      <c r="G178" s="457" t="s">
        <v>576</v>
      </c>
      <c r="H178" s="457" t="s">
        <v>1632</v>
      </c>
      <c r="I178" s="654" t="s">
        <v>256</v>
      </c>
      <c r="J178" s="457" t="s">
        <v>39</v>
      </c>
      <c r="K178" s="468" t="s">
        <v>201</v>
      </c>
      <c r="L178" s="638">
        <v>30296</v>
      </c>
      <c r="M178" s="451">
        <v>1566000</v>
      </c>
      <c r="N178" s="639"/>
      <c r="O178" s="639"/>
      <c r="P178" s="639"/>
      <c r="Q178" s="640"/>
      <c r="R178" s="641"/>
      <c r="S178" s="639"/>
      <c r="T178" s="639"/>
      <c r="U178" s="642">
        <v>4500000</v>
      </c>
      <c r="V178" s="332"/>
    </row>
    <row r="179" spans="1:22" s="190" customFormat="1" ht="32.25" customHeight="1" x14ac:dyDescent="0.2">
      <c r="A179" s="446">
        <v>163</v>
      </c>
      <c r="B179" s="635">
        <v>45971</v>
      </c>
      <c r="C179" s="457">
        <v>261614124</v>
      </c>
      <c r="D179" s="636"/>
      <c r="E179" s="468">
        <v>1</v>
      </c>
      <c r="F179" s="457" t="s">
        <v>578</v>
      </c>
      <c r="G179" s="646" t="s">
        <v>171</v>
      </c>
      <c r="H179" s="449" t="s">
        <v>172</v>
      </c>
      <c r="I179" s="637" t="s">
        <v>173</v>
      </c>
      <c r="J179" s="457" t="s">
        <v>1633</v>
      </c>
      <c r="K179" s="468" t="s">
        <v>39</v>
      </c>
      <c r="L179" s="638">
        <v>222516</v>
      </c>
      <c r="M179" s="451">
        <v>1500000</v>
      </c>
      <c r="N179" s="639"/>
      <c r="O179" s="639"/>
      <c r="P179" s="639"/>
      <c r="Q179" s="640"/>
      <c r="R179" s="641"/>
      <c r="S179" s="639"/>
      <c r="T179" s="639"/>
      <c r="U179" s="642">
        <v>2700000</v>
      </c>
      <c r="V179" s="332"/>
    </row>
    <row r="180" spans="1:22" s="190" customFormat="1" ht="32.25" customHeight="1" x14ac:dyDescent="0.2">
      <c r="A180" s="446">
        <v>164</v>
      </c>
      <c r="B180" s="635">
        <v>45971</v>
      </c>
      <c r="C180" s="457">
        <v>261614124</v>
      </c>
      <c r="D180" s="636"/>
      <c r="E180" s="468">
        <v>1</v>
      </c>
      <c r="F180" s="457" t="s">
        <v>580</v>
      </c>
      <c r="G180" s="646" t="s">
        <v>171</v>
      </c>
      <c r="H180" s="449" t="s">
        <v>172</v>
      </c>
      <c r="I180" s="637" t="s">
        <v>173</v>
      </c>
      <c r="J180" s="457" t="s">
        <v>1633</v>
      </c>
      <c r="K180" s="468" t="s">
        <v>39</v>
      </c>
      <c r="L180" s="638">
        <v>222475</v>
      </c>
      <c r="M180" s="451">
        <v>1500000</v>
      </c>
      <c r="N180" s="639"/>
      <c r="O180" s="639"/>
      <c r="P180" s="639"/>
      <c r="Q180" s="640"/>
      <c r="R180" s="641"/>
      <c r="S180" s="639"/>
      <c r="T180" s="639"/>
      <c r="U180" s="642">
        <v>2700000</v>
      </c>
      <c r="V180" s="332"/>
    </row>
    <row r="181" spans="1:22" s="190" customFormat="1" ht="32.25" customHeight="1" x14ac:dyDescent="0.2">
      <c r="A181" s="446">
        <v>165</v>
      </c>
      <c r="B181" s="635">
        <v>45971</v>
      </c>
      <c r="C181" s="457">
        <v>261614124</v>
      </c>
      <c r="D181" s="636"/>
      <c r="E181" s="468">
        <v>1</v>
      </c>
      <c r="F181" s="457" t="s">
        <v>582</v>
      </c>
      <c r="G181" s="457" t="s">
        <v>305</v>
      </c>
      <c r="H181" s="449" t="s">
        <v>172</v>
      </c>
      <c r="I181" s="637" t="s">
        <v>173</v>
      </c>
      <c r="J181" s="457" t="s">
        <v>1633</v>
      </c>
      <c r="K181" s="468" t="s">
        <v>39</v>
      </c>
      <c r="L181" s="638">
        <v>222476</v>
      </c>
      <c r="M181" s="451">
        <v>1500000</v>
      </c>
      <c r="N181" s="639"/>
      <c r="O181" s="639"/>
      <c r="P181" s="639"/>
      <c r="Q181" s="640"/>
      <c r="R181" s="641"/>
      <c r="S181" s="639"/>
      <c r="T181" s="639"/>
      <c r="U181" s="642">
        <v>2700000</v>
      </c>
      <c r="V181" s="332"/>
    </row>
    <row r="182" spans="1:22" s="190" customFormat="1" ht="32.25" customHeight="1" x14ac:dyDescent="0.2">
      <c r="A182" s="446">
        <v>166</v>
      </c>
      <c r="B182" s="635">
        <v>45971</v>
      </c>
      <c r="C182" s="457">
        <v>261614124</v>
      </c>
      <c r="D182" s="636"/>
      <c r="E182" s="468">
        <v>1</v>
      </c>
      <c r="F182" s="457" t="s">
        <v>584</v>
      </c>
      <c r="G182" s="457" t="s">
        <v>225</v>
      </c>
      <c r="H182" s="449" t="s">
        <v>172</v>
      </c>
      <c r="I182" s="637" t="s">
        <v>173</v>
      </c>
      <c r="J182" s="457" t="s">
        <v>1633</v>
      </c>
      <c r="K182" s="468" t="s">
        <v>39</v>
      </c>
      <c r="L182" s="638">
        <v>222419</v>
      </c>
      <c r="M182" s="451">
        <v>1500000</v>
      </c>
      <c r="N182" s="639"/>
      <c r="O182" s="639"/>
      <c r="P182" s="639"/>
      <c r="Q182" s="640"/>
      <c r="R182" s="641"/>
      <c r="S182" s="639"/>
      <c r="T182" s="639"/>
      <c r="U182" s="642">
        <v>2700000</v>
      </c>
      <c r="V182" s="332"/>
    </row>
    <row r="183" spans="1:22" s="190" customFormat="1" ht="32.25" customHeight="1" x14ac:dyDescent="0.2">
      <c r="A183" s="446">
        <v>167</v>
      </c>
      <c r="B183" s="635">
        <v>45971</v>
      </c>
      <c r="C183" s="457">
        <v>261614124</v>
      </c>
      <c r="D183" s="636"/>
      <c r="E183" s="468">
        <v>1</v>
      </c>
      <c r="F183" s="468" t="s">
        <v>586</v>
      </c>
      <c r="G183" s="646" t="s">
        <v>308</v>
      </c>
      <c r="H183" s="449" t="s">
        <v>172</v>
      </c>
      <c r="I183" s="637" t="s">
        <v>173</v>
      </c>
      <c r="J183" s="457" t="s">
        <v>1633</v>
      </c>
      <c r="K183" s="468" t="s">
        <v>39</v>
      </c>
      <c r="L183" s="638">
        <v>222449</v>
      </c>
      <c r="M183" s="451">
        <v>1500000</v>
      </c>
      <c r="N183" s="639"/>
      <c r="O183" s="639"/>
      <c r="P183" s="639"/>
      <c r="Q183" s="640"/>
      <c r="R183" s="641"/>
      <c r="S183" s="639"/>
      <c r="T183" s="639"/>
      <c r="U183" s="642">
        <v>2700000</v>
      </c>
      <c r="V183" s="332"/>
    </row>
    <row r="184" spans="1:22" s="190" customFormat="1" ht="32.25" customHeight="1" x14ac:dyDescent="0.2">
      <c r="A184" s="446">
        <v>168</v>
      </c>
      <c r="B184" s="635">
        <v>45971</v>
      </c>
      <c r="C184" s="457">
        <v>2313829131</v>
      </c>
      <c r="D184" s="636"/>
      <c r="E184" s="468">
        <v>1</v>
      </c>
      <c r="F184" s="457" t="s">
        <v>588</v>
      </c>
      <c r="G184" s="457" t="s">
        <v>216</v>
      </c>
      <c r="H184" s="457" t="s">
        <v>199</v>
      </c>
      <c r="I184" s="637" t="s">
        <v>200</v>
      </c>
      <c r="J184" s="470" t="s">
        <v>1631</v>
      </c>
      <c r="K184" s="468" t="s">
        <v>39</v>
      </c>
      <c r="L184" s="457">
        <v>412273</v>
      </c>
      <c r="M184" s="451">
        <v>1500000</v>
      </c>
      <c r="N184" s="639"/>
      <c r="O184" s="639"/>
      <c r="P184" s="639"/>
      <c r="Q184" s="640"/>
      <c r="R184" s="641"/>
      <c r="S184" s="639"/>
      <c r="T184" s="639"/>
      <c r="U184" s="642">
        <v>4700000</v>
      </c>
      <c r="V184" s="332"/>
    </row>
    <row r="185" spans="1:22" s="190" customFormat="1" ht="32.25" customHeight="1" x14ac:dyDescent="0.2">
      <c r="A185" s="446">
        <v>169</v>
      </c>
      <c r="B185" s="635">
        <v>45971</v>
      </c>
      <c r="C185" s="457">
        <v>2313829131</v>
      </c>
      <c r="D185" s="636"/>
      <c r="E185" s="468">
        <v>1</v>
      </c>
      <c r="F185" s="457" t="s">
        <v>589</v>
      </c>
      <c r="G185" s="457" t="s">
        <v>354</v>
      </c>
      <c r="H185" s="457" t="s">
        <v>199</v>
      </c>
      <c r="I185" s="637" t="s">
        <v>200</v>
      </c>
      <c r="J185" s="470" t="s">
        <v>1631</v>
      </c>
      <c r="K185" s="651" t="s">
        <v>39</v>
      </c>
      <c r="L185" s="457">
        <v>406096</v>
      </c>
      <c r="M185" s="451">
        <v>1500000</v>
      </c>
      <c r="N185" s="639"/>
      <c r="O185" s="639"/>
      <c r="P185" s="639"/>
      <c r="Q185" s="640"/>
      <c r="R185" s="641"/>
      <c r="S185" s="639"/>
      <c r="T185" s="639"/>
      <c r="U185" s="642">
        <v>4700000</v>
      </c>
      <c r="V185" s="332"/>
    </row>
    <row r="186" spans="1:22" s="190" customFormat="1" ht="32.25" customHeight="1" x14ac:dyDescent="0.2">
      <c r="A186" s="446">
        <v>170</v>
      </c>
      <c r="B186" s="635">
        <v>45971</v>
      </c>
      <c r="C186" s="457">
        <v>261509029</v>
      </c>
      <c r="D186" s="636"/>
      <c r="E186" s="468">
        <v>1</v>
      </c>
      <c r="F186" s="457" t="s">
        <v>590</v>
      </c>
      <c r="G186" s="457" t="s">
        <v>591</v>
      </c>
      <c r="H186" s="457" t="s">
        <v>298</v>
      </c>
      <c r="I186" s="637" t="s">
        <v>299</v>
      </c>
      <c r="J186" s="651" t="s">
        <v>1637</v>
      </c>
      <c r="K186" s="651" t="s">
        <v>39</v>
      </c>
      <c r="L186" s="638">
        <v>125236</v>
      </c>
      <c r="M186" s="451">
        <v>1450000</v>
      </c>
      <c r="N186" s="639"/>
      <c r="O186" s="639"/>
      <c r="P186" s="639"/>
      <c r="Q186" s="640"/>
      <c r="R186" s="641"/>
      <c r="S186" s="639"/>
      <c r="T186" s="639"/>
      <c r="U186" s="642">
        <v>5300000</v>
      </c>
      <c r="V186" s="332"/>
    </row>
    <row r="187" spans="1:22" s="190" customFormat="1" ht="32.25" customHeight="1" x14ac:dyDescent="0.2">
      <c r="A187" s="446">
        <v>171</v>
      </c>
      <c r="B187" s="635">
        <v>45971</v>
      </c>
      <c r="C187" s="457">
        <v>261509029</v>
      </c>
      <c r="D187" s="636"/>
      <c r="E187" s="468">
        <v>1</v>
      </c>
      <c r="F187" s="457" t="s">
        <v>593</v>
      </c>
      <c r="G187" s="457" t="s">
        <v>219</v>
      </c>
      <c r="H187" s="457" t="s">
        <v>298</v>
      </c>
      <c r="I187" s="637" t="s">
        <v>299</v>
      </c>
      <c r="J187" s="651" t="s">
        <v>1637</v>
      </c>
      <c r="K187" s="651" t="s">
        <v>39</v>
      </c>
      <c r="L187" s="638">
        <v>125086</v>
      </c>
      <c r="M187" s="451">
        <v>1450000</v>
      </c>
      <c r="N187" s="639"/>
      <c r="O187" s="639"/>
      <c r="P187" s="639"/>
      <c r="Q187" s="640"/>
      <c r="R187" s="641"/>
      <c r="S187" s="639"/>
      <c r="T187" s="639"/>
      <c r="U187" s="642">
        <v>5300000</v>
      </c>
      <c r="V187" s="332"/>
    </row>
    <row r="188" spans="1:22" s="190" customFormat="1" ht="32.25" customHeight="1" x14ac:dyDescent="0.2">
      <c r="A188" s="446">
        <v>172</v>
      </c>
      <c r="B188" s="635">
        <v>45971</v>
      </c>
      <c r="C188" s="457">
        <v>261509029</v>
      </c>
      <c r="D188" s="636"/>
      <c r="E188" s="468">
        <v>1</v>
      </c>
      <c r="F188" s="457" t="s">
        <v>595</v>
      </c>
      <c r="G188" s="646" t="s">
        <v>171</v>
      </c>
      <c r="H188" s="457" t="s">
        <v>298</v>
      </c>
      <c r="I188" s="637" t="s">
        <v>299</v>
      </c>
      <c r="J188" s="651" t="s">
        <v>1637</v>
      </c>
      <c r="K188" s="651" t="s">
        <v>39</v>
      </c>
      <c r="L188" s="638">
        <v>125401</v>
      </c>
      <c r="M188" s="451">
        <v>1450000</v>
      </c>
      <c r="N188" s="639"/>
      <c r="O188" s="639"/>
      <c r="P188" s="639"/>
      <c r="Q188" s="640"/>
      <c r="R188" s="641"/>
      <c r="S188" s="639"/>
      <c r="T188" s="639"/>
      <c r="U188" s="642">
        <v>5300000</v>
      </c>
      <c r="V188" s="332"/>
    </row>
    <row r="189" spans="1:22" s="190" customFormat="1" ht="32.25" customHeight="1" x14ac:dyDescent="0.2">
      <c r="A189" s="446">
        <v>173</v>
      </c>
      <c r="B189" s="635">
        <v>45971</v>
      </c>
      <c r="C189" s="457">
        <v>261509029</v>
      </c>
      <c r="D189" s="636"/>
      <c r="E189" s="468">
        <v>1</v>
      </c>
      <c r="F189" s="457" t="s">
        <v>597</v>
      </c>
      <c r="G189" s="457" t="s">
        <v>207</v>
      </c>
      <c r="H189" s="457" t="s">
        <v>298</v>
      </c>
      <c r="I189" s="637" t="s">
        <v>299</v>
      </c>
      <c r="J189" s="651" t="s">
        <v>1637</v>
      </c>
      <c r="K189" s="651" t="s">
        <v>39</v>
      </c>
      <c r="L189" s="638">
        <v>125233</v>
      </c>
      <c r="M189" s="451">
        <v>1450000</v>
      </c>
      <c r="N189" s="639"/>
      <c r="O189" s="639"/>
      <c r="P189" s="639"/>
      <c r="Q189" s="640"/>
      <c r="R189" s="641"/>
      <c r="S189" s="639"/>
      <c r="T189" s="639"/>
      <c r="U189" s="642">
        <v>5300000</v>
      </c>
      <c r="V189" s="332"/>
    </row>
    <row r="190" spans="1:22" s="190" customFormat="1" ht="32.25" customHeight="1" x14ac:dyDescent="0.2">
      <c r="A190" s="446">
        <v>174</v>
      </c>
      <c r="B190" s="635">
        <v>45971</v>
      </c>
      <c r="C190" s="457">
        <v>261509029</v>
      </c>
      <c r="D190" s="636"/>
      <c r="E190" s="468">
        <v>1</v>
      </c>
      <c r="F190" s="457" t="s">
        <v>599</v>
      </c>
      <c r="G190" s="646" t="s">
        <v>222</v>
      </c>
      <c r="H190" s="457" t="s">
        <v>298</v>
      </c>
      <c r="I190" s="637" t="s">
        <v>299</v>
      </c>
      <c r="J190" s="651" t="s">
        <v>1637</v>
      </c>
      <c r="K190" s="651" t="s">
        <v>39</v>
      </c>
      <c r="L190" s="638">
        <v>125231</v>
      </c>
      <c r="M190" s="451">
        <v>1450000</v>
      </c>
      <c r="N190" s="639"/>
      <c r="O190" s="639"/>
      <c r="P190" s="639"/>
      <c r="Q190" s="640"/>
      <c r="R190" s="641"/>
      <c r="S190" s="639"/>
      <c r="T190" s="639"/>
      <c r="U190" s="642">
        <v>5300000</v>
      </c>
      <c r="V190" s="332"/>
    </row>
    <row r="191" spans="1:22" s="190" customFormat="1" ht="32.25" customHeight="1" x14ac:dyDescent="0.2">
      <c r="A191" s="446">
        <v>175</v>
      </c>
      <c r="B191" s="635">
        <v>45971</v>
      </c>
      <c r="C191" s="457">
        <v>261509311</v>
      </c>
      <c r="D191" s="636"/>
      <c r="E191" s="468">
        <v>1</v>
      </c>
      <c r="F191" s="468" t="s">
        <v>601</v>
      </c>
      <c r="G191" s="457" t="s">
        <v>341</v>
      </c>
      <c r="H191" s="457" t="s">
        <v>1632</v>
      </c>
      <c r="I191" s="654" t="s">
        <v>256</v>
      </c>
      <c r="J191" s="651" t="s">
        <v>1637</v>
      </c>
      <c r="K191" s="651" t="s">
        <v>39</v>
      </c>
      <c r="L191" s="638">
        <v>125150</v>
      </c>
      <c r="M191" s="451">
        <v>1450000</v>
      </c>
      <c r="N191" s="639"/>
      <c r="O191" s="639"/>
      <c r="P191" s="639"/>
      <c r="Q191" s="640"/>
      <c r="R191" s="641"/>
      <c r="S191" s="639">
        <v>500000</v>
      </c>
      <c r="T191" s="639"/>
      <c r="U191" s="642">
        <v>4500000</v>
      </c>
      <c r="V191" s="332"/>
    </row>
    <row r="192" spans="1:22" s="190" customFormat="1" ht="32.25" customHeight="1" x14ac:dyDescent="0.2">
      <c r="A192" s="446">
        <v>176</v>
      </c>
      <c r="B192" s="635">
        <v>45971</v>
      </c>
      <c r="C192" s="457">
        <v>261509311</v>
      </c>
      <c r="D192" s="636"/>
      <c r="E192" s="468">
        <v>1</v>
      </c>
      <c r="F192" s="457" t="s">
        <v>603</v>
      </c>
      <c r="G192" s="457" t="s">
        <v>604</v>
      </c>
      <c r="H192" s="457" t="s">
        <v>1632</v>
      </c>
      <c r="I192" s="654" t="s">
        <v>256</v>
      </c>
      <c r="J192" s="651" t="s">
        <v>1637</v>
      </c>
      <c r="K192" s="651" t="s">
        <v>39</v>
      </c>
      <c r="L192" s="638">
        <v>125304</v>
      </c>
      <c r="M192" s="451">
        <v>1450000</v>
      </c>
      <c r="N192" s="639"/>
      <c r="O192" s="639"/>
      <c r="P192" s="639"/>
      <c r="Q192" s="640"/>
      <c r="R192" s="641"/>
      <c r="S192" s="639">
        <v>500000</v>
      </c>
      <c r="T192" s="639"/>
      <c r="U192" s="642">
        <v>4500000</v>
      </c>
      <c r="V192" s="332"/>
    </row>
    <row r="193" spans="1:22" s="190" customFormat="1" ht="32.25" customHeight="1" x14ac:dyDescent="0.2">
      <c r="A193" s="446">
        <v>177</v>
      </c>
      <c r="B193" s="635">
        <v>45971</v>
      </c>
      <c r="C193" s="457">
        <v>261509311</v>
      </c>
      <c r="D193" s="636"/>
      <c r="E193" s="468">
        <v>1</v>
      </c>
      <c r="F193" s="457" t="s">
        <v>606</v>
      </c>
      <c r="G193" s="457" t="s">
        <v>287</v>
      </c>
      <c r="H193" s="457" t="s">
        <v>607</v>
      </c>
      <c r="I193" s="637" t="s">
        <v>608</v>
      </c>
      <c r="J193" s="651" t="s">
        <v>1637</v>
      </c>
      <c r="K193" s="651" t="s">
        <v>39</v>
      </c>
      <c r="L193" s="638">
        <v>125146</v>
      </c>
      <c r="M193" s="451">
        <v>1450000</v>
      </c>
      <c r="N193" s="639"/>
      <c r="O193" s="639"/>
      <c r="P193" s="639"/>
      <c r="Q193" s="640"/>
      <c r="R193" s="641"/>
      <c r="S193" s="639">
        <v>2000000</v>
      </c>
      <c r="T193" s="639"/>
      <c r="U193" s="642">
        <v>3300000</v>
      </c>
      <c r="V193" s="332"/>
    </row>
    <row r="194" spans="1:22" s="190" customFormat="1" ht="32.25" customHeight="1" x14ac:dyDescent="0.2">
      <c r="A194" s="446">
        <v>178</v>
      </c>
      <c r="B194" s="635">
        <v>45971</v>
      </c>
      <c r="C194" s="457">
        <v>261509311</v>
      </c>
      <c r="D194" s="636"/>
      <c r="E194" s="468">
        <v>1</v>
      </c>
      <c r="F194" s="457" t="s">
        <v>610</v>
      </c>
      <c r="G194" s="457" t="s">
        <v>262</v>
      </c>
      <c r="H194" s="457" t="s">
        <v>607</v>
      </c>
      <c r="I194" s="637" t="s">
        <v>608</v>
      </c>
      <c r="J194" s="651" t="s">
        <v>1637</v>
      </c>
      <c r="K194" s="651" t="s">
        <v>39</v>
      </c>
      <c r="L194" s="638">
        <v>125147</v>
      </c>
      <c r="M194" s="451">
        <v>1450000</v>
      </c>
      <c r="N194" s="639"/>
      <c r="O194" s="639"/>
      <c r="P194" s="639"/>
      <c r="Q194" s="640"/>
      <c r="R194" s="641"/>
      <c r="S194" s="639">
        <v>2000000</v>
      </c>
      <c r="T194" s="639"/>
      <c r="U194" s="642">
        <v>3300000</v>
      </c>
      <c r="V194" s="332"/>
    </row>
    <row r="195" spans="1:22" s="190" customFormat="1" ht="32.25" customHeight="1" x14ac:dyDescent="0.2">
      <c r="A195" s="446">
        <v>179</v>
      </c>
      <c r="B195" s="635">
        <v>45971</v>
      </c>
      <c r="C195" s="457">
        <v>261509311</v>
      </c>
      <c r="D195" s="636"/>
      <c r="E195" s="468">
        <v>1</v>
      </c>
      <c r="F195" s="457" t="s">
        <v>612</v>
      </c>
      <c r="G195" s="457" t="s">
        <v>284</v>
      </c>
      <c r="H195" s="457" t="s">
        <v>607</v>
      </c>
      <c r="I195" s="637" t="s">
        <v>608</v>
      </c>
      <c r="J195" s="651" t="s">
        <v>1637</v>
      </c>
      <c r="K195" s="651" t="s">
        <v>39</v>
      </c>
      <c r="L195" s="638">
        <v>125241</v>
      </c>
      <c r="M195" s="451">
        <v>1450000</v>
      </c>
      <c r="N195" s="639"/>
      <c r="O195" s="639"/>
      <c r="P195" s="639"/>
      <c r="Q195" s="640"/>
      <c r="R195" s="641"/>
      <c r="S195" s="639">
        <v>2000000</v>
      </c>
      <c r="T195" s="639"/>
      <c r="U195" s="642">
        <v>3300000</v>
      </c>
      <c r="V195" s="332"/>
    </row>
    <row r="196" spans="1:22" s="190" customFormat="1" ht="32.25" customHeight="1" x14ac:dyDescent="0.2">
      <c r="A196" s="446">
        <v>180</v>
      </c>
      <c r="B196" s="635">
        <v>45971</v>
      </c>
      <c r="C196" s="457">
        <v>261509311</v>
      </c>
      <c r="D196" s="636"/>
      <c r="E196" s="468">
        <v>1</v>
      </c>
      <c r="F196" s="457" t="s">
        <v>1137</v>
      </c>
      <c r="G196" s="457" t="s">
        <v>248</v>
      </c>
      <c r="H196" s="457" t="s">
        <v>607</v>
      </c>
      <c r="I196" s="637" t="s">
        <v>608</v>
      </c>
      <c r="J196" s="651" t="s">
        <v>1637</v>
      </c>
      <c r="K196" s="651" t="s">
        <v>39</v>
      </c>
      <c r="L196" s="638">
        <v>125181</v>
      </c>
      <c r="M196" s="451">
        <v>1450000</v>
      </c>
      <c r="N196" s="639"/>
      <c r="O196" s="639"/>
      <c r="P196" s="639"/>
      <c r="Q196" s="640"/>
      <c r="R196" s="641"/>
      <c r="S196" s="639">
        <v>2000000</v>
      </c>
      <c r="T196" s="639"/>
      <c r="U196" s="642">
        <v>3300000</v>
      </c>
      <c r="V196" s="332"/>
    </row>
    <row r="197" spans="1:22" s="190" customFormat="1" ht="32.25" customHeight="1" x14ac:dyDescent="0.2">
      <c r="A197" s="446">
        <v>181</v>
      </c>
      <c r="B197" s="635">
        <v>45971</v>
      </c>
      <c r="C197" s="468">
        <v>260736601</v>
      </c>
      <c r="D197" s="468"/>
      <c r="E197" s="468">
        <v>1</v>
      </c>
      <c r="F197" s="457" t="s">
        <v>615</v>
      </c>
      <c r="G197" s="457" t="s">
        <v>616</v>
      </c>
      <c r="H197" s="457" t="s">
        <v>180</v>
      </c>
      <c r="I197" s="637" t="s">
        <v>181</v>
      </c>
      <c r="J197" s="468" t="s">
        <v>39</v>
      </c>
      <c r="K197" s="468" t="s">
        <v>617</v>
      </c>
      <c r="L197" s="457">
        <v>223273</v>
      </c>
      <c r="M197" s="451">
        <v>1500000</v>
      </c>
      <c r="N197" s="639"/>
      <c r="O197" s="639"/>
      <c r="P197" s="639"/>
      <c r="Q197" s="640"/>
      <c r="R197" s="641"/>
      <c r="S197" s="639"/>
      <c r="T197" s="639">
        <v>260000</v>
      </c>
      <c r="U197" s="642">
        <v>4500000</v>
      </c>
      <c r="V197" s="332"/>
    </row>
    <row r="198" spans="1:22" s="190" customFormat="1" ht="32.25" customHeight="1" x14ac:dyDescent="0.2">
      <c r="A198" s="446">
        <v>182</v>
      </c>
      <c r="B198" s="635">
        <v>45972</v>
      </c>
      <c r="C198" s="468">
        <v>3801304051</v>
      </c>
      <c r="D198" s="468"/>
      <c r="E198" s="468">
        <v>1</v>
      </c>
      <c r="F198" s="457" t="s">
        <v>618</v>
      </c>
      <c r="G198" s="457" t="s">
        <v>619</v>
      </c>
      <c r="H198" s="457" t="s">
        <v>298</v>
      </c>
      <c r="I198" s="637" t="s">
        <v>299</v>
      </c>
      <c r="J198" s="468" t="s">
        <v>39</v>
      </c>
      <c r="K198" s="457" t="s">
        <v>1639</v>
      </c>
      <c r="L198" s="638">
        <v>7732</v>
      </c>
      <c r="M198" s="451">
        <v>1500000</v>
      </c>
      <c r="N198" s="639"/>
      <c r="O198" s="639"/>
      <c r="P198" s="639"/>
      <c r="Q198" s="640"/>
      <c r="R198" s="641"/>
      <c r="S198" s="639"/>
      <c r="T198" s="639"/>
      <c r="U198" s="642">
        <v>5300000</v>
      </c>
      <c r="V198" s="332"/>
    </row>
    <row r="199" spans="1:22" s="190" customFormat="1" ht="32.25" customHeight="1" x14ac:dyDescent="0.2">
      <c r="A199" s="446">
        <v>183</v>
      </c>
      <c r="B199" s="635">
        <v>45972</v>
      </c>
      <c r="C199" s="468">
        <v>3801304051</v>
      </c>
      <c r="D199" s="636"/>
      <c r="E199" s="468">
        <v>1</v>
      </c>
      <c r="F199" s="457" t="s">
        <v>621</v>
      </c>
      <c r="G199" s="457" t="s">
        <v>622</v>
      </c>
      <c r="H199" s="457" t="s">
        <v>298</v>
      </c>
      <c r="I199" s="637" t="s">
        <v>299</v>
      </c>
      <c r="J199" s="468" t="s">
        <v>39</v>
      </c>
      <c r="K199" s="457" t="s">
        <v>1639</v>
      </c>
      <c r="L199" s="638">
        <v>408744</v>
      </c>
      <c r="M199" s="451">
        <v>1500000</v>
      </c>
      <c r="N199" s="639"/>
      <c r="O199" s="639"/>
      <c r="P199" s="639"/>
      <c r="Q199" s="640"/>
      <c r="R199" s="641"/>
      <c r="S199" s="639"/>
      <c r="T199" s="639"/>
      <c r="U199" s="642">
        <v>5300000</v>
      </c>
      <c r="V199" s="332"/>
    </row>
    <row r="200" spans="1:22" s="190" customFormat="1" ht="32.25" customHeight="1" x14ac:dyDescent="0.2">
      <c r="A200" s="446">
        <v>184</v>
      </c>
      <c r="B200" s="635">
        <v>45972</v>
      </c>
      <c r="C200" s="468">
        <v>3801304051</v>
      </c>
      <c r="D200" s="636"/>
      <c r="E200" s="468">
        <v>1</v>
      </c>
      <c r="F200" s="457" t="s">
        <v>624</v>
      </c>
      <c r="G200" s="457" t="s">
        <v>225</v>
      </c>
      <c r="H200" s="457" t="s">
        <v>298</v>
      </c>
      <c r="I200" s="637" t="s">
        <v>299</v>
      </c>
      <c r="J200" s="468" t="s">
        <v>39</v>
      </c>
      <c r="K200" s="457" t="s">
        <v>1639</v>
      </c>
      <c r="L200" s="638">
        <v>407863</v>
      </c>
      <c r="M200" s="451">
        <v>1500000</v>
      </c>
      <c r="N200" s="639"/>
      <c r="O200" s="639"/>
      <c r="P200" s="639"/>
      <c r="Q200" s="640"/>
      <c r="R200" s="641"/>
      <c r="S200" s="639"/>
      <c r="T200" s="639"/>
      <c r="U200" s="642">
        <v>5300000</v>
      </c>
      <c r="V200" s="332"/>
    </row>
    <row r="201" spans="1:22" s="190" customFormat="1" ht="32.25" customHeight="1" x14ac:dyDescent="0.2">
      <c r="A201" s="446">
        <v>185</v>
      </c>
      <c r="B201" s="635">
        <v>45972</v>
      </c>
      <c r="C201" s="457">
        <v>257754105</v>
      </c>
      <c r="D201" s="468"/>
      <c r="E201" s="468">
        <v>1</v>
      </c>
      <c r="F201" s="457" t="s">
        <v>626</v>
      </c>
      <c r="G201" s="457" t="s">
        <v>305</v>
      </c>
      <c r="H201" s="457" t="s">
        <v>298</v>
      </c>
      <c r="I201" s="637" t="s">
        <v>299</v>
      </c>
      <c r="J201" s="651" t="s">
        <v>441</v>
      </c>
      <c r="K201" s="457" t="s">
        <v>1639</v>
      </c>
      <c r="L201" s="638" t="s">
        <v>627</v>
      </c>
      <c r="M201" s="451">
        <v>1500000</v>
      </c>
      <c r="N201" s="639"/>
      <c r="O201" s="639"/>
      <c r="P201" s="639"/>
      <c r="Q201" s="640"/>
      <c r="R201" s="641"/>
      <c r="S201" s="639"/>
      <c r="T201" s="639">
        <v>260000</v>
      </c>
      <c r="U201" s="642">
        <v>5300000</v>
      </c>
      <c r="V201" s="332"/>
    </row>
    <row r="202" spans="1:22" s="190" customFormat="1" ht="32.25" customHeight="1" x14ac:dyDescent="0.2">
      <c r="A202" s="446">
        <v>186</v>
      </c>
      <c r="B202" s="635">
        <v>45972</v>
      </c>
      <c r="C202" s="457">
        <v>257754105</v>
      </c>
      <c r="D202" s="636"/>
      <c r="E202" s="468">
        <v>1</v>
      </c>
      <c r="F202" s="457" t="s">
        <v>628</v>
      </c>
      <c r="G202" s="646" t="s">
        <v>222</v>
      </c>
      <c r="H202" s="457" t="s">
        <v>298</v>
      </c>
      <c r="I202" s="637" t="s">
        <v>299</v>
      </c>
      <c r="J202" s="651" t="s">
        <v>441</v>
      </c>
      <c r="K202" s="457" t="s">
        <v>1639</v>
      </c>
      <c r="L202" s="638" t="s">
        <v>629</v>
      </c>
      <c r="M202" s="451">
        <v>1500000</v>
      </c>
      <c r="N202" s="639"/>
      <c r="O202" s="639"/>
      <c r="P202" s="639"/>
      <c r="Q202" s="640"/>
      <c r="R202" s="641"/>
      <c r="S202" s="639"/>
      <c r="T202" s="639">
        <v>260000</v>
      </c>
      <c r="U202" s="642">
        <v>5300000</v>
      </c>
      <c r="V202" s="332"/>
    </row>
    <row r="203" spans="1:22" s="190" customFormat="1" ht="32.25" customHeight="1" x14ac:dyDescent="0.2">
      <c r="A203" s="446">
        <v>187</v>
      </c>
      <c r="B203" s="635">
        <v>45972</v>
      </c>
      <c r="C203" s="457">
        <v>257754105</v>
      </c>
      <c r="D203" s="636"/>
      <c r="E203" s="468">
        <v>1</v>
      </c>
      <c r="F203" s="468" t="s">
        <v>630</v>
      </c>
      <c r="G203" s="457" t="s">
        <v>204</v>
      </c>
      <c r="H203" s="457" t="s">
        <v>298</v>
      </c>
      <c r="I203" s="637" t="s">
        <v>299</v>
      </c>
      <c r="J203" s="651" t="s">
        <v>441</v>
      </c>
      <c r="K203" s="457" t="s">
        <v>1639</v>
      </c>
      <c r="L203" s="638" t="s">
        <v>631</v>
      </c>
      <c r="M203" s="451">
        <v>1500000</v>
      </c>
      <c r="N203" s="639"/>
      <c r="O203" s="639"/>
      <c r="P203" s="639"/>
      <c r="Q203" s="640"/>
      <c r="R203" s="641"/>
      <c r="S203" s="639"/>
      <c r="T203" s="639">
        <v>260000</v>
      </c>
      <c r="U203" s="642">
        <v>5300000</v>
      </c>
      <c r="V203" s="332"/>
    </row>
    <row r="204" spans="1:22" s="190" customFormat="1" ht="32.25" customHeight="1" x14ac:dyDescent="0.2">
      <c r="A204" s="446">
        <v>188</v>
      </c>
      <c r="B204" s="635">
        <v>45972</v>
      </c>
      <c r="C204" s="457" t="s">
        <v>632</v>
      </c>
      <c r="D204" s="636"/>
      <c r="E204" s="468">
        <v>1</v>
      </c>
      <c r="F204" s="457" t="s">
        <v>633</v>
      </c>
      <c r="G204" s="457" t="s">
        <v>302</v>
      </c>
      <c r="H204" s="457" t="s">
        <v>180</v>
      </c>
      <c r="I204" s="637" t="s">
        <v>181</v>
      </c>
      <c r="J204" s="468" t="s">
        <v>39</v>
      </c>
      <c r="K204" s="457" t="s">
        <v>1629</v>
      </c>
      <c r="L204" s="638">
        <v>128467</v>
      </c>
      <c r="M204" s="451">
        <v>1500000</v>
      </c>
      <c r="N204" s="639"/>
      <c r="O204" s="639"/>
      <c r="P204" s="639"/>
      <c r="Q204" s="640"/>
      <c r="R204" s="641"/>
      <c r="S204" s="639"/>
      <c r="T204" s="639"/>
      <c r="U204" s="642">
        <v>4500000</v>
      </c>
      <c r="V204" s="332"/>
    </row>
    <row r="205" spans="1:22" s="190" customFormat="1" ht="32.25" customHeight="1" x14ac:dyDescent="0.2">
      <c r="A205" s="446">
        <v>189</v>
      </c>
      <c r="B205" s="635">
        <v>45972</v>
      </c>
      <c r="C205" s="468" t="s">
        <v>635</v>
      </c>
      <c r="D205" s="468"/>
      <c r="E205" s="468">
        <v>1</v>
      </c>
      <c r="F205" s="457" t="s">
        <v>636</v>
      </c>
      <c r="G205" s="646" t="s">
        <v>254</v>
      </c>
      <c r="H205" s="457" t="s">
        <v>1632</v>
      </c>
      <c r="I205" s="654" t="s">
        <v>256</v>
      </c>
      <c r="J205" s="468" t="s">
        <v>39</v>
      </c>
      <c r="K205" s="457" t="s">
        <v>1629</v>
      </c>
      <c r="L205" s="638">
        <v>128354</v>
      </c>
      <c r="M205" s="451">
        <v>1500000</v>
      </c>
      <c r="N205" s="639"/>
      <c r="O205" s="639"/>
      <c r="P205" s="639"/>
      <c r="Q205" s="640"/>
      <c r="R205" s="641"/>
      <c r="S205" s="639"/>
      <c r="T205" s="639"/>
      <c r="U205" s="642">
        <v>4500000</v>
      </c>
      <c r="V205" s="332"/>
    </row>
    <row r="206" spans="1:22" s="190" customFormat="1" ht="32.25" customHeight="1" x14ac:dyDescent="0.2">
      <c r="A206" s="446">
        <v>190</v>
      </c>
      <c r="B206" s="635">
        <v>45972</v>
      </c>
      <c r="C206" s="468" t="s">
        <v>635</v>
      </c>
      <c r="D206" s="636"/>
      <c r="E206" s="468">
        <v>1</v>
      </c>
      <c r="F206" s="457" t="s">
        <v>638</v>
      </c>
      <c r="G206" s="457" t="s">
        <v>354</v>
      </c>
      <c r="H206" s="457" t="s">
        <v>1632</v>
      </c>
      <c r="I206" s="654" t="s">
        <v>256</v>
      </c>
      <c r="J206" s="468" t="s">
        <v>39</v>
      </c>
      <c r="K206" s="457" t="s">
        <v>1629</v>
      </c>
      <c r="L206" s="638">
        <v>128435</v>
      </c>
      <c r="M206" s="451">
        <v>1500000</v>
      </c>
      <c r="N206" s="639"/>
      <c r="O206" s="639"/>
      <c r="P206" s="639"/>
      <c r="Q206" s="640"/>
      <c r="R206" s="641"/>
      <c r="S206" s="639"/>
      <c r="T206" s="639"/>
      <c r="U206" s="642">
        <v>4500000</v>
      </c>
      <c r="V206" s="332"/>
    </row>
    <row r="207" spans="1:22" s="190" customFormat="1" ht="32.25" customHeight="1" x14ac:dyDescent="0.2">
      <c r="A207" s="446">
        <v>191</v>
      </c>
      <c r="B207" s="635">
        <v>45973</v>
      </c>
      <c r="C207" s="457">
        <v>261670478</v>
      </c>
      <c r="D207" s="636"/>
      <c r="E207" s="468">
        <v>1</v>
      </c>
      <c r="F207" s="457" t="s">
        <v>640</v>
      </c>
      <c r="G207" s="457" t="s">
        <v>619</v>
      </c>
      <c r="H207" s="449" t="s">
        <v>172</v>
      </c>
      <c r="I207" s="637" t="s">
        <v>173</v>
      </c>
      <c r="J207" s="468" t="s">
        <v>1633</v>
      </c>
      <c r="K207" s="457" t="s">
        <v>39</v>
      </c>
      <c r="L207" s="638">
        <v>14868</v>
      </c>
      <c r="M207" s="451">
        <v>1500000</v>
      </c>
      <c r="N207" s="639"/>
      <c r="O207" s="639"/>
      <c r="P207" s="639"/>
      <c r="Q207" s="640"/>
      <c r="R207" s="641"/>
      <c r="S207" s="639"/>
      <c r="T207" s="639"/>
      <c r="U207" s="642">
        <v>2700000</v>
      </c>
      <c r="V207" s="332"/>
    </row>
    <row r="208" spans="1:22" s="190" customFormat="1" ht="32.25" customHeight="1" x14ac:dyDescent="0.2">
      <c r="A208" s="446">
        <v>192</v>
      </c>
      <c r="B208" s="635">
        <v>45973</v>
      </c>
      <c r="C208" s="457">
        <v>261670478</v>
      </c>
      <c r="D208" s="636"/>
      <c r="E208" s="468">
        <v>1</v>
      </c>
      <c r="F208" s="457" t="s">
        <v>642</v>
      </c>
      <c r="G208" s="457" t="s">
        <v>302</v>
      </c>
      <c r="H208" s="449" t="s">
        <v>172</v>
      </c>
      <c r="I208" s="637" t="s">
        <v>173</v>
      </c>
      <c r="J208" s="468" t="s">
        <v>1633</v>
      </c>
      <c r="K208" s="457" t="s">
        <v>39</v>
      </c>
      <c r="L208" s="638">
        <v>14864</v>
      </c>
      <c r="M208" s="451">
        <v>1500000</v>
      </c>
      <c r="N208" s="639"/>
      <c r="O208" s="639"/>
      <c r="P208" s="639"/>
      <c r="Q208" s="640"/>
      <c r="R208" s="641"/>
      <c r="S208" s="639"/>
      <c r="T208" s="639"/>
      <c r="U208" s="642">
        <v>2700000</v>
      </c>
      <c r="V208" s="332"/>
    </row>
    <row r="209" spans="1:22" s="190" customFormat="1" ht="32.25" customHeight="1" x14ac:dyDescent="0.2">
      <c r="A209" s="446">
        <v>193</v>
      </c>
      <c r="B209" s="635">
        <v>45973</v>
      </c>
      <c r="C209" s="457">
        <v>259011434</v>
      </c>
      <c r="D209" s="636"/>
      <c r="E209" s="468">
        <v>1</v>
      </c>
      <c r="F209" s="457" t="s">
        <v>644</v>
      </c>
      <c r="G209" s="646" t="s">
        <v>308</v>
      </c>
      <c r="H209" s="449" t="s">
        <v>172</v>
      </c>
      <c r="I209" s="637" t="s">
        <v>173</v>
      </c>
      <c r="J209" s="651" t="s">
        <v>39</v>
      </c>
      <c r="K209" s="470" t="s">
        <v>1646</v>
      </c>
      <c r="L209" s="638">
        <v>7816</v>
      </c>
      <c r="M209" s="451">
        <v>1500000</v>
      </c>
      <c r="N209" s="639"/>
      <c r="O209" s="639"/>
      <c r="P209" s="639"/>
      <c r="Q209" s="640"/>
      <c r="R209" s="641"/>
      <c r="S209" s="639"/>
      <c r="T209" s="639"/>
      <c r="U209" s="642">
        <v>2700000</v>
      </c>
      <c r="V209" s="332"/>
    </row>
    <row r="210" spans="1:22" s="190" customFormat="1" ht="32.25" customHeight="1" x14ac:dyDescent="0.2">
      <c r="A210" s="446">
        <v>194</v>
      </c>
      <c r="B210" s="635">
        <v>45973</v>
      </c>
      <c r="C210" s="457" t="s">
        <v>647</v>
      </c>
      <c r="D210" s="636"/>
      <c r="E210" s="468">
        <v>1</v>
      </c>
      <c r="F210" s="457" t="s">
        <v>648</v>
      </c>
      <c r="G210" s="457" t="s">
        <v>204</v>
      </c>
      <c r="H210" s="457" t="s">
        <v>298</v>
      </c>
      <c r="I210" s="637" t="s">
        <v>299</v>
      </c>
      <c r="J210" s="666" t="s">
        <v>39</v>
      </c>
      <c r="K210" s="457" t="s">
        <v>1629</v>
      </c>
      <c r="L210" s="638">
        <v>128785</v>
      </c>
      <c r="M210" s="451">
        <v>1500000</v>
      </c>
      <c r="N210" s="639"/>
      <c r="O210" s="639"/>
      <c r="P210" s="639"/>
      <c r="Q210" s="640"/>
      <c r="R210" s="641"/>
      <c r="S210" s="639"/>
      <c r="T210" s="639"/>
      <c r="U210" s="642">
        <v>5300000</v>
      </c>
      <c r="V210" s="332"/>
    </row>
    <row r="211" spans="1:22" s="190" customFormat="1" ht="32.25" customHeight="1" x14ac:dyDescent="0.2">
      <c r="A211" s="446">
        <v>195</v>
      </c>
      <c r="B211" s="635">
        <v>45973</v>
      </c>
      <c r="C211" s="457" t="s">
        <v>647</v>
      </c>
      <c r="D211" s="636"/>
      <c r="E211" s="468">
        <v>1</v>
      </c>
      <c r="F211" s="457" t="s">
        <v>650</v>
      </c>
      <c r="G211" s="646" t="s">
        <v>171</v>
      </c>
      <c r="H211" s="457" t="s">
        <v>298</v>
      </c>
      <c r="I211" s="637" t="s">
        <v>299</v>
      </c>
      <c r="J211" s="666" t="s">
        <v>39</v>
      </c>
      <c r="K211" s="457" t="s">
        <v>1629</v>
      </c>
      <c r="L211" s="638">
        <v>128872</v>
      </c>
      <c r="M211" s="451">
        <v>1500000</v>
      </c>
      <c r="N211" s="639"/>
      <c r="O211" s="639"/>
      <c r="P211" s="639"/>
      <c r="Q211" s="640"/>
      <c r="R211" s="641">
        <v>950000</v>
      </c>
      <c r="S211" s="639"/>
      <c r="T211" s="639"/>
      <c r="U211" s="642">
        <v>5300000</v>
      </c>
      <c r="V211" s="332"/>
    </row>
    <row r="212" spans="1:22" s="190" customFormat="1" ht="32.25" customHeight="1" x14ac:dyDescent="0.2">
      <c r="A212" s="446">
        <v>196</v>
      </c>
      <c r="B212" s="635">
        <v>45973</v>
      </c>
      <c r="C212" s="457" t="s">
        <v>647</v>
      </c>
      <c r="D212" s="636"/>
      <c r="E212" s="468">
        <v>1</v>
      </c>
      <c r="F212" s="468" t="s">
        <v>652</v>
      </c>
      <c r="G212" s="457" t="s">
        <v>225</v>
      </c>
      <c r="H212" s="457" t="s">
        <v>298</v>
      </c>
      <c r="I212" s="637" t="s">
        <v>299</v>
      </c>
      <c r="J212" s="666" t="s">
        <v>39</v>
      </c>
      <c r="K212" s="457" t="s">
        <v>1629</v>
      </c>
      <c r="L212" s="638">
        <v>128968</v>
      </c>
      <c r="M212" s="451">
        <v>1500000</v>
      </c>
      <c r="N212" s="639"/>
      <c r="O212" s="639"/>
      <c r="P212" s="639"/>
      <c r="Q212" s="640"/>
      <c r="R212" s="641"/>
      <c r="S212" s="639"/>
      <c r="T212" s="639"/>
      <c r="U212" s="642">
        <v>5300000</v>
      </c>
      <c r="V212" s="332"/>
    </row>
    <row r="213" spans="1:22" s="190" customFormat="1" ht="32.25" customHeight="1" x14ac:dyDescent="0.2">
      <c r="A213" s="446">
        <v>197</v>
      </c>
      <c r="B213" s="635">
        <v>45973</v>
      </c>
      <c r="C213" s="468">
        <v>259939738</v>
      </c>
      <c r="D213" s="468"/>
      <c r="E213" s="468">
        <v>1</v>
      </c>
      <c r="F213" s="457" t="s">
        <v>654</v>
      </c>
      <c r="G213" s="457" t="s">
        <v>213</v>
      </c>
      <c r="H213" s="457" t="s">
        <v>180</v>
      </c>
      <c r="I213" s="637" t="s">
        <v>181</v>
      </c>
      <c r="J213" s="666" t="s">
        <v>39</v>
      </c>
      <c r="K213" s="470" t="s">
        <v>361</v>
      </c>
      <c r="L213" s="638">
        <v>126469</v>
      </c>
      <c r="M213" s="451">
        <v>1450000</v>
      </c>
      <c r="N213" s="639"/>
      <c r="O213" s="639"/>
      <c r="P213" s="639"/>
      <c r="Q213" s="640"/>
      <c r="R213" s="641"/>
      <c r="S213" s="639"/>
      <c r="T213" s="639"/>
      <c r="U213" s="642">
        <v>4500000</v>
      </c>
      <c r="V213" s="332"/>
    </row>
    <row r="214" spans="1:22" s="190" customFormat="1" ht="32.25" customHeight="1" x14ac:dyDescent="0.2">
      <c r="A214" s="446">
        <v>198</v>
      </c>
      <c r="B214" s="635">
        <v>45973</v>
      </c>
      <c r="C214" s="468">
        <v>259939738</v>
      </c>
      <c r="D214" s="636"/>
      <c r="E214" s="468">
        <v>1</v>
      </c>
      <c r="F214" s="457" t="s">
        <v>656</v>
      </c>
      <c r="G214" s="457" t="s">
        <v>216</v>
      </c>
      <c r="H214" s="457" t="s">
        <v>180</v>
      </c>
      <c r="I214" s="637" t="s">
        <v>181</v>
      </c>
      <c r="J214" s="666" t="s">
        <v>39</v>
      </c>
      <c r="K214" s="470" t="s">
        <v>361</v>
      </c>
      <c r="L214" s="638">
        <v>126549</v>
      </c>
      <c r="M214" s="451">
        <v>1450000</v>
      </c>
      <c r="N214" s="639"/>
      <c r="O214" s="639"/>
      <c r="P214" s="639"/>
      <c r="Q214" s="640"/>
      <c r="R214" s="641"/>
      <c r="S214" s="639"/>
      <c r="T214" s="639"/>
      <c r="U214" s="642">
        <v>4500000</v>
      </c>
      <c r="V214" s="332"/>
    </row>
    <row r="215" spans="1:22" s="190" customFormat="1" ht="32.25" customHeight="1" x14ac:dyDescent="0.2">
      <c r="A215" s="446">
        <v>199</v>
      </c>
      <c r="B215" s="635">
        <v>45973</v>
      </c>
      <c r="C215" s="468">
        <v>259939738</v>
      </c>
      <c r="D215" s="636"/>
      <c r="E215" s="468">
        <v>1</v>
      </c>
      <c r="F215" s="457" t="s">
        <v>658</v>
      </c>
      <c r="G215" s="457" t="s">
        <v>341</v>
      </c>
      <c r="H215" s="457" t="s">
        <v>180</v>
      </c>
      <c r="I215" s="637" t="s">
        <v>181</v>
      </c>
      <c r="J215" s="666" t="s">
        <v>39</v>
      </c>
      <c r="K215" s="470" t="s">
        <v>361</v>
      </c>
      <c r="L215" s="638">
        <v>126587</v>
      </c>
      <c r="M215" s="451">
        <v>1450000</v>
      </c>
      <c r="N215" s="639"/>
      <c r="O215" s="639"/>
      <c r="P215" s="639"/>
      <c r="Q215" s="640"/>
      <c r="R215" s="641"/>
      <c r="S215" s="639"/>
      <c r="T215" s="639"/>
      <c r="U215" s="642">
        <v>4500000</v>
      </c>
      <c r="V215" s="332"/>
    </row>
    <row r="216" spans="1:22" s="190" customFormat="1" ht="32.25" customHeight="1" x14ac:dyDescent="0.2">
      <c r="A216" s="446">
        <v>200</v>
      </c>
      <c r="B216" s="635">
        <v>45973</v>
      </c>
      <c r="C216" s="468">
        <v>259939738</v>
      </c>
      <c r="D216" s="636"/>
      <c r="E216" s="468">
        <v>1</v>
      </c>
      <c r="F216" s="457" t="s">
        <v>660</v>
      </c>
      <c r="G216" s="457" t="s">
        <v>368</v>
      </c>
      <c r="H216" s="457" t="s">
        <v>180</v>
      </c>
      <c r="I216" s="637" t="s">
        <v>181</v>
      </c>
      <c r="J216" s="667" t="s">
        <v>39</v>
      </c>
      <c r="K216" s="470" t="s">
        <v>361</v>
      </c>
      <c r="L216" s="638">
        <v>126515</v>
      </c>
      <c r="M216" s="451">
        <v>1450000</v>
      </c>
      <c r="N216" s="639"/>
      <c r="O216" s="639"/>
      <c r="P216" s="639"/>
      <c r="Q216" s="640"/>
      <c r="R216" s="641"/>
      <c r="S216" s="639"/>
      <c r="T216" s="639"/>
      <c r="U216" s="642">
        <v>4500000</v>
      </c>
      <c r="V216" s="332"/>
    </row>
    <row r="217" spans="1:22" s="190" customFormat="1" ht="32.25" customHeight="1" x14ac:dyDescent="0.2">
      <c r="A217" s="446">
        <v>201</v>
      </c>
      <c r="B217" s="635">
        <v>45973</v>
      </c>
      <c r="C217" s="457">
        <v>259011478</v>
      </c>
      <c r="D217" s="636"/>
      <c r="E217" s="468">
        <v>1</v>
      </c>
      <c r="F217" s="457" t="s">
        <v>642</v>
      </c>
      <c r="G217" s="646" t="s">
        <v>222</v>
      </c>
      <c r="H217" s="468" t="s">
        <v>662</v>
      </c>
      <c r="I217" s="637" t="s">
        <v>173</v>
      </c>
      <c r="J217" s="449" t="s">
        <v>39</v>
      </c>
      <c r="K217" s="457" t="s">
        <v>1646</v>
      </c>
      <c r="L217" s="638">
        <v>14865</v>
      </c>
      <c r="M217" s="451">
        <v>1500000</v>
      </c>
      <c r="N217" s="639"/>
      <c r="O217" s="639"/>
      <c r="P217" s="639"/>
      <c r="Q217" s="640"/>
      <c r="R217" s="641"/>
      <c r="S217" s="639"/>
      <c r="T217" s="639"/>
      <c r="U217" s="642">
        <v>1890000</v>
      </c>
      <c r="V217" s="332"/>
    </row>
    <row r="218" spans="1:22" s="190" customFormat="1" ht="32.25" customHeight="1" x14ac:dyDescent="0.2">
      <c r="A218" s="446">
        <v>202</v>
      </c>
      <c r="B218" s="635">
        <v>45973</v>
      </c>
      <c r="C218" s="457">
        <v>259011478</v>
      </c>
      <c r="D218" s="636"/>
      <c r="E218" s="468">
        <v>1</v>
      </c>
      <c r="F218" s="457" t="s">
        <v>640</v>
      </c>
      <c r="G218" s="457" t="s">
        <v>213</v>
      </c>
      <c r="H218" s="468" t="s">
        <v>662</v>
      </c>
      <c r="I218" s="637" t="s">
        <v>173</v>
      </c>
      <c r="J218" s="449" t="s">
        <v>39</v>
      </c>
      <c r="K218" s="457" t="s">
        <v>1646</v>
      </c>
      <c r="L218" s="638">
        <v>14867</v>
      </c>
      <c r="M218" s="451">
        <v>1500000</v>
      </c>
      <c r="N218" s="639"/>
      <c r="O218" s="639"/>
      <c r="P218" s="639"/>
      <c r="Q218" s="640"/>
      <c r="R218" s="641"/>
      <c r="S218" s="639"/>
      <c r="T218" s="639"/>
      <c r="U218" s="642">
        <v>1890000</v>
      </c>
      <c r="V218" s="332"/>
    </row>
    <row r="219" spans="1:22" s="190" customFormat="1" ht="32.25" customHeight="1" x14ac:dyDescent="0.2">
      <c r="A219" s="446">
        <v>203</v>
      </c>
      <c r="B219" s="635">
        <v>45973</v>
      </c>
      <c r="C219" s="457" t="s">
        <v>665</v>
      </c>
      <c r="D219" s="636"/>
      <c r="E219" s="468">
        <v>1</v>
      </c>
      <c r="F219" s="457" t="s">
        <v>666</v>
      </c>
      <c r="G219" s="457" t="s">
        <v>341</v>
      </c>
      <c r="H219" s="449" t="s">
        <v>172</v>
      </c>
      <c r="I219" s="637" t="s">
        <v>173</v>
      </c>
      <c r="J219" s="666" t="s">
        <v>1640</v>
      </c>
      <c r="K219" s="457" t="s">
        <v>39</v>
      </c>
      <c r="L219" s="457">
        <v>86248</v>
      </c>
      <c r="M219" s="451">
        <v>1500000</v>
      </c>
      <c r="N219" s="639"/>
      <c r="O219" s="639"/>
      <c r="P219" s="639"/>
      <c r="Q219" s="640"/>
      <c r="R219" s="641"/>
      <c r="S219" s="639"/>
      <c r="T219" s="639"/>
      <c r="U219" s="642">
        <v>2700000</v>
      </c>
      <c r="V219" s="332"/>
    </row>
    <row r="220" spans="1:22" s="190" customFormat="1" ht="32.25" customHeight="1" x14ac:dyDescent="0.2">
      <c r="A220" s="446">
        <v>204</v>
      </c>
      <c r="B220" s="635">
        <v>45973</v>
      </c>
      <c r="C220" s="457" t="s">
        <v>665</v>
      </c>
      <c r="D220" s="636"/>
      <c r="E220" s="468">
        <v>1</v>
      </c>
      <c r="F220" s="457" t="s">
        <v>667</v>
      </c>
      <c r="G220" s="457" t="s">
        <v>216</v>
      </c>
      <c r="H220" s="449" t="s">
        <v>172</v>
      </c>
      <c r="I220" s="637" t="s">
        <v>173</v>
      </c>
      <c r="J220" s="666" t="s">
        <v>1640</v>
      </c>
      <c r="K220" s="457" t="s">
        <v>39</v>
      </c>
      <c r="L220" s="457">
        <v>86208</v>
      </c>
      <c r="M220" s="451">
        <v>1500000</v>
      </c>
      <c r="N220" s="639"/>
      <c r="O220" s="639"/>
      <c r="P220" s="639"/>
      <c r="Q220" s="640"/>
      <c r="R220" s="641"/>
      <c r="S220" s="639"/>
      <c r="T220" s="639"/>
      <c r="U220" s="642">
        <v>2700000</v>
      </c>
      <c r="V220" s="332"/>
    </row>
    <row r="221" spans="1:22" s="190" customFormat="1" ht="32.25" customHeight="1" x14ac:dyDescent="0.2">
      <c r="A221" s="446">
        <v>205</v>
      </c>
      <c r="B221" s="635">
        <v>45973</v>
      </c>
      <c r="C221" s="457" t="s">
        <v>665</v>
      </c>
      <c r="D221" s="636"/>
      <c r="E221" s="468">
        <v>1</v>
      </c>
      <c r="F221" s="468" t="s">
        <v>668</v>
      </c>
      <c r="G221" s="646" t="s">
        <v>222</v>
      </c>
      <c r="H221" s="449" t="s">
        <v>172</v>
      </c>
      <c r="I221" s="637" t="s">
        <v>173</v>
      </c>
      <c r="J221" s="666" t="s">
        <v>1640</v>
      </c>
      <c r="K221" s="457" t="s">
        <v>39</v>
      </c>
      <c r="L221" s="457">
        <v>86384</v>
      </c>
      <c r="M221" s="451">
        <v>1500000</v>
      </c>
      <c r="N221" s="639"/>
      <c r="O221" s="639"/>
      <c r="P221" s="639"/>
      <c r="Q221" s="640"/>
      <c r="R221" s="641"/>
      <c r="S221" s="639"/>
      <c r="T221" s="639"/>
      <c r="U221" s="642">
        <v>2700000</v>
      </c>
      <c r="V221" s="332"/>
    </row>
    <row r="222" spans="1:22" s="190" customFormat="1" ht="32.25" customHeight="1" x14ac:dyDescent="0.2">
      <c r="A222" s="446">
        <v>206</v>
      </c>
      <c r="B222" s="635">
        <v>45943</v>
      </c>
      <c r="C222" s="457">
        <v>259068327</v>
      </c>
      <c r="D222" s="636"/>
      <c r="E222" s="468">
        <v>1</v>
      </c>
      <c r="F222" s="457" t="s">
        <v>669</v>
      </c>
      <c r="G222" s="457" t="s">
        <v>368</v>
      </c>
      <c r="H222" s="449" t="s">
        <v>172</v>
      </c>
      <c r="I222" s="637" t="s">
        <v>173</v>
      </c>
      <c r="J222" s="449" t="s">
        <v>39</v>
      </c>
      <c r="K222" s="468" t="s">
        <v>1637</v>
      </c>
      <c r="L222" s="638">
        <v>15039</v>
      </c>
      <c r="M222" s="451">
        <v>1500000</v>
      </c>
      <c r="N222" s="639"/>
      <c r="O222" s="639"/>
      <c r="P222" s="639"/>
      <c r="Q222" s="640"/>
      <c r="R222" s="641"/>
      <c r="S222" s="639"/>
      <c r="T222" s="639"/>
      <c r="U222" s="642">
        <v>2700000</v>
      </c>
      <c r="V222" s="332"/>
    </row>
    <row r="223" spans="1:22" s="190" customFormat="1" ht="32.25" customHeight="1" x14ac:dyDescent="0.2">
      <c r="A223" s="446">
        <v>207</v>
      </c>
      <c r="B223" s="635">
        <v>45943</v>
      </c>
      <c r="C223" s="457">
        <v>259068327</v>
      </c>
      <c r="D223" s="636"/>
      <c r="E223" s="468">
        <v>1</v>
      </c>
      <c r="F223" s="468" t="s">
        <v>671</v>
      </c>
      <c r="G223" s="457" t="s">
        <v>225</v>
      </c>
      <c r="H223" s="449" t="s">
        <v>172</v>
      </c>
      <c r="I223" s="637" t="s">
        <v>173</v>
      </c>
      <c r="J223" s="449" t="s">
        <v>39</v>
      </c>
      <c r="K223" s="468" t="s">
        <v>1637</v>
      </c>
      <c r="L223" s="638">
        <v>15056</v>
      </c>
      <c r="M223" s="451">
        <v>1500000</v>
      </c>
      <c r="N223" s="639"/>
      <c r="O223" s="639"/>
      <c r="P223" s="639"/>
      <c r="Q223" s="640"/>
      <c r="R223" s="641"/>
      <c r="S223" s="639"/>
      <c r="T223" s="639"/>
      <c r="U223" s="642">
        <v>2700000</v>
      </c>
      <c r="V223" s="332"/>
    </row>
    <row r="224" spans="1:22" s="190" customFormat="1" ht="32.25" customHeight="1" x14ac:dyDescent="0.2">
      <c r="A224" s="446">
        <v>208</v>
      </c>
      <c r="B224" s="635">
        <v>45943</v>
      </c>
      <c r="C224" s="457">
        <v>259068327</v>
      </c>
      <c r="D224" s="636"/>
      <c r="E224" s="468">
        <v>1</v>
      </c>
      <c r="F224" s="457" t="s">
        <v>673</v>
      </c>
      <c r="G224" s="646" t="s">
        <v>228</v>
      </c>
      <c r="H224" s="449" t="s">
        <v>172</v>
      </c>
      <c r="I224" s="637" t="s">
        <v>173</v>
      </c>
      <c r="J224" s="449" t="s">
        <v>39</v>
      </c>
      <c r="K224" s="468" t="s">
        <v>1637</v>
      </c>
      <c r="L224" s="638">
        <v>15031</v>
      </c>
      <c r="M224" s="451">
        <v>1500000</v>
      </c>
      <c r="N224" s="639"/>
      <c r="O224" s="639"/>
      <c r="P224" s="639"/>
      <c r="Q224" s="640"/>
      <c r="R224" s="641"/>
      <c r="S224" s="639"/>
      <c r="T224" s="639"/>
      <c r="U224" s="642">
        <v>2700000</v>
      </c>
      <c r="V224" s="332"/>
    </row>
    <row r="225" spans="1:22" s="190" customFormat="1" ht="32.25" customHeight="1" x14ac:dyDescent="0.2">
      <c r="A225" s="446">
        <v>209</v>
      </c>
      <c r="B225" s="635">
        <v>45974</v>
      </c>
      <c r="C225" s="457">
        <v>259068327</v>
      </c>
      <c r="D225" s="636"/>
      <c r="E225" s="468">
        <v>1</v>
      </c>
      <c r="F225" s="457" t="s">
        <v>675</v>
      </c>
      <c r="G225" s="457" t="s">
        <v>198</v>
      </c>
      <c r="H225" s="449" t="s">
        <v>172</v>
      </c>
      <c r="I225" s="637" t="s">
        <v>173</v>
      </c>
      <c r="J225" s="449" t="s">
        <v>39</v>
      </c>
      <c r="K225" s="468" t="s">
        <v>1637</v>
      </c>
      <c r="L225" s="638">
        <v>15075</v>
      </c>
      <c r="M225" s="451">
        <v>1500000</v>
      </c>
      <c r="N225" s="639"/>
      <c r="O225" s="639"/>
      <c r="P225" s="639"/>
      <c r="Q225" s="640"/>
      <c r="R225" s="641"/>
      <c r="S225" s="639"/>
      <c r="T225" s="639"/>
      <c r="U225" s="642">
        <v>2700000</v>
      </c>
      <c r="V225" s="332"/>
    </row>
    <row r="226" spans="1:22" s="190" customFormat="1" ht="32.25" customHeight="1" x14ac:dyDescent="0.2">
      <c r="A226" s="446">
        <v>210</v>
      </c>
      <c r="B226" s="635">
        <v>45943</v>
      </c>
      <c r="C226" s="457">
        <v>259068327</v>
      </c>
      <c r="D226" s="636"/>
      <c r="E226" s="468">
        <v>1</v>
      </c>
      <c r="F226" s="457" t="s">
        <v>677</v>
      </c>
      <c r="G226" s="457" t="s">
        <v>335</v>
      </c>
      <c r="H226" s="449" t="s">
        <v>172</v>
      </c>
      <c r="I226" s="637" t="s">
        <v>173</v>
      </c>
      <c r="J226" s="449" t="s">
        <v>39</v>
      </c>
      <c r="K226" s="468" t="s">
        <v>1637</v>
      </c>
      <c r="L226" s="638">
        <v>15026</v>
      </c>
      <c r="M226" s="451">
        <v>1500000</v>
      </c>
      <c r="N226" s="639"/>
      <c r="O226" s="639"/>
      <c r="P226" s="639"/>
      <c r="Q226" s="640"/>
      <c r="R226" s="641"/>
      <c r="S226" s="639"/>
      <c r="T226" s="639"/>
      <c r="U226" s="642">
        <v>2700000</v>
      </c>
      <c r="V226" s="332"/>
    </row>
    <row r="227" spans="1:22" s="190" customFormat="1" ht="32.25" customHeight="1" x14ac:dyDescent="0.2">
      <c r="A227" s="446">
        <v>211</v>
      </c>
      <c r="B227" s="635">
        <v>45974</v>
      </c>
      <c r="C227" s="457">
        <v>261474878</v>
      </c>
      <c r="D227" s="636"/>
      <c r="E227" s="468">
        <v>1</v>
      </c>
      <c r="F227" s="457" t="s">
        <v>669</v>
      </c>
      <c r="G227" s="457" t="s">
        <v>302</v>
      </c>
      <c r="H227" s="449" t="s">
        <v>172</v>
      </c>
      <c r="I227" s="637" t="s">
        <v>173</v>
      </c>
      <c r="J227" s="666" t="s">
        <v>1633</v>
      </c>
      <c r="K227" s="655" t="s">
        <v>39</v>
      </c>
      <c r="L227" s="457">
        <v>15038</v>
      </c>
      <c r="M227" s="451">
        <v>1500000</v>
      </c>
      <c r="N227" s="639"/>
      <c r="O227" s="639"/>
      <c r="P227" s="639"/>
      <c r="Q227" s="640"/>
      <c r="R227" s="641"/>
      <c r="S227" s="639"/>
      <c r="T227" s="639"/>
      <c r="U227" s="642">
        <f>2700000*70%</f>
        <v>1889999.9999999998</v>
      </c>
      <c r="V227" s="332"/>
    </row>
    <row r="228" spans="1:22" s="190" customFormat="1" ht="32.25" customHeight="1" x14ac:dyDescent="0.2">
      <c r="A228" s="446">
        <v>212</v>
      </c>
      <c r="B228" s="635">
        <v>45974</v>
      </c>
      <c r="C228" s="457">
        <v>261474878</v>
      </c>
      <c r="D228" s="636"/>
      <c r="E228" s="468">
        <v>1</v>
      </c>
      <c r="F228" s="457" t="s">
        <v>673</v>
      </c>
      <c r="G228" s="457" t="s">
        <v>349</v>
      </c>
      <c r="H228" s="449" t="s">
        <v>172</v>
      </c>
      <c r="I228" s="637" t="s">
        <v>173</v>
      </c>
      <c r="J228" s="666" t="s">
        <v>1633</v>
      </c>
      <c r="K228" s="655" t="s">
        <v>39</v>
      </c>
      <c r="L228" s="638">
        <v>15032</v>
      </c>
      <c r="M228" s="451">
        <v>1500000</v>
      </c>
      <c r="N228" s="639"/>
      <c r="O228" s="639"/>
      <c r="P228" s="639"/>
      <c r="Q228" s="640"/>
      <c r="R228" s="641"/>
      <c r="S228" s="639"/>
      <c r="T228" s="639"/>
      <c r="U228" s="642">
        <f>2700000*70%</f>
        <v>1889999.9999999998</v>
      </c>
      <c r="V228" s="332"/>
    </row>
    <row r="229" spans="1:22" s="190" customFormat="1" ht="32.25" customHeight="1" x14ac:dyDescent="0.2">
      <c r="A229" s="446">
        <v>213</v>
      </c>
      <c r="B229" s="635">
        <v>45974</v>
      </c>
      <c r="C229" s="457">
        <v>261474878</v>
      </c>
      <c r="D229" s="636"/>
      <c r="E229" s="468">
        <v>1</v>
      </c>
      <c r="F229" s="457" t="s">
        <v>671</v>
      </c>
      <c r="G229" s="457" t="s">
        <v>210</v>
      </c>
      <c r="H229" s="449" t="s">
        <v>172</v>
      </c>
      <c r="I229" s="637" t="s">
        <v>173</v>
      </c>
      <c r="J229" s="666" t="s">
        <v>1633</v>
      </c>
      <c r="K229" s="655" t="s">
        <v>39</v>
      </c>
      <c r="L229" s="668">
        <v>15057</v>
      </c>
      <c r="M229" s="451">
        <v>1500000</v>
      </c>
      <c r="N229" s="639"/>
      <c r="O229" s="639"/>
      <c r="P229" s="639"/>
      <c r="Q229" s="640"/>
      <c r="R229" s="641"/>
      <c r="S229" s="639"/>
      <c r="T229" s="639"/>
      <c r="U229" s="642">
        <f>2700000*70%</f>
        <v>1889999.9999999998</v>
      </c>
      <c r="V229" s="332"/>
    </row>
    <row r="230" spans="1:22" s="190" customFormat="1" ht="32.25" customHeight="1" x14ac:dyDescent="0.2">
      <c r="A230" s="446">
        <v>214</v>
      </c>
      <c r="B230" s="635">
        <v>45974</v>
      </c>
      <c r="C230" s="457">
        <v>261474878</v>
      </c>
      <c r="D230" s="636"/>
      <c r="E230" s="468">
        <v>1</v>
      </c>
      <c r="F230" s="457" t="s">
        <v>677</v>
      </c>
      <c r="G230" s="457" t="s">
        <v>305</v>
      </c>
      <c r="H230" s="449" t="s">
        <v>172</v>
      </c>
      <c r="I230" s="637" t="s">
        <v>173</v>
      </c>
      <c r="J230" s="666" t="s">
        <v>1633</v>
      </c>
      <c r="K230" s="655" t="s">
        <v>39</v>
      </c>
      <c r="L230" s="638">
        <v>15027</v>
      </c>
      <c r="M230" s="451">
        <v>1500000</v>
      </c>
      <c r="N230" s="639"/>
      <c r="O230" s="639"/>
      <c r="P230" s="639"/>
      <c r="Q230" s="640"/>
      <c r="R230" s="641"/>
      <c r="S230" s="639"/>
      <c r="T230" s="639"/>
      <c r="U230" s="642">
        <f>2700000*70%</f>
        <v>1889999.9999999998</v>
      </c>
      <c r="V230" s="332"/>
    </row>
    <row r="231" spans="1:22" s="190" customFormat="1" ht="32.25" customHeight="1" x14ac:dyDescent="0.2">
      <c r="A231" s="446">
        <v>215</v>
      </c>
      <c r="B231" s="635">
        <v>45974</v>
      </c>
      <c r="C231" s="463">
        <v>261474878</v>
      </c>
      <c r="D231" s="644"/>
      <c r="E231" s="645">
        <v>1</v>
      </c>
      <c r="F231" s="463" t="s">
        <v>675</v>
      </c>
      <c r="G231" s="457" t="s">
        <v>194</v>
      </c>
      <c r="H231" s="449" t="s">
        <v>172</v>
      </c>
      <c r="I231" s="647" t="s">
        <v>173</v>
      </c>
      <c r="J231" s="667" t="s">
        <v>1633</v>
      </c>
      <c r="K231" s="661" t="s">
        <v>39</v>
      </c>
      <c r="L231" s="638">
        <v>15076</v>
      </c>
      <c r="M231" s="451">
        <v>1500000</v>
      </c>
      <c r="N231" s="639"/>
      <c r="O231" s="639"/>
      <c r="P231" s="639"/>
      <c r="Q231" s="640"/>
      <c r="R231" s="641"/>
      <c r="S231" s="639"/>
      <c r="T231" s="639"/>
      <c r="U231" s="642">
        <f>2700000*70%</f>
        <v>1889999.9999999998</v>
      </c>
      <c r="V231" s="332"/>
    </row>
    <row r="232" spans="1:22" s="190" customFormat="1" ht="32.25" customHeight="1" x14ac:dyDescent="0.2">
      <c r="A232" s="446">
        <v>216</v>
      </c>
      <c r="B232" s="635">
        <v>45974</v>
      </c>
      <c r="C232" s="457" t="s">
        <v>681</v>
      </c>
      <c r="D232" s="636"/>
      <c r="E232" s="468">
        <v>1</v>
      </c>
      <c r="F232" s="468" t="s">
        <v>682</v>
      </c>
      <c r="G232" s="457" t="s">
        <v>204</v>
      </c>
      <c r="H232" s="457" t="s">
        <v>298</v>
      </c>
      <c r="I232" s="637" t="s">
        <v>299</v>
      </c>
      <c r="J232" s="449" t="s">
        <v>39</v>
      </c>
      <c r="K232" s="457" t="s">
        <v>683</v>
      </c>
      <c r="L232" s="470">
        <v>22234</v>
      </c>
      <c r="M232" s="451">
        <v>1500000</v>
      </c>
      <c r="N232" s="639"/>
      <c r="O232" s="639"/>
      <c r="P232" s="639"/>
      <c r="Q232" s="640"/>
      <c r="R232" s="641"/>
      <c r="S232" s="639"/>
      <c r="T232" s="639">
        <v>260000</v>
      </c>
      <c r="U232" s="642">
        <v>5300000</v>
      </c>
      <c r="V232" s="332"/>
    </row>
    <row r="233" spans="1:22" s="190" customFormat="1" ht="32.25" customHeight="1" x14ac:dyDescent="0.2">
      <c r="A233" s="446">
        <v>217</v>
      </c>
      <c r="B233" s="635">
        <v>45974</v>
      </c>
      <c r="C233" s="457" t="s">
        <v>681</v>
      </c>
      <c r="D233" s="636"/>
      <c r="E233" s="468">
        <v>1</v>
      </c>
      <c r="F233" s="457" t="s">
        <v>684</v>
      </c>
      <c r="G233" s="457" t="s">
        <v>213</v>
      </c>
      <c r="H233" s="457" t="s">
        <v>298</v>
      </c>
      <c r="I233" s="637" t="s">
        <v>299</v>
      </c>
      <c r="J233" s="449" t="s">
        <v>39</v>
      </c>
      <c r="K233" s="457" t="s">
        <v>683</v>
      </c>
      <c r="L233" s="470">
        <v>22283</v>
      </c>
      <c r="M233" s="451">
        <v>1500000</v>
      </c>
      <c r="N233" s="639"/>
      <c r="O233" s="639"/>
      <c r="P233" s="639"/>
      <c r="Q233" s="640"/>
      <c r="R233" s="641"/>
      <c r="S233" s="639"/>
      <c r="T233" s="639">
        <v>260000</v>
      </c>
      <c r="U233" s="642">
        <v>5300000</v>
      </c>
      <c r="V233" s="332"/>
    </row>
    <row r="234" spans="1:22" s="190" customFormat="1" ht="32.25" customHeight="1" x14ac:dyDescent="0.2">
      <c r="A234" s="446">
        <v>218</v>
      </c>
      <c r="B234" s="635">
        <v>45974</v>
      </c>
      <c r="C234" s="457" t="s">
        <v>681</v>
      </c>
      <c r="D234" s="636"/>
      <c r="E234" s="468">
        <v>1</v>
      </c>
      <c r="F234" s="457" t="s">
        <v>685</v>
      </c>
      <c r="G234" s="646" t="s">
        <v>171</v>
      </c>
      <c r="H234" s="457" t="s">
        <v>298</v>
      </c>
      <c r="I234" s="637" t="s">
        <v>299</v>
      </c>
      <c r="J234" s="449" t="s">
        <v>39</v>
      </c>
      <c r="K234" s="457" t="s">
        <v>683</v>
      </c>
      <c r="L234" s="470">
        <v>22279</v>
      </c>
      <c r="M234" s="451">
        <v>1500000</v>
      </c>
      <c r="N234" s="639"/>
      <c r="O234" s="639"/>
      <c r="P234" s="639"/>
      <c r="Q234" s="640"/>
      <c r="R234" s="641"/>
      <c r="S234" s="639"/>
      <c r="T234" s="639">
        <v>260000</v>
      </c>
      <c r="U234" s="642">
        <v>5300000</v>
      </c>
      <c r="V234" s="332"/>
    </row>
    <row r="235" spans="1:22" s="190" customFormat="1" ht="32.25" customHeight="1" x14ac:dyDescent="0.2">
      <c r="A235" s="446">
        <v>219</v>
      </c>
      <c r="B235" s="635">
        <v>45974</v>
      </c>
      <c r="C235" s="457" t="s">
        <v>681</v>
      </c>
      <c r="D235" s="636"/>
      <c r="E235" s="468">
        <v>1</v>
      </c>
      <c r="F235" s="457" t="s">
        <v>686</v>
      </c>
      <c r="G235" s="646" t="s">
        <v>308</v>
      </c>
      <c r="H235" s="457" t="s">
        <v>298</v>
      </c>
      <c r="I235" s="637" t="s">
        <v>299</v>
      </c>
      <c r="J235" s="449" t="s">
        <v>39</v>
      </c>
      <c r="K235" s="457" t="s">
        <v>683</v>
      </c>
      <c r="L235" s="457">
        <v>12697</v>
      </c>
      <c r="M235" s="451">
        <v>1500000</v>
      </c>
      <c r="N235" s="639"/>
      <c r="O235" s="639"/>
      <c r="P235" s="639"/>
      <c r="Q235" s="640"/>
      <c r="R235" s="641"/>
      <c r="S235" s="639"/>
      <c r="T235" s="639">
        <v>260000</v>
      </c>
      <c r="U235" s="642">
        <v>5300000</v>
      </c>
      <c r="V235" s="332"/>
    </row>
    <row r="236" spans="1:22" s="190" customFormat="1" ht="32.25" customHeight="1" x14ac:dyDescent="0.2">
      <c r="A236" s="446">
        <v>220</v>
      </c>
      <c r="B236" s="635">
        <v>45974</v>
      </c>
      <c r="C236" s="457" t="s">
        <v>681</v>
      </c>
      <c r="D236" s="636"/>
      <c r="E236" s="468">
        <v>1</v>
      </c>
      <c r="F236" s="468" t="s">
        <v>687</v>
      </c>
      <c r="G236" s="457" t="s">
        <v>688</v>
      </c>
      <c r="H236" s="457" t="s">
        <v>298</v>
      </c>
      <c r="I236" s="637" t="s">
        <v>299</v>
      </c>
      <c r="J236" s="449" t="s">
        <v>39</v>
      </c>
      <c r="K236" s="457" t="s">
        <v>683</v>
      </c>
      <c r="L236" s="457">
        <v>12760</v>
      </c>
      <c r="M236" s="451">
        <v>1500000</v>
      </c>
      <c r="N236" s="639"/>
      <c r="O236" s="639"/>
      <c r="P236" s="639"/>
      <c r="Q236" s="640"/>
      <c r="R236" s="641"/>
      <c r="S236" s="639"/>
      <c r="T236" s="639">
        <v>260000</v>
      </c>
      <c r="U236" s="642">
        <v>5300000</v>
      </c>
      <c r="V236" s="332"/>
    </row>
    <row r="237" spans="1:22" s="190" customFormat="1" ht="32.25" customHeight="1" x14ac:dyDescent="0.2">
      <c r="A237" s="446">
        <v>221</v>
      </c>
      <c r="B237" s="635">
        <v>45974</v>
      </c>
      <c r="C237" s="457" t="s">
        <v>681</v>
      </c>
      <c r="D237" s="636"/>
      <c r="E237" s="468">
        <v>1</v>
      </c>
      <c r="F237" s="457" t="s">
        <v>689</v>
      </c>
      <c r="G237" s="457" t="s">
        <v>341</v>
      </c>
      <c r="H237" s="457" t="s">
        <v>298</v>
      </c>
      <c r="I237" s="637" t="s">
        <v>299</v>
      </c>
      <c r="J237" s="449" t="s">
        <v>39</v>
      </c>
      <c r="K237" s="457" t="s">
        <v>683</v>
      </c>
      <c r="L237" s="470">
        <v>22295</v>
      </c>
      <c r="M237" s="451">
        <v>1500000</v>
      </c>
      <c r="N237" s="639"/>
      <c r="O237" s="639"/>
      <c r="P237" s="639"/>
      <c r="Q237" s="640"/>
      <c r="R237" s="641">
        <v>15000000</v>
      </c>
      <c r="S237" s="639"/>
      <c r="T237" s="639">
        <v>260000</v>
      </c>
      <c r="U237" s="642">
        <v>5300000</v>
      </c>
      <c r="V237" s="332"/>
    </row>
    <row r="238" spans="1:22" s="190" customFormat="1" ht="32.25" customHeight="1" x14ac:dyDescent="0.2">
      <c r="A238" s="446">
        <v>222</v>
      </c>
      <c r="B238" s="635">
        <v>45974</v>
      </c>
      <c r="C238" s="457" t="s">
        <v>681</v>
      </c>
      <c r="D238" s="636"/>
      <c r="E238" s="468">
        <v>1</v>
      </c>
      <c r="F238" s="468" t="s">
        <v>690</v>
      </c>
      <c r="G238" s="457" t="s">
        <v>191</v>
      </c>
      <c r="H238" s="457" t="s">
        <v>298</v>
      </c>
      <c r="I238" s="637" t="s">
        <v>299</v>
      </c>
      <c r="J238" s="449" t="s">
        <v>39</v>
      </c>
      <c r="K238" s="457" t="s">
        <v>683</v>
      </c>
      <c r="L238" s="457">
        <v>12759</v>
      </c>
      <c r="M238" s="451">
        <v>1500000</v>
      </c>
      <c r="N238" s="639"/>
      <c r="O238" s="639"/>
      <c r="P238" s="639"/>
      <c r="Q238" s="640"/>
      <c r="R238" s="641"/>
      <c r="S238" s="639"/>
      <c r="T238" s="639">
        <v>260000</v>
      </c>
      <c r="U238" s="642">
        <v>5300000</v>
      </c>
      <c r="V238" s="332"/>
    </row>
    <row r="239" spans="1:22" s="190" customFormat="1" ht="32.25" customHeight="1" x14ac:dyDescent="0.2">
      <c r="A239" s="446">
        <v>223</v>
      </c>
      <c r="B239" s="635">
        <v>45974</v>
      </c>
      <c r="C239" s="457" t="s">
        <v>681</v>
      </c>
      <c r="D239" s="636"/>
      <c r="E239" s="468">
        <v>1</v>
      </c>
      <c r="F239" s="457" t="s">
        <v>691</v>
      </c>
      <c r="G239" s="457" t="s">
        <v>335</v>
      </c>
      <c r="H239" s="457" t="s">
        <v>298</v>
      </c>
      <c r="I239" s="637" t="s">
        <v>299</v>
      </c>
      <c r="J239" s="449" t="s">
        <v>39</v>
      </c>
      <c r="K239" s="457" t="s">
        <v>683</v>
      </c>
      <c r="L239" s="457">
        <v>12747</v>
      </c>
      <c r="M239" s="451">
        <v>1500000</v>
      </c>
      <c r="N239" s="639"/>
      <c r="O239" s="639"/>
      <c r="P239" s="639"/>
      <c r="Q239" s="640"/>
      <c r="R239" s="641"/>
      <c r="S239" s="639"/>
      <c r="T239" s="639">
        <v>260000</v>
      </c>
      <c r="U239" s="642">
        <v>5300000</v>
      </c>
      <c r="V239" s="332"/>
    </row>
    <row r="240" spans="1:22" s="190" customFormat="1" ht="32.25" customHeight="1" x14ac:dyDescent="0.2">
      <c r="A240" s="446">
        <v>224</v>
      </c>
      <c r="B240" s="635">
        <v>45944</v>
      </c>
      <c r="C240" s="457" t="s">
        <v>692</v>
      </c>
      <c r="D240" s="636"/>
      <c r="E240" s="468">
        <v>1</v>
      </c>
      <c r="F240" s="457" t="s">
        <v>693</v>
      </c>
      <c r="G240" s="457" t="s">
        <v>302</v>
      </c>
      <c r="H240" s="457" t="s">
        <v>298</v>
      </c>
      <c r="I240" s="637" t="s">
        <v>299</v>
      </c>
      <c r="J240" s="449" t="s">
        <v>39</v>
      </c>
      <c r="K240" s="468" t="s">
        <v>201</v>
      </c>
      <c r="L240" s="638">
        <v>31193</v>
      </c>
      <c r="M240" s="451">
        <v>1566000</v>
      </c>
      <c r="N240" s="639"/>
      <c r="O240" s="639"/>
      <c r="P240" s="639"/>
      <c r="Q240" s="640"/>
      <c r="R240" s="641"/>
      <c r="S240" s="639"/>
      <c r="T240" s="639"/>
      <c r="U240" s="642">
        <v>5300000</v>
      </c>
      <c r="V240" s="332"/>
    </row>
    <row r="241" spans="1:22" s="190" customFormat="1" ht="32.25" customHeight="1" x14ac:dyDescent="0.2">
      <c r="A241" s="446">
        <v>225</v>
      </c>
      <c r="B241" s="635">
        <v>45944</v>
      </c>
      <c r="C241" s="457" t="s">
        <v>695</v>
      </c>
      <c r="D241" s="636"/>
      <c r="E241" s="468">
        <v>1</v>
      </c>
      <c r="F241" s="457" t="s">
        <v>696</v>
      </c>
      <c r="G241" s="457" t="s">
        <v>191</v>
      </c>
      <c r="H241" s="457" t="s">
        <v>180</v>
      </c>
      <c r="I241" s="637" t="s">
        <v>181</v>
      </c>
      <c r="J241" s="449" t="s">
        <v>39</v>
      </c>
      <c r="K241" s="457" t="s">
        <v>1647</v>
      </c>
      <c r="L241" s="638">
        <v>73815</v>
      </c>
      <c r="M241" s="451">
        <v>1512000</v>
      </c>
      <c r="N241" s="639"/>
      <c r="O241" s="639"/>
      <c r="P241" s="639"/>
      <c r="Q241" s="640"/>
      <c r="R241" s="641"/>
      <c r="S241" s="639"/>
      <c r="T241" s="639"/>
      <c r="U241" s="642">
        <v>4500000</v>
      </c>
      <c r="V241" s="332"/>
    </row>
    <row r="242" spans="1:22" s="190" customFormat="1" ht="32.25" customHeight="1" x14ac:dyDescent="0.2">
      <c r="A242" s="446">
        <v>226</v>
      </c>
      <c r="B242" s="635">
        <v>45944</v>
      </c>
      <c r="C242" s="457" t="s">
        <v>695</v>
      </c>
      <c r="D242" s="636"/>
      <c r="E242" s="468">
        <v>1</v>
      </c>
      <c r="F242" s="457" t="s">
        <v>699</v>
      </c>
      <c r="G242" s="457" t="s">
        <v>302</v>
      </c>
      <c r="H242" s="457" t="s">
        <v>180</v>
      </c>
      <c r="I242" s="637" t="s">
        <v>181</v>
      </c>
      <c r="J242" s="449" t="s">
        <v>39</v>
      </c>
      <c r="K242" s="457" t="s">
        <v>1647</v>
      </c>
      <c r="L242" s="638">
        <v>73725</v>
      </c>
      <c r="M242" s="451">
        <v>1512000</v>
      </c>
      <c r="N242" s="639"/>
      <c r="O242" s="639"/>
      <c r="P242" s="639"/>
      <c r="Q242" s="640"/>
      <c r="R242" s="641"/>
      <c r="S242" s="639"/>
      <c r="T242" s="639"/>
      <c r="U242" s="642">
        <v>4500000</v>
      </c>
      <c r="V242" s="332"/>
    </row>
    <row r="243" spans="1:22" s="190" customFormat="1" ht="32.25" customHeight="1" x14ac:dyDescent="0.2">
      <c r="A243" s="446">
        <v>227</v>
      </c>
      <c r="B243" s="635">
        <v>45944</v>
      </c>
      <c r="C243" s="457" t="s">
        <v>695</v>
      </c>
      <c r="D243" s="636"/>
      <c r="E243" s="468">
        <v>1</v>
      </c>
      <c r="F243" s="457" t="s">
        <v>701</v>
      </c>
      <c r="G243" s="457" t="s">
        <v>335</v>
      </c>
      <c r="H243" s="457" t="s">
        <v>180</v>
      </c>
      <c r="I243" s="637" t="s">
        <v>181</v>
      </c>
      <c r="J243" s="449" t="s">
        <v>39</v>
      </c>
      <c r="K243" s="457" t="s">
        <v>1647</v>
      </c>
      <c r="L243" s="638">
        <v>73607</v>
      </c>
      <c r="M243" s="451">
        <v>1512000</v>
      </c>
      <c r="N243" s="639"/>
      <c r="O243" s="639"/>
      <c r="P243" s="639"/>
      <c r="Q243" s="640"/>
      <c r="R243" s="641"/>
      <c r="S243" s="639"/>
      <c r="T243" s="639"/>
      <c r="U243" s="642">
        <v>4500000</v>
      </c>
      <c r="V243" s="332"/>
    </row>
    <row r="244" spans="1:22" s="190" customFormat="1" ht="32.25" customHeight="1" x14ac:dyDescent="0.2">
      <c r="A244" s="446">
        <v>228</v>
      </c>
      <c r="B244" s="635">
        <v>45944</v>
      </c>
      <c r="C244" s="457" t="s">
        <v>695</v>
      </c>
      <c r="D244" s="636"/>
      <c r="E244" s="468">
        <v>1</v>
      </c>
      <c r="F244" s="457" t="s">
        <v>703</v>
      </c>
      <c r="G244" s="646" t="s">
        <v>171</v>
      </c>
      <c r="H244" s="457" t="s">
        <v>180</v>
      </c>
      <c r="I244" s="637" t="s">
        <v>181</v>
      </c>
      <c r="J244" s="449" t="s">
        <v>39</v>
      </c>
      <c r="K244" s="457" t="s">
        <v>1647</v>
      </c>
      <c r="L244" s="638">
        <v>73523</v>
      </c>
      <c r="M244" s="451">
        <v>1512000</v>
      </c>
      <c r="N244" s="639"/>
      <c r="O244" s="639"/>
      <c r="P244" s="639"/>
      <c r="Q244" s="640"/>
      <c r="R244" s="641"/>
      <c r="S244" s="639"/>
      <c r="T244" s="639"/>
      <c r="U244" s="642">
        <v>4500000</v>
      </c>
      <c r="V244" s="332"/>
    </row>
    <row r="245" spans="1:22" s="190" customFormat="1" ht="32.25" customHeight="1" x14ac:dyDescent="0.2">
      <c r="A245" s="446">
        <v>229</v>
      </c>
      <c r="B245" s="643">
        <v>45944</v>
      </c>
      <c r="C245" s="463" t="s">
        <v>695</v>
      </c>
      <c r="D245" s="644"/>
      <c r="E245" s="645">
        <v>1</v>
      </c>
      <c r="F245" s="463" t="s">
        <v>705</v>
      </c>
      <c r="G245" s="457" t="s">
        <v>688</v>
      </c>
      <c r="H245" s="463" t="s">
        <v>180</v>
      </c>
      <c r="I245" s="647" t="s">
        <v>181</v>
      </c>
      <c r="J245" s="669" t="s">
        <v>39</v>
      </c>
      <c r="K245" s="463" t="s">
        <v>1647</v>
      </c>
      <c r="L245" s="638">
        <v>73716</v>
      </c>
      <c r="M245" s="451">
        <v>1512000</v>
      </c>
      <c r="N245" s="639"/>
      <c r="O245" s="639"/>
      <c r="P245" s="639"/>
      <c r="Q245" s="640"/>
      <c r="R245" s="641"/>
      <c r="S245" s="639"/>
      <c r="T245" s="639"/>
      <c r="U245" s="642">
        <v>4500000</v>
      </c>
      <c r="V245" s="332"/>
    </row>
    <row r="246" spans="1:22" s="190" customFormat="1" ht="32.25" customHeight="1" x14ac:dyDescent="0.2">
      <c r="A246" s="446">
        <v>230</v>
      </c>
      <c r="B246" s="635">
        <v>45944</v>
      </c>
      <c r="C246" s="457">
        <v>261525960</v>
      </c>
      <c r="D246" s="636"/>
      <c r="E246" s="468">
        <v>1</v>
      </c>
      <c r="F246" s="468" t="s">
        <v>706</v>
      </c>
      <c r="G246" s="457" t="s">
        <v>341</v>
      </c>
      <c r="H246" s="449" t="s">
        <v>172</v>
      </c>
      <c r="I246" s="637" t="s">
        <v>173</v>
      </c>
      <c r="J246" s="457" t="s">
        <v>1640</v>
      </c>
      <c r="K246" s="457" t="s">
        <v>39</v>
      </c>
      <c r="L246" s="638">
        <v>127442</v>
      </c>
      <c r="M246" s="451">
        <v>1450000</v>
      </c>
      <c r="N246" s="639"/>
      <c r="O246" s="639"/>
      <c r="P246" s="639"/>
      <c r="Q246" s="640"/>
      <c r="R246" s="641"/>
      <c r="S246" s="639"/>
      <c r="T246" s="639"/>
      <c r="U246" s="642">
        <v>2700000</v>
      </c>
      <c r="V246" s="332"/>
    </row>
    <row r="247" spans="1:22" s="190" customFormat="1" ht="32.25" customHeight="1" x14ac:dyDescent="0.2">
      <c r="A247" s="446">
        <v>231</v>
      </c>
      <c r="B247" s="635">
        <v>45944</v>
      </c>
      <c r="C247" s="457">
        <v>261525960</v>
      </c>
      <c r="D247" s="636"/>
      <c r="E247" s="468">
        <v>1</v>
      </c>
      <c r="F247" s="457" t="s">
        <v>708</v>
      </c>
      <c r="G247" s="457" t="s">
        <v>191</v>
      </c>
      <c r="H247" s="449" t="s">
        <v>172</v>
      </c>
      <c r="I247" s="637" t="s">
        <v>173</v>
      </c>
      <c r="J247" s="457" t="s">
        <v>1640</v>
      </c>
      <c r="K247" s="457" t="s">
        <v>39</v>
      </c>
      <c r="L247" s="457">
        <v>300416</v>
      </c>
      <c r="M247" s="451">
        <v>1500000</v>
      </c>
      <c r="N247" s="639"/>
      <c r="O247" s="639"/>
      <c r="P247" s="639"/>
      <c r="Q247" s="640"/>
      <c r="R247" s="641"/>
      <c r="S247" s="639"/>
      <c r="T247" s="639"/>
      <c r="U247" s="642">
        <v>2700000</v>
      </c>
      <c r="V247" s="332"/>
    </row>
    <row r="248" spans="1:22" s="190" customFormat="1" ht="32.25" customHeight="1" x14ac:dyDescent="0.2">
      <c r="A248" s="446">
        <v>232</v>
      </c>
      <c r="B248" s="635">
        <v>45944</v>
      </c>
      <c r="C248" s="457">
        <v>258474297</v>
      </c>
      <c r="D248" s="636"/>
      <c r="E248" s="468">
        <v>1</v>
      </c>
      <c r="F248" s="457" t="s">
        <v>709</v>
      </c>
      <c r="G248" s="457" t="s">
        <v>335</v>
      </c>
      <c r="H248" s="468" t="s">
        <v>180</v>
      </c>
      <c r="I248" s="637" t="s">
        <v>181</v>
      </c>
      <c r="J248" s="457" t="s">
        <v>39</v>
      </c>
      <c r="K248" s="468" t="s">
        <v>1637</v>
      </c>
      <c r="L248" s="638">
        <v>15292</v>
      </c>
      <c r="M248" s="451">
        <v>1500000</v>
      </c>
      <c r="N248" s="639"/>
      <c r="O248" s="639"/>
      <c r="P248" s="639"/>
      <c r="Q248" s="640"/>
      <c r="R248" s="641"/>
      <c r="S248" s="639"/>
      <c r="T248" s="639"/>
      <c r="U248" s="642">
        <v>4500000</v>
      </c>
      <c r="V248" s="332"/>
    </row>
    <row r="249" spans="1:22" s="190" customFormat="1" ht="32.25" customHeight="1" x14ac:dyDescent="0.2">
      <c r="A249" s="446">
        <v>233</v>
      </c>
      <c r="B249" s="635">
        <v>45944</v>
      </c>
      <c r="C249" s="457">
        <v>258474297</v>
      </c>
      <c r="D249" s="636"/>
      <c r="E249" s="468">
        <v>1</v>
      </c>
      <c r="F249" s="457" t="s">
        <v>711</v>
      </c>
      <c r="G249" s="457" t="s">
        <v>302</v>
      </c>
      <c r="H249" s="468" t="s">
        <v>180</v>
      </c>
      <c r="I249" s="637" t="s">
        <v>181</v>
      </c>
      <c r="J249" s="457" t="s">
        <v>39</v>
      </c>
      <c r="K249" s="468" t="s">
        <v>1637</v>
      </c>
      <c r="L249" s="638">
        <v>15293</v>
      </c>
      <c r="M249" s="451">
        <v>1500000</v>
      </c>
      <c r="N249" s="639"/>
      <c r="O249" s="639"/>
      <c r="P249" s="639"/>
      <c r="Q249" s="640"/>
      <c r="R249" s="641"/>
      <c r="S249" s="639"/>
      <c r="T249" s="639"/>
      <c r="U249" s="642">
        <v>4500000</v>
      </c>
      <c r="V249" s="332"/>
    </row>
    <row r="250" spans="1:22" s="190" customFormat="1" ht="32.25" customHeight="1" x14ac:dyDescent="0.2">
      <c r="A250" s="446">
        <v>234</v>
      </c>
      <c r="B250" s="635">
        <v>45944</v>
      </c>
      <c r="C250" s="457">
        <v>258474297</v>
      </c>
      <c r="D250" s="636"/>
      <c r="E250" s="468">
        <v>1</v>
      </c>
      <c r="F250" s="457" t="s">
        <v>713</v>
      </c>
      <c r="G250" s="457" t="s">
        <v>191</v>
      </c>
      <c r="H250" s="468" t="s">
        <v>180</v>
      </c>
      <c r="I250" s="637" t="s">
        <v>181</v>
      </c>
      <c r="J250" s="457" t="s">
        <v>39</v>
      </c>
      <c r="K250" s="468" t="s">
        <v>1637</v>
      </c>
      <c r="L250" s="638">
        <v>128107</v>
      </c>
      <c r="M250" s="451">
        <v>1450000</v>
      </c>
      <c r="N250" s="639"/>
      <c r="O250" s="639"/>
      <c r="P250" s="639"/>
      <c r="Q250" s="640"/>
      <c r="R250" s="641"/>
      <c r="S250" s="639"/>
      <c r="T250" s="639"/>
      <c r="U250" s="642">
        <v>4500000</v>
      </c>
      <c r="V250" s="332"/>
    </row>
    <row r="251" spans="1:22" s="190" customFormat="1" ht="32.25" customHeight="1" x14ac:dyDescent="0.2">
      <c r="A251" s="446">
        <v>235</v>
      </c>
      <c r="B251" s="635">
        <v>45944</v>
      </c>
      <c r="C251" s="457">
        <v>261841260</v>
      </c>
      <c r="D251" s="636"/>
      <c r="E251" s="468">
        <v>1</v>
      </c>
      <c r="F251" s="457" t="s">
        <v>711</v>
      </c>
      <c r="G251" s="457" t="s">
        <v>302</v>
      </c>
      <c r="H251" s="468" t="s">
        <v>662</v>
      </c>
      <c r="I251" s="637" t="s">
        <v>173</v>
      </c>
      <c r="J251" s="655"/>
      <c r="K251" s="655" t="s">
        <v>39</v>
      </c>
      <c r="L251" s="668">
        <v>15291</v>
      </c>
      <c r="M251" s="451">
        <v>1500000</v>
      </c>
      <c r="N251" s="639"/>
      <c r="O251" s="639"/>
      <c r="P251" s="639"/>
      <c r="Q251" s="640"/>
      <c r="R251" s="641"/>
      <c r="S251" s="639"/>
      <c r="T251" s="639"/>
      <c r="U251" s="642">
        <v>1890000</v>
      </c>
      <c r="V251" s="332"/>
    </row>
    <row r="252" spans="1:22" s="190" customFormat="1" ht="32.25" customHeight="1" x14ac:dyDescent="0.2">
      <c r="A252" s="446">
        <v>236</v>
      </c>
      <c r="B252" s="635">
        <v>45944</v>
      </c>
      <c r="C252" s="457">
        <v>261841260</v>
      </c>
      <c r="D252" s="636"/>
      <c r="E252" s="468">
        <v>1</v>
      </c>
      <c r="F252" s="457" t="s">
        <v>709</v>
      </c>
      <c r="G252" s="457" t="s">
        <v>335</v>
      </c>
      <c r="H252" s="468" t="s">
        <v>662</v>
      </c>
      <c r="I252" s="637" t="s">
        <v>173</v>
      </c>
      <c r="J252" s="655"/>
      <c r="K252" s="655" t="s">
        <v>39</v>
      </c>
      <c r="L252" s="638">
        <v>15294</v>
      </c>
      <c r="M252" s="451">
        <v>1500000</v>
      </c>
      <c r="N252" s="639"/>
      <c r="O252" s="639"/>
      <c r="P252" s="639"/>
      <c r="Q252" s="640"/>
      <c r="R252" s="641"/>
      <c r="S252" s="639"/>
      <c r="T252" s="639"/>
      <c r="U252" s="642">
        <v>1890000</v>
      </c>
      <c r="V252" s="332"/>
    </row>
    <row r="253" spans="1:22" s="190" customFormat="1" ht="32.25" customHeight="1" x14ac:dyDescent="0.2">
      <c r="A253" s="446">
        <v>237</v>
      </c>
      <c r="B253" s="635">
        <v>45944</v>
      </c>
      <c r="C253" s="457">
        <v>259710463</v>
      </c>
      <c r="D253" s="636"/>
      <c r="E253" s="468">
        <v>1</v>
      </c>
      <c r="F253" s="457" t="s">
        <v>718</v>
      </c>
      <c r="G253" s="646" t="s">
        <v>171</v>
      </c>
      <c r="H253" s="468" t="s">
        <v>1055</v>
      </c>
      <c r="I253" s="637" t="s">
        <v>720</v>
      </c>
      <c r="J253" s="457" t="s">
        <v>39</v>
      </c>
      <c r="K253" s="468" t="s">
        <v>1637</v>
      </c>
      <c r="L253" s="638">
        <v>128101</v>
      </c>
      <c r="M253" s="451">
        <v>1450000</v>
      </c>
      <c r="N253" s="639"/>
      <c r="O253" s="639"/>
      <c r="P253" s="639"/>
      <c r="Q253" s="640"/>
      <c r="R253" s="641"/>
      <c r="S253" s="639"/>
      <c r="T253" s="639"/>
      <c r="U253" s="642">
        <v>4000000</v>
      </c>
      <c r="V253" s="332"/>
    </row>
    <row r="254" spans="1:22" s="190" customFormat="1" ht="32.25" customHeight="1" x14ac:dyDescent="0.2">
      <c r="A254" s="446">
        <v>238</v>
      </c>
      <c r="B254" s="635">
        <v>45944</v>
      </c>
      <c r="C254" s="457">
        <v>259931083</v>
      </c>
      <c r="D254" s="636"/>
      <c r="E254" s="468">
        <v>1</v>
      </c>
      <c r="F254" s="457" t="s">
        <v>722</v>
      </c>
      <c r="G254" s="457" t="s">
        <v>688</v>
      </c>
      <c r="H254" s="468" t="s">
        <v>1055</v>
      </c>
      <c r="I254" s="637" t="s">
        <v>720</v>
      </c>
      <c r="J254" s="457" t="s">
        <v>39</v>
      </c>
      <c r="K254" s="468" t="s">
        <v>1637</v>
      </c>
      <c r="L254" s="638">
        <v>128083</v>
      </c>
      <c r="M254" s="451">
        <v>1450000</v>
      </c>
      <c r="N254" s="639"/>
      <c r="O254" s="639"/>
      <c r="P254" s="639"/>
      <c r="Q254" s="640"/>
      <c r="R254" s="641"/>
      <c r="S254" s="639"/>
      <c r="T254" s="639"/>
      <c r="U254" s="642">
        <v>4000000</v>
      </c>
      <c r="V254" s="332"/>
    </row>
    <row r="255" spans="1:22" s="190" customFormat="1" ht="32.25" customHeight="1" x14ac:dyDescent="0.2">
      <c r="A255" s="446">
        <v>239</v>
      </c>
      <c r="B255" s="635">
        <v>45944</v>
      </c>
      <c r="C255" s="457" t="s">
        <v>724</v>
      </c>
      <c r="D255" s="636"/>
      <c r="E255" s="468">
        <v>1</v>
      </c>
      <c r="F255" s="457" t="s">
        <v>725</v>
      </c>
      <c r="G255" s="457" t="s">
        <v>726</v>
      </c>
      <c r="H255" s="468" t="s">
        <v>1632</v>
      </c>
      <c r="I255" s="654" t="s">
        <v>256</v>
      </c>
      <c r="J255" s="457" t="s">
        <v>39</v>
      </c>
      <c r="K255" s="457" t="s">
        <v>1630</v>
      </c>
      <c r="L255" s="457">
        <v>7714</v>
      </c>
      <c r="M255" s="451">
        <v>1500000</v>
      </c>
      <c r="N255" s="639"/>
      <c r="O255" s="639"/>
      <c r="P255" s="639"/>
      <c r="Q255" s="640"/>
      <c r="R255" s="641"/>
      <c r="S255" s="639"/>
      <c r="T255" s="639"/>
      <c r="U255" s="642">
        <v>4500000</v>
      </c>
      <c r="V255" s="332"/>
    </row>
    <row r="256" spans="1:22" s="190" customFormat="1" ht="32.25" customHeight="1" x14ac:dyDescent="0.2">
      <c r="A256" s="446">
        <v>240</v>
      </c>
      <c r="B256" s="635">
        <v>45944</v>
      </c>
      <c r="C256" s="457" t="s">
        <v>724</v>
      </c>
      <c r="D256" s="636"/>
      <c r="E256" s="468">
        <v>1</v>
      </c>
      <c r="F256" s="457" t="s">
        <v>727</v>
      </c>
      <c r="G256" s="670" t="s">
        <v>728</v>
      </c>
      <c r="H256" s="468" t="s">
        <v>1632</v>
      </c>
      <c r="I256" s="654" t="s">
        <v>256</v>
      </c>
      <c r="J256" s="457" t="s">
        <v>39</v>
      </c>
      <c r="K256" s="457" t="s">
        <v>1630</v>
      </c>
      <c r="L256" s="638">
        <v>1421</v>
      </c>
      <c r="M256" s="451">
        <v>1500000</v>
      </c>
      <c r="N256" s="639"/>
      <c r="O256" s="639"/>
      <c r="P256" s="639"/>
      <c r="Q256" s="640"/>
      <c r="R256" s="641"/>
      <c r="S256" s="639"/>
      <c r="T256" s="639"/>
      <c r="U256" s="642">
        <v>4500000</v>
      </c>
      <c r="V256" s="332"/>
    </row>
    <row r="257" spans="1:22" s="190" customFormat="1" ht="32.25" customHeight="1" x14ac:dyDescent="0.2">
      <c r="A257" s="446"/>
      <c r="B257" s="635">
        <v>45976</v>
      </c>
      <c r="C257" s="457"/>
      <c r="D257" s="636"/>
      <c r="E257" s="468"/>
      <c r="F257" s="457" t="s">
        <v>525</v>
      </c>
      <c r="G257" s="670"/>
      <c r="H257" s="468"/>
      <c r="I257" s="654"/>
      <c r="J257" s="457"/>
      <c r="K257" s="457"/>
      <c r="L257" s="638" t="s">
        <v>1673</v>
      </c>
      <c r="M257" s="451">
        <v>0</v>
      </c>
      <c r="N257" s="639"/>
      <c r="O257" s="639"/>
      <c r="P257" s="639"/>
      <c r="Q257" s="640"/>
      <c r="R257" s="641"/>
      <c r="S257" s="639"/>
      <c r="T257" s="639"/>
      <c r="U257" s="642">
        <v>4500000</v>
      </c>
      <c r="V257" s="332"/>
    </row>
    <row r="258" spans="1:22" s="190" customFormat="1" ht="32.25" customHeight="1" x14ac:dyDescent="0.2">
      <c r="A258" s="446">
        <v>241</v>
      </c>
      <c r="B258" s="635">
        <v>45977</v>
      </c>
      <c r="C258" s="655" t="s">
        <v>730</v>
      </c>
      <c r="D258" s="650"/>
      <c r="E258" s="651">
        <v>1</v>
      </c>
      <c r="F258" s="655" t="s">
        <v>731</v>
      </c>
      <c r="G258" s="457" t="s">
        <v>341</v>
      </c>
      <c r="H258" s="457" t="s">
        <v>298</v>
      </c>
      <c r="I258" s="665" t="s">
        <v>299</v>
      </c>
      <c r="J258" s="655" t="s">
        <v>39</v>
      </c>
      <c r="K258" s="470" t="s">
        <v>1648</v>
      </c>
      <c r="L258" s="638">
        <v>415071</v>
      </c>
      <c r="M258" s="451">
        <v>1500000</v>
      </c>
      <c r="N258" s="639"/>
      <c r="O258" s="639"/>
      <c r="P258" s="639"/>
      <c r="Q258" s="640"/>
      <c r="R258" s="641"/>
      <c r="S258" s="639"/>
      <c r="T258" s="639"/>
      <c r="U258" s="642">
        <v>5300000</v>
      </c>
      <c r="V258" s="332"/>
    </row>
    <row r="259" spans="1:22" s="190" customFormat="1" ht="32.25" customHeight="1" x14ac:dyDescent="0.2">
      <c r="A259" s="446">
        <v>242</v>
      </c>
      <c r="B259" s="635">
        <v>45977</v>
      </c>
      <c r="C259" s="457" t="s">
        <v>730</v>
      </c>
      <c r="D259" s="636"/>
      <c r="E259" s="468">
        <v>1</v>
      </c>
      <c r="F259" s="457" t="s">
        <v>734</v>
      </c>
      <c r="G259" s="646" t="s">
        <v>308</v>
      </c>
      <c r="H259" s="457" t="s">
        <v>298</v>
      </c>
      <c r="I259" s="637" t="s">
        <v>299</v>
      </c>
      <c r="J259" s="457" t="s">
        <v>39</v>
      </c>
      <c r="K259" s="468" t="s">
        <v>1648</v>
      </c>
      <c r="L259" s="457">
        <v>28080</v>
      </c>
      <c r="M259" s="451">
        <v>1500000</v>
      </c>
      <c r="N259" s="639"/>
      <c r="O259" s="639"/>
      <c r="P259" s="639"/>
      <c r="Q259" s="640"/>
      <c r="R259" s="641"/>
      <c r="S259" s="639"/>
      <c r="T259" s="639"/>
      <c r="U259" s="642">
        <v>5300000</v>
      </c>
      <c r="V259" s="332"/>
    </row>
    <row r="260" spans="1:22" s="190" customFormat="1" ht="32.25" customHeight="1" x14ac:dyDescent="0.2">
      <c r="A260" s="446">
        <v>243</v>
      </c>
      <c r="B260" s="635">
        <v>45977</v>
      </c>
      <c r="C260" s="457" t="s">
        <v>730</v>
      </c>
      <c r="D260" s="636"/>
      <c r="E260" s="468">
        <v>1</v>
      </c>
      <c r="F260" s="457" t="s">
        <v>735</v>
      </c>
      <c r="G260" s="457" t="s">
        <v>305</v>
      </c>
      <c r="H260" s="457" t="s">
        <v>298</v>
      </c>
      <c r="I260" s="637" t="s">
        <v>299</v>
      </c>
      <c r="J260" s="457" t="s">
        <v>39</v>
      </c>
      <c r="K260" s="468" t="s">
        <v>1648</v>
      </c>
      <c r="L260" s="457">
        <v>13093</v>
      </c>
      <c r="M260" s="451">
        <v>1500000</v>
      </c>
      <c r="N260" s="639"/>
      <c r="O260" s="639"/>
      <c r="P260" s="639"/>
      <c r="Q260" s="640"/>
      <c r="R260" s="641"/>
      <c r="S260" s="639"/>
      <c r="T260" s="639"/>
      <c r="U260" s="642">
        <v>5300000</v>
      </c>
      <c r="V260" s="332"/>
    </row>
    <row r="261" spans="1:22" s="190" customFormat="1" ht="32.25" customHeight="1" x14ac:dyDescent="0.2">
      <c r="A261" s="446">
        <v>244</v>
      </c>
      <c r="B261" s="635">
        <v>45977</v>
      </c>
      <c r="C261" s="457" t="s">
        <v>730</v>
      </c>
      <c r="D261" s="636"/>
      <c r="E261" s="468">
        <v>1</v>
      </c>
      <c r="F261" s="457" t="s">
        <v>736</v>
      </c>
      <c r="G261" s="457" t="s">
        <v>302</v>
      </c>
      <c r="H261" s="457" t="s">
        <v>298</v>
      </c>
      <c r="I261" s="637" t="s">
        <v>299</v>
      </c>
      <c r="J261" s="457" t="s">
        <v>39</v>
      </c>
      <c r="K261" s="468" t="s">
        <v>1648</v>
      </c>
      <c r="L261" s="457">
        <v>13123</v>
      </c>
      <c r="M261" s="451">
        <v>1500000</v>
      </c>
      <c r="N261" s="639"/>
      <c r="O261" s="639"/>
      <c r="P261" s="639"/>
      <c r="Q261" s="640"/>
      <c r="R261" s="641"/>
      <c r="S261" s="639"/>
      <c r="T261" s="639"/>
      <c r="U261" s="642">
        <v>5300000</v>
      </c>
      <c r="V261" s="332"/>
    </row>
    <row r="262" spans="1:22" s="190" customFormat="1" ht="32.25" customHeight="1" x14ac:dyDescent="0.2">
      <c r="A262" s="446">
        <v>245</v>
      </c>
      <c r="B262" s="635">
        <v>45977</v>
      </c>
      <c r="C262" s="457" t="s">
        <v>730</v>
      </c>
      <c r="D262" s="636"/>
      <c r="E262" s="468">
        <v>1</v>
      </c>
      <c r="F262" s="468" t="s">
        <v>737</v>
      </c>
      <c r="G262" s="457" t="s">
        <v>213</v>
      </c>
      <c r="H262" s="457" t="s">
        <v>298</v>
      </c>
      <c r="I262" s="637" t="s">
        <v>299</v>
      </c>
      <c r="J262" s="457" t="s">
        <v>39</v>
      </c>
      <c r="K262" s="468" t="s">
        <v>1648</v>
      </c>
      <c r="L262" s="457">
        <v>28076</v>
      </c>
      <c r="M262" s="451">
        <v>1500000</v>
      </c>
      <c r="N262" s="639"/>
      <c r="O262" s="639"/>
      <c r="P262" s="639"/>
      <c r="Q262" s="640"/>
      <c r="R262" s="641"/>
      <c r="S262" s="639"/>
      <c r="T262" s="639"/>
      <c r="U262" s="642">
        <v>5300000</v>
      </c>
      <c r="V262" s="332"/>
    </row>
    <row r="263" spans="1:22" s="190" customFormat="1" ht="32.25" customHeight="1" x14ac:dyDescent="0.2">
      <c r="A263" s="446">
        <v>246</v>
      </c>
      <c r="B263" s="635">
        <v>45977</v>
      </c>
      <c r="C263" s="457" t="s">
        <v>730</v>
      </c>
      <c r="D263" s="636"/>
      <c r="E263" s="468">
        <v>1</v>
      </c>
      <c r="F263" s="457" t="s">
        <v>738</v>
      </c>
      <c r="G263" s="457" t="s">
        <v>185</v>
      </c>
      <c r="H263" s="457" t="s">
        <v>298</v>
      </c>
      <c r="I263" s="637" t="s">
        <v>299</v>
      </c>
      <c r="J263" s="457" t="s">
        <v>39</v>
      </c>
      <c r="K263" s="468" t="s">
        <v>1648</v>
      </c>
      <c r="L263" s="638">
        <v>7994</v>
      </c>
      <c r="M263" s="451">
        <v>1500000</v>
      </c>
      <c r="N263" s="639"/>
      <c r="O263" s="639"/>
      <c r="P263" s="639"/>
      <c r="Q263" s="640"/>
      <c r="R263" s="641"/>
      <c r="S263" s="639"/>
      <c r="T263" s="639"/>
      <c r="U263" s="642">
        <v>5300000</v>
      </c>
      <c r="V263" s="332"/>
    </row>
    <row r="264" spans="1:22" s="190" customFormat="1" ht="32.25" customHeight="1" x14ac:dyDescent="0.2">
      <c r="A264" s="446">
        <v>247</v>
      </c>
      <c r="B264" s="635">
        <v>45977</v>
      </c>
      <c r="C264" s="457" t="s">
        <v>740</v>
      </c>
      <c r="D264" s="636"/>
      <c r="E264" s="468">
        <v>1</v>
      </c>
      <c r="F264" s="457" t="s">
        <v>741</v>
      </c>
      <c r="G264" s="457" t="s">
        <v>742</v>
      </c>
      <c r="H264" s="468" t="s">
        <v>180</v>
      </c>
      <c r="I264" s="637" t="s">
        <v>181</v>
      </c>
      <c r="J264" s="457" t="s">
        <v>39</v>
      </c>
      <c r="K264" s="457" t="s">
        <v>1631</v>
      </c>
      <c r="L264" s="457">
        <v>28075</v>
      </c>
      <c r="M264" s="451">
        <v>1500000</v>
      </c>
      <c r="N264" s="671"/>
      <c r="O264" s="671"/>
      <c r="P264" s="671"/>
      <c r="Q264" s="672"/>
      <c r="R264" s="451"/>
      <c r="S264" s="671"/>
      <c r="T264" s="671"/>
      <c r="U264" s="642">
        <v>4500000</v>
      </c>
      <c r="V264" s="332"/>
    </row>
    <row r="265" spans="1:22" s="190" customFormat="1" ht="32.25" customHeight="1" x14ac:dyDescent="0.2">
      <c r="A265" s="446">
        <v>248</v>
      </c>
      <c r="B265" s="635">
        <v>45977</v>
      </c>
      <c r="C265" s="457" t="s">
        <v>740</v>
      </c>
      <c r="D265" s="636"/>
      <c r="E265" s="468">
        <v>1</v>
      </c>
      <c r="F265" s="468" t="s">
        <v>743</v>
      </c>
      <c r="G265" s="457" t="s">
        <v>744</v>
      </c>
      <c r="H265" s="468" t="s">
        <v>180</v>
      </c>
      <c r="I265" s="637" t="s">
        <v>181</v>
      </c>
      <c r="J265" s="457" t="s">
        <v>39</v>
      </c>
      <c r="K265" s="457" t="s">
        <v>1631</v>
      </c>
      <c r="L265" s="638">
        <v>415238</v>
      </c>
      <c r="M265" s="451">
        <v>1500000</v>
      </c>
      <c r="N265" s="671"/>
      <c r="O265" s="671"/>
      <c r="P265" s="671"/>
      <c r="Q265" s="672"/>
      <c r="R265" s="451"/>
      <c r="S265" s="671"/>
      <c r="T265" s="671"/>
      <c r="U265" s="642">
        <v>4500000</v>
      </c>
      <c r="V265" s="332"/>
    </row>
    <row r="266" spans="1:22" s="190" customFormat="1" ht="32.25" customHeight="1" x14ac:dyDescent="0.2">
      <c r="A266" s="446">
        <v>249</v>
      </c>
      <c r="B266" s="635">
        <v>45977</v>
      </c>
      <c r="C266" s="468" t="s">
        <v>746</v>
      </c>
      <c r="D266" s="468"/>
      <c r="E266" s="468">
        <v>1</v>
      </c>
      <c r="F266" s="457" t="s">
        <v>747</v>
      </c>
      <c r="G266" s="457" t="s">
        <v>748</v>
      </c>
      <c r="H266" s="468" t="s">
        <v>1632</v>
      </c>
      <c r="I266" s="637" t="s">
        <v>299</v>
      </c>
      <c r="J266" s="457" t="s">
        <v>39</v>
      </c>
      <c r="K266" s="457" t="s">
        <v>1629</v>
      </c>
      <c r="L266" s="457">
        <v>129930</v>
      </c>
      <c r="M266" s="451">
        <v>1500000</v>
      </c>
      <c r="N266" s="671"/>
      <c r="O266" s="671"/>
      <c r="P266" s="671"/>
      <c r="Q266" s="672"/>
      <c r="R266" s="451"/>
      <c r="S266" s="671"/>
      <c r="T266" s="671"/>
      <c r="U266" s="642">
        <v>4500000</v>
      </c>
      <c r="V266" s="332"/>
    </row>
    <row r="267" spans="1:22" s="190" customFormat="1" ht="32.25" customHeight="1" x14ac:dyDescent="0.2">
      <c r="A267" s="446">
        <v>250</v>
      </c>
      <c r="B267" s="635">
        <v>45977</v>
      </c>
      <c r="C267" s="468" t="s">
        <v>746</v>
      </c>
      <c r="D267" s="636"/>
      <c r="E267" s="468">
        <v>1</v>
      </c>
      <c r="F267" s="457" t="s">
        <v>749</v>
      </c>
      <c r="G267" s="468" t="s">
        <v>750</v>
      </c>
      <c r="H267" s="468" t="s">
        <v>1632</v>
      </c>
      <c r="I267" s="637" t="s">
        <v>299</v>
      </c>
      <c r="J267" s="457" t="s">
        <v>39</v>
      </c>
      <c r="K267" s="457" t="s">
        <v>1629</v>
      </c>
      <c r="L267" s="638">
        <v>129924</v>
      </c>
      <c r="M267" s="451">
        <v>1500000</v>
      </c>
      <c r="N267" s="671"/>
      <c r="O267" s="671"/>
      <c r="P267" s="671"/>
      <c r="Q267" s="672"/>
      <c r="R267" s="451"/>
      <c r="S267" s="671"/>
      <c r="T267" s="671"/>
      <c r="U267" s="642">
        <v>4500000</v>
      </c>
      <c r="V267" s="332"/>
    </row>
    <row r="268" spans="1:22" s="190" customFormat="1" ht="32.25" customHeight="1" x14ac:dyDescent="0.2">
      <c r="A268" s="446">
        <v>251</v>
      </c>
      <c r="B268" s="635">
        <v>45977</v>
      </c>
      <c r="C268" s="468" t="s">
        <v>746</v>
      </c>
      <c r="D268" s="636"/>
      <c r="E268" s="468">
        <v>1</v>
      </c>
      <c r="F268" s="457" t="s">
        <v>752</v>
      </c>
      <c r="G268" s="457" t="s">
        <v>560</v>
      </c>
      <c r="H268" s="468" t="s">
        <v>1632</v>
      </c>
      <c r="I268" s="637" t="s">
        <v>299</v>
      </c>
      <c r="J268" s="457" t="s">
        <v>39</v>
      </c>
      <c r="K268" s="457" t="s">
        <v>1629</v>
      </c>
      <c r="L268" s="638">
        <v>129978</v>
      </c>
      <c r="M268" s="451">
        <v>1500000</v>
      </c>
      <c r="N268" s="671"/>
      <c r="O268" s="671"/>
      <c r="P268" s="671"/>
      <c r="Q268" s="672"/>
      <c r="R268" s="451"/>
      <c r="S268" s="671"/>
      <c r="T268" s="671"/>
      <c r="U268" s="642">
        <v>4500000</v>
      </c>
      <c r="V268" s="332"/>
    </row>
    <row r="269" spans="1:22" s="190" customFormat="1" ht="32.25" customHeight="1" x14ac:dyDescent="0.2">
      <c r="A269" s="446">
        <v>252</v>
      </c>
      <c r="B269" s="635">
        <v>45977</v>
      </c>
      <c r="C269" s="468" t="s">
        <v>746</v>
      </c>
      <c r="D269" s="636"/>
      <c r="E269" s="468">
        <v>1</v>
      </c>
      <c r="F269" s="468" t="s">
        <v>754</v>
      </c>
      <c r="G269" s="457" t="s">
        <v>755</v>
      </c>
      <c r="H269" s="468" t="s">
        <v>1632</v>
      </c>
      <c r="I269" s="637" t="s">
        <v>299</v>
      </c>
      <c r="J269" s="457" t="s">
        <v>39</v>
      </c>
      <c r="K269" s="457" t="s">
        <v>1629</v>
      </c>
      <c r="L269" s="638">
        <v>129970</v>
      </c>
      <c r="M269" s="451">
        <v>1500000</v>
      </c>
      <c r="N269" s="671"/>
      <c r="O269" s="671"/>
      <c r="P269" s="671"/>
      <c r="Q269" s="672"/>
      <c r="R269" s="451"/>
      <c r="S269" s="671"/>
      <c r="T269" s="671"/>
      <c r="U269" s="642">
        <v>4500000</v>
      </c>
      <c r="V269" s="332"/>
    </row>
    <row r="270" spans="1:22" s="190" customFormat="1" ht="32.25" customHeight="1" x14ac:dyDescent="0.2">
      <c r="A270" s="446">
        <v>253</v>
      </c>
      <c r="B270" s="635">
        <v>45977</v>
      </c>
      <c r="C270" s="457">
        <v>2314640630</v>
      </c>
      <c r="D270" s="636"/>
      <c r="E270" s="468">
        <v>1</v>
      </c>
      <c r="F270" s="457" t="s">
        <v>759</v>
      </c>
      <c r="G270" s="457" t="s">
        <v>760</v>
      </c>
      <c r="H270" s="457" t="s">
        <v>298</v>
      </c>
      <c r="I270" s="637" t="s">
        <v>299</v>
      </c>
      <c r="J270" s="457" t="s">
        <v>1631</v>
      </c>
      <c r="K270" s="457" t="s">
        <v>39</v>
      </c>
      <c r="L270" s="457" t="s">
        <v>761</v>
      </c>
      <c r="M270" s="451">
        <v>1500000</v>
      </c>
      <c r="N270" s="639"/>
      <c r="O270" s="639"/>
      <c r="P270" s="639"/>
      <c r="Q270" s="640"/>
      <c r="R270" s="641"/>
      <c r="S270" s="639"/>
      <c r="T270" s="639"/>
      <c r="U270" s="642">
        <v>5300000</v>
      </c>
      <c r="V270" s="332"/>
    </row>
    <row r="271" spans="1:22" s="190" customFormat="1" ht="32.25" customHeight="1" x14ac:dyDescent="0.2">
      <c r="A271" s="446">
        <v>254</v>
      </c>
      <c r="B271" s="635">
        <v>45977</v>
      </c>
      <c r="C271" s="457">
        <v>2314676690</v>
      </c>
      <c r="D271" s="636"/>
      <c r="E271" s="468">
        <v>1</v>
      </c>
      <c r="F271" s="457" t="s">
        <v>764</v>
      </c>
      <c r="G271" s="457" t="s">
        <v>765</v>
      </c>
      <c r="H271" s="457" t="s">
        <v>298</v>
      </c>
      <c r="I271" s="637" t="s">
        <v>299</v>
      </c>
      <c r="J271" s="457" t="s">
        <v>1631</v>
      </c>
      <c r="K271" s="457" t="s">
        <v>39</v>
      </c>
      <c r="L271" s="638">
        <v>414641</v>
      </c>
      <c r="M271" s="451">
        <v>1500000</v>
      </c>
      <c r="N271" s="639"/>
      <c r="O271" s="639"/>
      <c r="P271" s="639"/>
      <c r="Q271" s="640"/>
      <c r="R271" s="641"/>
      <c r="S271" s="639"/>
      <c r="T271" s="639"/>
      <c r="U271" s="642">
        <v>5300000</v>
      </c>
      <c r="V271" s="332"/>
    </row>
    <row r="272" spans="1:22" s="190" customFormat="1" ht="32.25" customHeight="1" x14ac:dyDescent="0.2">
      <c r="A272" s="446">
        <v>255</v>
      </c>
      <c r="B272" s="635">
        <v>45977</v>
      </c>
      <c r="C272" s="457">
        <v>2314640630</v>
      </c>
      <c r="D272" s="636"/>
      <c r="E272" s="468">
        <v>1</v>
      </c>
      <c r="F272" s="468" t="s">
        <v>762</v>
      </c>
      <c r="G272" s="457" t="s">
        <v>763</v>
      </c>
      <c r="H272" s="457" t="s">
        <v>298</v>
      </c>
      <c r="I272" s="637" t="s">
        <v>299</v>
      </c>
      <c r="J272" s="457" t="s">
        <v>1631</v>
      </c>
      <c r="K272" s="457" t="s">
        <v>39</v>
      </c>
      <c r="L272" s="457">
        <v>414890</v>
      </c>
      <c r="M272" s="451">
        <v>1500000</v>
      </c>
      <c r="N272" s="639"/>
      <c r="O272" s="639"/>
      <c r="P272" s="639"/>
      <c r="Q272" s="640"/>
      <c r="R272" s="641"/>
      <c r="S272" s="639"/>
      <c r="T272" s="639"/>
      <c r="U272" s="642">
        <v>5300000</v>
      </c>
      <c r="V272" s="332"/>
    </row>
    <row r="273" spans="1:22" s="190" customFormat="1" ht="32.25" customHeight="1" x14ac:dyDescent="0.2">
      <c r="A273" s="446">
        <v>256</v>
      </c>
      <c r="B273" s="635">
        <v>45977</v>
      </c>
      <c r="C273" s="457">
        <v>2314676690</v>
      </c>
      <c r="D273" s="636"/>
      <c r="E273" s="468">
        <v>1</v>
      </c>
      <c r="F273" s="457" t="s">
        <v>757</v>
      </c>
      <c r="G273" s="457" t="s">
        <v>758</v>
      </c>
      <c r="H273" s="457" t="s">
        <v>298</v>
      </c>
      <c r="I273" s="637" t="s">
        <v>299</v>
      </c>
      <c r="J273" s="457" t="s">
        <v>1631</v>
      </c>
      <c r="K273" s="457" t="s">
        <v>39</v>
      </c>
      <c r="L273" s="673">
        <v>414616</v>
      </c>
      <c r="M273" s="641">
        <v>1500000</v>
      </c>
      <c r="N273" s="639"/>
      <c r="O273" s="639"/>
      <c r="P273" s="639"/>
      <c r="Q273" s="640"/>
      <c r="R273" s="641"/>
      <c r="S273" s="639"/>
      <c r="T273" s="639"/>
      <c r="U273" s="642">
        <v>5300000</v>
      </c>
      <c r="V273" s="332"/>
    </row>
    <row r="274" spans="1:22" s="190" customFormat="1" ht="32.25" customHeight="1" x14ac:dyDescent="0.2">
      <c r="A274" s="446">
        <v>257</v>
      </c>
      <c r="B274" s="635">
        <v>45977</v>
      </c>
      <c r="C274" s="457" t="s">
        <v>766</v>
      </c>
      <c r="D274" s="636"/>
      <c r="E274" s="468">
        <v>1</v>
      </c>
      <c r="F274" s="457" t="s">
        <v>767</v>
      </c>
      <c r="G274" s="457" t="s">
        <v>768</v>
      </c>
      <c r="H274" s="468" t="s">
        <v>1632</v>
      </c>
      <c r="I274" s="654" t="s">
        <v>256</v>
      </c>
      <c r="J274" s="457" t="s">
        <v>39</v>
      </c>
      <c r="K274" s="457" t="s">
        <v>1630</v>
      </c>
      <c r="L274" s="673">
        <v>141471</v>
      </c>
      <c r="M274" s="641">
        <v>1500000</v>
      </c>
      <c r="N274" s="639"/>
      <c r="O274" s="639"/>
      <c r="P274" s="639"/>
      <c r="Q274" s="640"/>
      <c r="R274" s="641"/>
      <c r="S274" s="639"/>
      <c r="T274" s="639"/>
      <c r="U274" s="642">
        <v>4500000</v>
      </c>
      <c r="V274" s="332"/>
    </row>
    <row r="275" spans="1:22" s="190" customFormat="1" ht="32.25" customHeight="1" x14ac:dyDescent="0.2">
      <c r="A275" s="446">
        <v>258</v>
      </c>
      <c r="B275" s="635">
        <v>45977</v>
      </c>
      <c r="C275" s="457">
        <v>258474143</v>
      </c>
      <c r="D275" s="636"/>
      <c r="E275" s="468">
        <v>1</v>
      </c>
      <c r="F275" s="468" t="s">
        <v>1142</v>
      </c>
      <c r="G275" s="457" t="s">
        <v>1649</v>
      </c>
      <c r="H275" s="468" t="s">
        <v>180</v>
      </c>
      <c r="I275" s="654" t="s">
        <v>181</v>
      </c>
      <c r="J275" s="457" t="s">
        <v>39</v>
      </c>
      <c r="K275" s="457" t="s">
        <v>1637</v>
      </c>
      <c r="L275" s="673" t="s">
        <v>1650</v>
      </c>
      <c r="M275" s="641">
        <v>1450000</v>
      </c>
      <c r="N275" s="639"/>
      <c r="O275" s="639"/>
      <c r="P275" s="639"/>
      <c r="Q275" s="640"/>
      <c r="R275" s="641"/>
      <c r="S275" s="639"/>
      <c r="T275" s="639"/>
      <c r="U275" s="642">
        <v>4500000</v>
      </c>
      <c r="V275" s="332"/>
    </row>
    <row r="276" spans="1:22" s="190" customFormat="1" ht="32.25" customHeight="1" x14ac:dyDescent="0.2">
      <c r="A276" s="446">
        <v>259</v>
      </c>
      <c r="B276" s="635">
        <v>45977</v>
      </c>
      <c r="C276" s="457">
        <v>258474143</v>
      </c>
      <c r="D276" s="636"/>
      <c r="E276" s="468">
        <v>1</v>
      </c>
      <c r="F276" s="457" t="s">
        <v>1143</v>
      </c>
      <c r="G276" s="457" t="s">
        <v>1651</v>
      </c>
      <c r="H276" s="468" t="s">
        <v>180</v>
      </c>
      <c r="I276" s="654" t="s">
        <v>181</v>
      </c>
      <c r="J276" s="468" t="s">
        <v>39</v>
      </c>
      <c r="K276" s="457" t="s">
        <v>1637</v>
      </c>
      <c r="L276" s="673">
        <v>128435</v>
      </c>
      <c r="M276" s="641">
        <v>1450000</v>
      </c>
      <c r="N276" s="639"/>
      <c r="O276" s="639"/>
      <c r="P276" s="639"/>
      <c r="Q276" s="640"/>
      <c r="R276" s="641"/>
      <c r="S276" s="639"/>
      <c r="T276" s="639"/>
      <c r="U276" s="642">
        <v>4500000</v>
      </c>
      <c r="V276" s="332"/>
    </row>
    <row r="277" spans="1:22" s="190" customFormat="1" ht="32.25" customHeight="1" x14ac:dyDescent="0.2">
      <c r="A277" s="446">
        <v>260</v>
      </c>
      <c r="B277" s="635">
        <v>45977</v>
      </c>
      <c r="C277" s="457">
        <v>258474143</v>
      </c>
      <c r="D277" s="636"/>
      <c r="E277" s="468">
        <v>1</v>
      </c>
      <c r="F277" s="457" t="s">
        <v>1141</v>
      </c>
      <c r="G277" s="646" t="s">
        <v>254</v>
      </c>
      <c r="H277" s="468" t="s">
        <v>180</v>
      </c>
      <c r="I277" s="654" t="s">
        <v>181</v>
      </c>
      <c r="J277" s="468" t="s">
        <v>39</v>
      </c>
      <c r="K277" s="457" t="s">
        <v>1637</v>
      </c>
      <c r="L277" s="673">
        <v>128806</v>
      </c>
      <c r="M277" s="641">
        <v>1450000</v>
      </c>
      <c r="N277" s="639"/>
      <c r="O277" s="639"/>
      <c r="P277" s="639"/>
      <c r="Q277" s="640"/>
      <c r="R277" s="641"/>
      <c r="S277" s="639"/>
      <c r="T277" s="639"/>
      <c r="U277" s="642">
        <v>4500000</v>
      </c>
      <c r="V277" s="332"/>
    </row>
    <row r="278" spans="1:22" s="190" customFormat="1" ht="32.25" customHeight="1" x14ac:dyDescent="0.2">
      <c r="A278" s="446">
        <v>261</v>
      </c>
      <c r="B278" s="635">
        <v>45978</v>
      </c>
      <c r="C278" s="457">
        <v>257750909</v>
      </c>
      <c r="D278" s="636"/>
      <c r="E278" s="468">
        <v>1</v>
      </c>
      <c r="F278" s="457" t="s">
        <v>770</v>
      </c>
      <c r="G278" s="457" t="s">
        <v>771</v>
      </c>
      <c r="H278" s="468" t="s">
        <v>1632</v>
      </c>
      <c r="I278" s="654" t="s">
        <v>256</v>
      </c>
      <c r="J278" s="468" t="s">
        <v>39</v>
      </c>
      <c r="K278" s="457" t="s">
        <v>1637</v>
      </c>
      <c r="L278" s="673">
        <v>15515</v>
      </c>
      <c r="M278" s="641">
        <v>1500000</v>
      </c>
      <c r="N278" s="639"/>
      <c r="O278" s="639"/>
      <c r="P278" s="639"/>
      <c r="Q278" s="640"/>
      <c r="R278" s="641"/>
      <c r="S278" s="639"/>
      <c r="T278" s="639"/>
      <c r="U278" s="642">
        <v>4500000</v>
      </c>
      <c r="V278" s="332"/>
    </row>
    <row r="279" spans="1:22" s="190" customFormat="1" ht="32.25" customHeight="1" x14ac:dyDescent="0.2">
      <c r="A279" s="446">
        <v>262</v>
      </c>
      <c r="B279" s="635">
        <v>45978</v>
      </c>
      <c r="C279" s="457">
        <v>257750909</v>
      </c>
      <c r="D279" s="636"/>
      <c r="E279" s="468">
        <v>1</v>
      </c>
      <c r="F279" s="457" t="s">
        <v>773</v>
      </c>
      <c r="G279" s="457" t="s">
        <v>774</v>
      </c>
      <c r="H279" s="468" t="s">
        <v>1632</v>
      </c>
      <c r="I279" s="654" t="s">
        <v>256</v>
      </c>
      <c r="J279" s="468" t="s">
        <v>39</v>
      </c>
      <c r="K279" s="457" t="s">
        <v>1637</v>
      </c>
      <c r="L279" s="673">
        <v>15530</v>
      </c>
      <c r="M279" s="641">
        <v>1500000</v>
      </c>
      <c r="N279" s="639"/>
      <c r="O279" s="639"/>
      <c r="P279" s="639"/>
      <c r="Q279" s="640"/>
      <c r="R279" s="641"/>
      <c r="S279" s="639"/>
      <c r="T279" s="639"/>
      <c r="U279" s="642">
        <v>4500000</v>
      </c>
      <c r="V279" s="332"/>
    </row>
    <row r="280" spans="1:22" s="190" customFormat="1" ht="32.25" customHeight="1" x14ac:dyDescent="0.2">
      <c r="A280" s="446">
        <v>263</v>
      </c>
      <c r="B280" s="635">
        <v>45978</v>
      </c>
      <c r="C280" s="457">
        <v>261567466</v>
      </c>
      <c r="D280" s="636"/>
      <c r="E280" s="468">
        <v>1</v>
      </c>
      <c r="F280" s="468" t="s">
        <v>776</v>
      </c>
      <c r="G280" s="646" t="s">
        <v>308</v>
      </c>
      <c r="H280" s="457" t="s">
        <v>298</v>
      </c>
      <c r="I280" s="637" t="s">
        <v>299</v>
      </c>
      <c r="J280" s="468" t="s">
        <v>1637</v>
      </c>
      <c r="K280" s="457" t="s">
        <v>39</v>
      </c>
      <c r="L280" s="673">
        <v>128504</v>
      </c>
      <c r="M280" s="641">
        <v>1450000</v>
      </c>
      <c r="N280" s="639"/>
      <c r="O280" s="639"/>
      <c r="P280" s="639"/>
      <c r="Q280" s="640"/>
      <c r="R280" s="641"/>
      <c r="S280" s="639"/>
      <c r="T280" s="639"/>
      <c r="U280" s="642">
        <v>5300000</v>
      </c>
      <c r="V280" s="332"/>
    </row>
    <row r="281" spans="1:22" s="190" customFormat="1" ht="32.25" customHeight="1" x14ac:dyDescent="0.2">
      <c r="A281" s="446">
        <v>264</v>
      </c>
      <c r="B281" s="635">
        <v>45978</v>
      </c>
      <c r="C281" s="457">
        <v>261567466</v>
      </c>
      <c r="D281" s="636"/>
      <c r="E281" s="468">
        <v>1</v>
      </c>
      <c r="F281" s="457" t="s">
        <v>778</v>
      </c>
      <c r="G281" s="457" t="s">
        <v>198</v>
      </c>
      <c r="H281" s="457" t="s">
        <v>298</v>
      </c>
      <c r="I281" s="637" t="s">
        <v>299</v>
      </c>
      <c r="J281" s="468" t="s">
        <v>1637</v>
      </c>
      <c r="K281" s="457" t="s">
        <v>39</v>
      </c>
      <c r="L281" s="673">
        <v>128457</v>
      </c>
      <c r="M281" s="641">
        <v>1450000</v>
      </c>
      <c r="N281" s="639"/>
      <c r="O281" s="639"/>
      <c r="P281" s="639"/>
      <c r="Q281" s="640"/>
      <c r="R281" s="641"/>
      <c r="S281" s="639"/>
      <c r="T281" s="639"/>
      <c r="U281" s="642">
        <v>5300000</v>
      </c>
      <c r="V281" s="332"/>
    </row>
    <row r="282" spans="1:22" s="190" customFormat="1" ht="32.25" customHeight="1" x14ac:dyDescent="0.2">
      <c r="A282" s="446">
        <v>265</v>
      </c>
      <c r="B282" s="635">
        <v>45978</v>
      </c>
      <c r="C282" s="457">
        <v>261567466</v>
      </c>
      <c r="D282" s="636"/>
      <c r="E282" s="468">
        <v>1</v>
      </c>
      <c r="F282" s="457" t="s">
        <v>780</v>
      </c>
      <c r="G282" s="457" t="s">
        <v>194</v>
      </c>
      <c r="H282" s="457" t="s">
        <v>298</v>
      </c>
      <c r="I282" s="637" t="s">
        <v>299</v>
      </c>
      <c r="J282" s="468" t="s">
        <v>1637</v>
      </c>
      <c r="K282" s="457" t="s">
        <v>39</v>
      </c>
      <c r="L282" s="673">
        <v>128639</v>
      </c>
      <c r="M282" s="641">
        <v>1450000</v>
      </c>
      <c r="N282" s="639"/>
      <c r="O282" s="639"/>
      <c r="P282" s="639"/>
      <c r="Q282" s="640"/>
      <c r="R282" s="641"/>
      <c r="S282" s="639"/>
      <c r="T282" s="639"/>
      <c r="U282" s="642">
        <v>5300000</v>
      </c>
      <c r="V282" s="332"/>
    </row>
    <row r="283" spans="1:22" s="190" customFormat="1" ht="32.25" customHeight="1" x14ac:dyDescent="0.2">
      <c r="A283" s="446">
        <v>266</v>
      </c>
      <c r="B283" s="635">
        <v>45978</v>
      </c>
      <c r="C283" s="457">
        <v>261567466</v>
      </c>
      <c r="D283" s="636"/>
      <c r="E283" s="468">
        <v>1</v>
      </c>
      <c r="F283" s="457" t="s">
        <v>782</v>
      </c>
      <c r="G283" s="457" t="s">
        <v>191</v>
      </c>
      <c r="H283" s="457" t="s">
        <v>298</v>
      </c>
      <c r="I283" s="637" t="s">
        <v>299</v>
      </c>
      <c r="J283" s="468" t="s">
        <v>1637</v>
      </c>
      <c r="K283" s="457" t="s">
        <v>39</v>
      </c>
      <c r="L283" s="673">
        <v>128495</v>
      </c>
      <c r="M283" s="641">
        <v>1450000</v>
      </c>
      <c r="N283" s="639"/>
      <c r="O283" s="639"/>
      <c r="P283" s="639"/>
      <c r="Q283" s="640"/>
      <c r="R283" s="641"/>
      <c r="S283" s="639"/>
      <c r="T283" s="639"/>
      <c r="U283" s="642">
        <v>5300000</v>
      </c>
      <c r="V283" s="332"/>
    </row>
    <row r="284" spans="1:22" s="190" customFormat="1" ht="32.25" customHeight="1" x14ac:dyDescent="0.2">
      <c r="A284" s="446">
        <v>267</v>
      </c>
      <c r="B284" s="635">
        <v>45978</v>
      </c>
      <c r="C284" s="457">
        <v>261567466</v>
      </c>
      <c r="D284" s="636"/>
      <c r="E284" s="468">
        <v>1</v>
      </c>
      <c r="F284" s="457" t="s">
        <v>784</v>
      </c>
      <c r="G284" s="457" t="s">
        <v>213</v>
      </c>
      <c r="H284" s="457" t="s">
        <v>298</v>
      </c>
      <c r="I284" s="637" t="s">
        <v>299</v>
      </c>
      <c r="J284" s="468" t="s">
        <v>1637</v>
      </c>
      <c r="K284" s="457" t="s">
        <v>39</v>
      </c>
      <c r="L284" s="673">
        <v>128461</v>
      </c>
      <c r="M284" s="641">
        <v>1450000</v>
      </c>
      <c r="N284" s="639"/>
      <c r="O284" s="639"/>
      <c r="P284" s="639"/>
      <c r="Q284" s="640"/>
      <c r="R284" s="641"/>
      <c r="S284" s="639"/>
      <c r="T284" s="639"/>
      <c r="U284" s="642">
        <v>5300000</v>
      </c>
      <c r="V284" s="332"/>
    </row>
    <row r="285" spans="1:22" s="190" customFormat="1" ht="32.25" customHeight="1" x14ac:dyDescent="0.2">
      <c r="A285" s="446">
        <v>268</v>
      </c>
      <c r="B285" s="635">
        <v>45978</v>
      </c>
      <c r="C285" s="457" t="s">
        <v>786</v>
      </c>
      <c r="D285" s="636"/>
      <c r="E285" s="468">
        <v>1</v>
      </c>
      <c r="F285" s="457" t="s">
        <v>787</v>
      </c>
      <c r="G285" s="457" t="s">
        <v>284</v>
      </c>
      <c r="H285" s="468" t="s">
        <v>180</v>
      </c>
      <c r="I285" s="637" t="s">
        <v>181</v>
      </c>
      <c r="J285" s="468" t="s">
        <v>358</v>
      </c>
      <c r="K285" s="457" t="s">
        <v>39</v>
      </c>
      <c r="L285" s="673">
        <v>416056</v>
      </c>
      <c r="M285" s="641">
        <v>1500000</v>
      </c>
      <c r="N285" s="639"/>
      <c r="O285" s="639"/>
      <c r="P285" s="639"/>
      <c r="Q285" s="640"/>
      <c r="R285" s="641"/>
      <c r="S285" s="639"/>
      <c r="T285" s="639"/>
      <c r="U285" s="642">
        <v>4500000</v>
      </c>
      <c r="V285" s="332"/>
    </row>
    <row r="286" spans="1:22" s="190" customFormat="1" ht="32.25" customHeight="1" x14ac:dyDescent="0.2">
      <c r="A286" s="446">
        <v>269</v>
      </c>
      <c r="B286" s="635">
        <v>45978</v>
      </c>
      <c r="C286" s="457" t="s">
        <v>786</v>
      </c>
      <c r="D286" s="636"/>
      <c r="E286" s="468">
        <v>1</v>
      </c>
      <c r="F286" s="457" t="s">
        <v>789</v>
      </c>
      <c r="G286" s="457" t="s">
        <v>790</v>
      </c>
      <c r="H286" s="468" t="s">
        <v>180</v>
      </c>
      <c r="I286" s="637" t="s">
        <v>181</v>
      </c>
      <c r="J286" s="655" t="s">
        <v>358</v>
      </c>
      <c r="K286" s="457" t="s">
        <v>39</v>
      </c>
      <c r="L286" s="673">
        <v>415320</v>
      </c>
      <c r="M286" s="641">
        <v>1500000</v>
      </c>
      <c r="N286" s="639"/>
      <c r="O286" s="639"/>
      <c r="P286" s="639"/>
      <c r="Q286" s="640"/>
      <c r="R286" s="641"/>
      <c r="S286" s="639"/>
      <c r="T286" s="639"/>
      <c r="U286" s="642">
        <v>4500000</v>
      </c>
      <c r="V286" s="332"/>
    </row>
    <row r="287" spans="1:22" s="190" customFormat="1" ht="32.25" customHeight="1" x14ac:dyDescent="0.2">
      <c r="A287" s="446">
        <v>270</v>
      </c>
      <c r="B287" s="635">
        <v>45978</v>
      </c>
      <c r="C287" s="457" t="s">
        <v>786</v>
      </c>
      <c r="D287" s="636"/>
      <c r="E287" s="468">
        <v>1</v>
      </c>
      <c r="F287" s="468" t="s">
        <v>792</v>
      </c>
      <c r="G287" s="457" t="s">
        <v>793</v>
      </c>
      <c r="H287" s="468" t="s">
        <v>180</v>
      </c>
      <c r="I287" s="637" t="s">
        <v>181</v>
      </c>
      <c r="J287" s="655" t="s">
        <v>358</v>
      </c>
      <c r="K287" s="457" t="s">
        <v>39</v>
      </c>
      <c r="L287" s="673">
        <v>415527</v>
      </c>
      <c r="M287" s="641">
        <v>1500000</v>
      </c>
      <c r="N287" s="639"/>
      <c r="O287" s="639"/>
      <c r="P287" s="639"/>
      <c r="Q287" s="640"/>
      <c r="R287" s="641"/>
      <c r="S287" s="639"/>
      <c r="T287" s="639"/>
      <c r="U287" s="642">
        <v>4500000</v>
      </c>
      <c r="V287" s="332"/>
    </row>
    <row r="288" spans="1:22" s="190" customFormat="1" ht="32.25" customHeight="1" x14ac:dyDescent="0.2">
      <c r="A288" s="446">
        <v>271</v>
      </c>
      <c r="B288" s="635">
        <v>45978</v>
      </c>
      <c r="C288" s="463" t="s">
        <v>786</v>
      </c>
      <c r="D288" s="644"/>
      <c r="E288" s="645">
        <v>1</v>
      </c>
      <c r="F288" s="463" t="s">
        <v>795</v>
      </c>
      <c r="G288" s="463" t="s">
        <v>796</v>
      </c>
      <c r="H288" s="645" t="s">
        <v>180</v>
      </c>
      <c r="I288" s="637" t="s">
        <v>181</v>
      </c>
      <c r="J288" s="661" t="s">
        <v>358</v>
      </c>
      <c r="K288" s="463" t="s">
        <v>39</v>
      </c>
      <c r="L288" s="673">
        <v>415654</v>
      </c>
      <c r="M288" s="641">
        <v>1500000</v>
      </c>
      <c r="N288" s="639"/>
      <c r="O288" s="639"/>
      <c r="P288" s="639"/>
      <c r="Q288" s="640"/>
      <c r="R288" s="641"/>
      <c r="S288" s="639"/>
      <c r="T288" s="639"/>
      <c r="U288" s="642">
        <v>4500000</v>
      </c>
      <c r="V288" s="332"/>
    </row>
    <row r="289" spans="1:22" s="190" customFormat="1" ht="32.25" customHeight="1" x14ac:dyDescent="0.2">
      <c r="A289" s="446">
        <v>272</v>
      </c>
      <c r="B289" s="674">
        <v>45978</v>
      </c>
      <c r="C289" s="468" t="s">
        <v>786</v>
      </c>
      <c r="D289" s="468"/>
      <c r="E289" s="645">
        <v>1</v>
      </c>
      <c r="F289" s="463" t="s">
        <v>798</v>
      </c>
      <c r="G289" s="457" t="s">
        <v>799</v>
      </c>
      <c r="H289" s="648" t="s">
        <v>180</v>
      </c>
      <c r="I289" s="637" t="s">
        <v>181</v>
      </c>
      <c r="J289" s="449" t="s">
        <v>358</v>
      </c>
      <c r="K289" s="457" t="s">
        <v>39</v>
      </c>
      <c r="L289" s="638">
        <v>415749</v>
      </c>
      <c r="M289" s="451">
        <v>1500000</v>
      </c>
      <c r="N289" s="639"/>
      <c r="O289" s="639"/>
      <c r="P289" s="639"/>
      <c r="Q289" s="640"/>
      <c r="R289" s="641"/>
      <c r="S289" s="639"/>
      <c r="T289" s="639"/>
      <c r="U289" s="642">
        <v>4500000</v>
      </c>
      <c r="V289" s="332"/>
    </row>
    <row r="290" spans="1:22" s="190" customFormat="1" ht="32.25" customHeight="1" x14ac:dyDescent="0.2">
      <c r="A290" s="446">
        <v>273</v>
      </c>
      <c r="B290" s="674">
        <v>45978</v>
      </c>
      <c r="C290" s="651">
        <v>261856791</v>
      </c>
      <c r="D290" s="651"/>
      <c r="E290" s="645">
        <v>1</v>
      </c>
      <c r="F290" s="457" t="s">
        <v>801</v>
      </c>
      <c r="G290" s="457" t="s">
        <v>604</v>
      </c>
      <c r="H290" s="648" t="s">
        <v>1652</v>
      </c>
      <c r="I290" s="654" t="s">
        <v>256</v>
      </c>
      <c r="J290" s="449" t="s">
        <v>1640</v>
      </c>
      <c r="K290" s="655" t="s">
        <v>39</v>
      </c>
      <c r="L290" s="638">
        <v>302489</v>
      </c>
      <c r="M290" s="451">
        <v>1500000</v>
      </c>
      <c r="N290" s="639"/>
      <c r="O290" s="639"/>
      <c r="P290" s="639"/>
      <c r="Q290" s="640"/>
      <c r="R290" s="641"/>
      <c r="S290" s="639"/>
      <c r="T290" s="639"/>
      <c r="U290" s="642">
        <v>3150000</v>
      </c>
      <c r="V290" s="332"/>
    </row>
    <row r="291" spans="1:22" s="190" customFormat="1" ht="32.25" customHeight="1" x14ac:dyDescent="0.2">
      <c r="A291" s="446">
        <v>274</v>
      </c>
      <c r="B291" s="674">
        <v>45978</v>
      </c>
      <c r="C291" s="651">
        <v>261856791</v>
      </c>
      <c r="D291" s="651"/>
      <c r="E291" s="645">
        <v>1</v>
      </c>
      <c r="F291" s="457" t="s">
        <v>773</v>
      </c>
      <c r="G291" s="457" t="s">
        <v>774</v>
      </c>
      <c r="H291" s="648" t="s">
        <v>1652</v>
      </c>
      <c r="I291" s="654" t="s">
        <v>256</v>
      </c>
      <c r="J291" s="449" t="s">
        <v>1640</v>
      </c>
      <c r="K291" s="655" t="s">
        <v>39</v>
      </c>
      <c r="L291" s="638">
        <v>15531</v>
      </c>
      <c r="M291" s="451">
        <v>1500000</v>
      </c>
      <c r="N291" s="639"/>
      <c r="O291" s="639"/>
      <c r="P291" s="639"/>
      <c r="Q291" s="640"/>
      <c r="R291" s="641"/>
      <c r="S291" s="639"/>
      <c r="T291" s="639"/>
      <c r="U291" s="642">
        <v>3150000</v>
      </c>
      <c r="V291" s="332"/>
    </row>
    <row r="292" spans="1:22" s="190" customFormat="1" ht="32.25" customHeight="1" x14ac:dyDescent="0.2">
      <c r="A292" s="446">
        <v>275</v>
      </c>
      <c r="B292" s="674">
        <v>45978</v>
      </c>
      <c r="C292" s="664">
        <v>261856791</v>
      </c>
      <c r="D292" s="664"/>
      <c r="E292" s="645">
        <v>1</v>
      </c>
      <c r="F292" s="463" t="s">
        <v>770</v>
      </c>
      <c r="G292" s="457" t="s">
        <v>771</v>
      </c>
      <c r="H292" s="658" t="s">
        <v>1652</v>
      </c>
      <c r="I292" s="663" t="s">
        <v>256</v>
      </c>
      <c r="J292" s="669" t="s">
        <v>1640</v>
      </c>
      <c r="K292" s="661" t="s">
        <v>39</v>
      </c>
      <c r="L292" s="675">
        <v>15514</v>
      </c>
      <c r="M292" s="451">
        <v>1500000</v>
      </c>
      <c r="N292" s="639"/>
      <c r="O292" s="639"/>
      <c r="P292" s="639"/>
      <c r="Q292" s="640"/>
      <c r="R292" s="641"/>
      <c r="S292" s="639"/>
      <c r="T292" s="639"/>
      <c r="U292" s="642">
        <v>3150000</v>
      </c>
      <c r="V292" s="332"/>
    </row>
    <row r="293" spans="1:22" s="190" customFormat="1" ht="32.25" customHeight="1" x14ac:dyDescent="0.2">
      <c r="A293" s="446">
        <v>276</v>
      </c>
      <c r="B293" s="674">
        <v>45979</v>
      </c>
      <c r="C293" s="457" t="s">
        <v>806</v>
      </c>
      <c r="D293" s="468"/>
      <c r="E293" s="468">
        <v>1</v>
      </c>
      <c r="F293" s="468" t="s">
        <v>807</v>
      </c>
      <c r="G293" s="457" t="s">
        <v>213</v>
      </c>
      <c r="H293" s="648" t="s">
        <v>808</v>
      </c>
      <c r="I293" s="637" t="s">
        <v>809</v>
      </c>
      <c r="J293" s="457" t="s">
        <v>39</v>
      </c>
      <c r="K293" s="449" t="s">
        <v>1630</v>
      </c>
      <c r="L293" s="457">
        <v>8109</v>
      </c>
      <c r="M293" s="451">
        <v>1500000</v>
      </c>
      <c r="N293" s="639"/>
      <c r="O293" s="639"/>
      <c r="P293" s="639"/>
      <c r="Q293" s="640"/>
      <c r="R293" s="641"/>
      <c r="S293" s="639"/>
      <c r="T293" s="639"/>
      <c r="U293" s="642">
        <v>3200000</v>
      </c>
      <c r="V293" s="332"/>
    </row>
    <row r="294" spans="1:22" s="190" customFormat="1" ht="32.25" customHeight="1" x14ac:dyDescent="0.2">
      <c r="A294" s="446">
        <v>277</v>
      </c>
      <c r="B294" s="674">
        <v>45979</v>
      </c>
      <c r="C294" s="457" t="s">
        <v>811</v>
      </c>
      <c r="D294" s="468"/>
      <c r="E294" s="468">
        <v>1</v>
      </c>
      <c r="F294" s="457" t="s">
        <v>812</v>
      </c>
      <c r="G294" s="646" t="s">
        <v>222</v>
      </c>
      <c r="H294" s="648" t="s">
        <v>808</v>
      </c>
      <c r="I294" s="637" t="s">
        <v>809</v>
      </c>
      <c r="J294" s="457" t="s">
        <v>39</v>
      </c>
      <c r="K294" s="449" t="s">
        <v>1633</v>
      </c>
      <c r="L294" s="457">
        <v>229272</v>
      </c>
      <c r="M294" s="451">
        <v>1500000</v>
      </c>
      <c r="N294" s="639"/>
      <c r="O294" s="639"/>
      <c r="P294" s="639"/>
      <c r="Q294" s="640"/>
      <c r="R294" s="641"/>
      <c r="S294" s="639"/>
      <c r="T294" s="639"/>
      <c r="U294" s="642">
        <v>3200000</v>
      </c>
      <c r="V294" s="332"/>
    </row>
    <row r="295" spans="1:22" s="190" customFormat="1" ht="32.25" customHeight="1" x14ac:dyDescent="0.2">
      <c r="A295" s="446">
        <v>278</v>
      </c>
      <c r="B295" s="674">
        <v>45979</v>
      </c>
      <c r="C295" s="457" t="s">
        <v>811</v>
      </c>
      <c r="D295" s="468"/>
      <c r="E295" s="468">
        <v>1</v>
      </c>
      <c r="F295" s="457" t="s">
        <v>814</v>
      </c>
      <c r="G295" s="457" t="s">
        <v>368</v>
      </c>
      <c r="H295" s="648" t="s">
        <v>808</v>
      </c>
      <c r="I295" s="637" t="s">
        <v>809</v>
      </c>
      <c r="J295" s="457" t="s">
        <v>39</v>
      </c>
      <c r="K295" s="449" t="s">
        <v>1633</v>
      </c>
      <c r="L295" s="457">
        <v>229284</v>
      </c>
      <c r="M295" s="451">
        <v>1500000</v>
      </c>
      <c r="N295" s="639"/>
      <c r="O295" s="639"/>
      <c r="P295" s="639"/>
      <c r="Q295" s="640"/>
      <c r="R295" s="641"/>
      <c r="S295" s="639"/>
      <c r="T295" s="639"/>
      <c r="U295" s="642">
        <v>3200000</v>
      </c>
      <c r="V295" s="332"/>
    </row>
    <row r="296" spans="1:22" s="190" customFormat="1" ht="32.25" customHeight="1" x14ac:dyDescent="0.2">
      <c r="A296" s="446">
        <v>279</v>
      </c>
      <c r="B296" s="674">
        <v>45979</v>
      </c>
      <c r="C296" s="457" t="s">
        <v>811</v>
      </c>
      <c r="D296" s="468"/>
      <c r="E296" s="468">
        <v>1</v>
      </c>
      <c r="F296" s="457" t="s">
        <v>816</v>
      </c>
      <c r="G296" s="457" t="s">
        <v>216</v>
      </c>
      <c r="H296" s="648" t="s">
        <v>808</v>
      </c>
      <c r="I296" s="647" t="s">
        <v>809</v>
      </c>
      <c r="J296" s="457" t="s">
        <v>39</v>
      </c>
      <c r="K296" s="449" t="s">
        <v>1633</v>
      </c>
      <c r="L296" s="457">
        <v>229324</v>
      </c>
      <c r="M296" s="451">
        <v>1500000</v>
      </c>
      <c r="N296" s="639"/>
      <c r="O296" s="639"/>
      <c r="P296" s="639"/>
      <c r="Q296" s="640"/>
      <c r="R296" s="641"/>
      <c r="S296" s="639"/>
      <c r="T296" s="639"/>
      <c r="U296" s="642">
        <v>3200000</v>
      </c>
      <c r="V296" s="332"/>
    </row>
    <row r="297" spans="1:22" s="190" customFormat="1" ht="32.25" customHeight="1" x14ac:dyDescent="0.2">
      <c r="A297" s="446">
        <v>280</v>
      </c>
      <c r="B297" s="635">
        <v>45980</v>
      </c>
      <c r="C297" s="457">
        <v>2314261851</v>
      </c>
      <c r="D297" s="468"/>
      <c r="E297" s="468">
        <v>1</v>
      </c>
      <c r="F297" s="457" t="s">
        <v>818</v>
      </c>
      <c r="G297" s="457" t="s">
        <v>210</v>
      </c>
      <c r="H297" s="648" t="s">
        <v>199</v>
      </c>
      <c r="I297" s="637" t="s">
        <v>200</v>
      </c>
      <c r="J297" s="457" t="s">
        <v>1631</v>
      </c>
      <c r="K297" s="449" t="s">
        <v>39</v>
      </c>
      <c r="L297" s="457">
        <v>418581</v>
      </c>
      <c r="M297" s="451">
        <v>1500000</v>
      </c>
      <c r="N297" s="639"/>
      <c r="O297" s="639"/>
      <c r="P297" s="639"/>
      <c r="Q297" s="640"/>
      <c r="R297" s="641"/>
      <c r="S297" s="639"/>
      <c r="T297" s="639"/>
      <c r="U297" s="642">
        <v>4700000</v>
      </c>
      <c r="V297" s="332"/>
    </row>
    <row r="298" spans="1:22" s="190" customFormat="1" ht="32.25" customHeight="1" x14ac:dyDescent="0.2">
      <c r="A298" s="446">
        <v>281</v>
      </c>
      <c r="B298" s="635">
        <v>45980</v>
      </c>
      <c r="C298" s="457">
        <v>2314261851</v>
      </c>
      <c r="D298" s="468"/>
      <c r="E298" s="468">
        <v>1</v>
      </c>
      <c r="F298" s="457" t="s">
        <v>819</v>
      </c>
      <c r="G298" s="457" t="s">
        <v>213</v>
      </c>
      <c r="H298" s="648" t="s">
        <v>199</v>
      </c>
      <c r="I298" s="637" t="s">
        <v>200</v>
      </c>
      <c r="J298" s="457" t="s">
        <v>1631</v>
      </c>
      <c r="K298" s="449" t="s">
        <v>39</v>
      </c>
      <c r="L298" s="457">
        <v>418760</v>
      </c>
      <c r="M298" s="451">
        <v>1500000</v>
      </c>
      <c r="N298" s="639"/>
      <c r="O298" s="639"/>
      <c r="P298" s="639"/>
      <c r="Q298" s="640"/>
      <c r="R298" s="641"/>
      <c r="S298" s="639"/>
      <c r="T298" s="639"/>
      <c r="U298" s="642">
        <v>4700000</v>
      </c>
      <c r="V298" s="332"/>
    </row>
    <row r="299" spans="1:22" s="190" customFormat="1" ht="32.25" customHeight="1" x14ac:dyDescent="0.2">
      <c r="A299" s="446">
        <v>282</v>
      </c>
      <c r="B299" s="635">
        <v>45980</v>
      </c>
      <c r="C299" s="457">
        <v>2314261851</v>
      </c>
      <c r="D299" s="468"/>
      <c r="E299" s="468">
        <v>1</v>
      </c>
      <c r="F299" s="457" t="s">
        <v>820</v>
      </c>
      <c r="G299" s="457" t="s">
        <v>194</v>
      </c>
      <c r="H299" s="648" t="s">
        <v>199</v>
      </c>
      <c r="I299" s="637" t="s">
        <v>200</v>
      </c>
      <c r="J299" s="457" t="s">
        <v>1631</v>
      </c>
      <c r="K299" s="449" t="s">
        <v>39</v>
      </c>
      <c r="L299" s="457">
        <v>418475</v>
      </c>
      <c r="M299" s="451">
        <v>1500000</v>
      </c>
      <c r="N299" s="639"/>
      <c r="O299" s="639"/>
      <c r="P299" s="639"/>
      <c r="Q299" s="640"/>
      <c r="R299" s="641"/>
      <c r="S299" s="639"/>
      <c r="T299" s="639"/>
      <c r="U299" s="642">
        <v>4700000</v>
      </c>
      <c r="V299" s="332"/>
    </row>
    <row r="300" spans="1:22" s="190" customFormat="1" ht="32.25" customHeight="1" x14ac:dyDescent="0.2">
      <c r="A300" s="446">
        <v>283</v>
      </c>
      <c r="B300" s="635">
        <v>45980</v>
      </c>
      <c r="C300" s="457">
        <v>2314261851</v>
      </c>
      <c r="D300" s="468"/>
      <c r="E300" s="468">
        <v>1</v>
      </c>
      <c r="F300" s="457" t="s">
        <v>821</v>
      </c>
      <c r="G300" s="457" t="s">
        <v>225</v>
      </c>
      <c r="H300" s="648" t="s">
        <v>199</v>
      </c>
      <c r="I300" s="637" t="s">
        <v>200</v>
      </c>
      <c r="J300" s="449" t="s">
        <v>1631</v>
      </c>
      <c r="K300" s="457" t="s">
        <v>39</v>
      </c>
      <c r="L300" s="638">
        <v>417570</v>
      </c>
      <c r="M300" s="451">
        <v>1500000</v>
      </c>
      <c r="N300" s="639"/>
      <c r="O300" s="639"/>
      <c r="P300" s="639"/>
      <c r="Q300" s="640"/>
      <c r="R300" s="641"/>
      <c r="S300" s="639"/>
      <c r="T300" s="639"/>
      <c r="U300" s="642">
        <v>4700000</v>
      </c>
      <c r="V300" s="332"/>
    </row>
    <row r="301" spans="1:22" s="190" customFormat="1" ht="32.25" customHeight="1" x14ac:dyDescent="0.2">
      <c r="A301" s="446">
        <v>284</v>
      </c>
      <c r="B301" s="635">
        <v>45980</v>
      </c>
      <c r="C301" s="468">
        <v>261827811</v>
      </c>
      <c r="D301" s="468"/>
      <c r="E301" s="468">
        <v>1</v>
      </c>
      <c r="F301" s="457" t="s">
        <v>822</v>
      </c>
      <c r="G301" s="457" t="s">
        <v>349</v>
      </c>
      <c r="H301" s="648" t="s">
        <v>1658</v>
      </c>
      <c r="I301" s="637" t="s">
        <v>200</v>
      </c>
      <c r="J301" s="449" t="s">
        <v>824</v>
      </c>
      <c r="K301" s="457" t="s">
        <v>39</v>
      </c>
      <c r="L301" s="457">
        <v>183805</v>
      </c>
      <c r="M301" s="451">
        <v>1280000</v>
      </c>
      <c r="N301" s="639"/>
      <c r="O301" s="639"/>
      <c r="P301" s="639"/>
      <c r="Q301" s="640"/>
      <c r="R301" s="641"/>
      <c r="S301" s="639"/>
      <c r="T301" s="639"/>
      <c r="U301" s="642">
        <v>4500000</v>
      </c>
      <c r="V301" s="332"/>
    </row>
    <row r="302" spans="1:22" s="190" customFormat="1" ht="32.25" customHeight="1" x14ac:dyDescent="0.2">
      <c r="A302" s="446">
        <v>285</v>
      </c>
      <c r="B302" s="635">
        <v>45980</v>
      </c>
      <c r="C302" s="457">
        <v>261827811</v>
      </c>
      <c r="D302" s="468"/>
      <c r="E302" s="468">
        <v>1</v>
      </c>
      <c r="F302" s="457" t="s">
        <v>825</v>
      </c>
      <c r="G302" s="457" t="s">
        <v>338</v>
      </c>
      <c r="H302" s="648" t="s">
        <v>1658</v>
      </c>
      <c r="I302" s="637" t="s">
        <v>200</v>
      </c>
      <c r="J302" s="457" t="s">
        <v>824</v>
      </c>
      <c r="K302" s="457" t="s">
        <v>39</v>
      </c>
      <c r="L302" s="638">
        <v>183385</v>
      </c>
      <c r="M302" s="451">
        <v>1280000</v>
      </c>
      <c r="N302" s="639"/>
      <c r="O302" s="639"/>
      <c r="P302" s="639"/>
      <c r="Q302" s="640"/>
      <c r="R302" s="641"/>
      <c r="S302" s="639"/>
      <c r="T302" s="639"/>
      <c r="U302" s="642">
        <v>4500000</v>
      </c>
      <c r="V302" s="332"/>
    </row>
    <row r="303" spans="1:22" s="190" customFormat="1" ht="32.25" customHeight="1" x14ac:dyDescent="0.2">
      <c r="A303" s="446">
        <v>286</v>
      </c>
      <c r="B303" s="635">
        <v>45980</v>
      </c>
      <c r="C303" s="457">
        <v>261827811</v>
      </c>
      <c r="D303" s="468"/>
      <c r="E303" s="468">
        <v>1</v>
      </c>
      <c r="F303" s="457" t="s">
        <v>826</v>
      </c>
      <c r="G303" s="457" t="s">
        <v>335</v>
      </c>
      <c r="H303" s="648" t="s">
        <v>1658</v>
      </c>
      <c r="I303" s="637" t="s">
        <v>200</v>
      </c>
      <c r="J303" s="457" t="s">
        <v>824</v>
      </c>
      <c r="K303" s="457" t="s">
        <v>39</v>
      </c>
      <c r="L303" s="638">
        <v>183728</v>
      </c>
      <c r="M303" s="451">
        <v>1280000</v>
      </c>
      <c r="N303" s="639"/>
      <c r="O303" s="639"/>
      <c r="P303" s="639"/>
      <c r="Q303" s="640"/>
      <c r="R303" s="641"/>
      <c r="S303" s="639"/>
      <c r="T303" s="639"/>
      <c r="U303" s="642">
        <v>4500000</v>
      </c>
      <c r="V303" s="332"/>
    </row>
    <row r="304" spans="1:22" s="190" customFormat="1" ht="32.25" customHeight="1" x14ac:dyDescent="0.2">
      <c r="A304" s="446">
        <v>287</v>
      </c>
      <c r="B304" s="635">
        <v>45980</v>
      </c>
      <c r="C304" s="468" t="s">
        <v>827</v>
      </c>
      <c r="D304" s="468"/>
      <c r="E304" s="468">
        <v>1</v>
      </c>
      <c r="F304" s="457" t="s">
        <v>828</v>
      </c>
      <c r="G304" s="646" t="s">
        <v>308</v>
      </c>
      <c r="H304" s="467" t="s">
        <v>829</v>
      </c>
      <c r="I304" s="654" t="s">
        <v>830</v>
      </c>
      <c r="J304" s="449" t="s">
        <v>39</v>
      </c>
      <c r="K304" s="457" t="s">
        <v>1638</v>
      </c>
      <c r="L304" s="638">
        <v>62111</v>
      </c>
      <c r="M304" s="451">
        <v>1500000</v>
      </c>
      <c r="N304" s="639"/>
      <c r="O304" s="639"/>
      <c r="P304" s="639"/>
      <c r="Q304" s="640"/>
      <c r="R304" s="641"/>
      <c r="S304" s="639"/>
      <c r="T304" s="639"/>
      <c r="U304" s="642">
        <v>2800000</v>
      </c>
      <c r="V304" s="332"/>
    </row>
    <row r="305" spans="1:22" s="190" customFormat="1" ht="32.25" customHeight="1" x14ac:dyDescent="0.2">
      <c r="A305" s="446">
        <v>288</v>
      </c>
      <c r="B305" s="635">
        <v>45980</v>
      </c>
      <c r="C305" s="457">
        <v>7264025450</v>
      </c>
      <c r="D305" s="468"/>
      <c r="E305" s="468">
        <v>1</v>
      </c>
      <c r="F305" s="457" t="s">
        <v>832</v>
      </c>
      <c r="G305" s="457" t="s">
        <v>688</v>
      </c>
      <c r="H305" s="648" t="s">
        <v>1656</v>
      </c>
      <c r="I305" s="637" t="s">
        <v>834</v>
      </c>
      <c r="J305" s="449" t="s">
        <v>39</v>
      </c>
      <c r="K305" s="457" t="s">
        <v>39</v>
      </c>
      <c r="L305" s="457"/>
      <c r="M305" s="451" t="s">
        <v>1643</v>
      </c>
      <c r="N305" s="639"/>
      <c r="O305" s="639"/>
      <c r="P305" s="639"/>
      <c r="Q305" s="640"/>
      <c r="R305" s="641"/>
      <c r="S305" s="639"/>
      <c r="T305" s="639"/>
      <c r="U305" s="642">
        <v>4500000</v>
      </c>
      <c r="V305" s="332"/>
    </row>
    <row r="306" spans="1:22" s="190" customFormat="1" ht="32.25" customHeight="1" x14ac:dyDescent="0.2">
      <c r="A306" s="446">
        <v>289</v>
      </c>
      <c r="B306" s="635">
        <v>45980</v>
      </c>
      <c r="C306" s="457" t="s">
        <v>835</v>
      </c>
      <c r="D306" s="468"/>
      <c r="E306" s="468">
        <v>1</v>
      </c>
      <c r="F306" s="457" t="s">
        <v>836</v>
      </c>
      <c r="G306" s="457" t="s">
        <v>341</v>
      </c>
      <c r="H306" s="449" t="s">
        <v>172</v>
      </c>
      <c r="I306" s="637" t="s">
        <v>173</v>
      </c>
      <c r="J306" s="457" t="s">
        <v>1629</v>
      </c>
      <c r="K306" s="457" t="s">
        <v>39</v>
      </c>
      <c r="L306" s="638">
        <v>418875</v>
      </c>
      <c r="M306" s="451">
        <v>1500000</v>
      </c>
      <c r="N306" s="639"/>
      <c r="O306" s="639"/>
      <c r="P306" s="639"/>
      <c r="Q306" s="640"/>
      <c r="R306" s="641"/>
      <c r="S306" s="639"/>
      <c r="T306" s="639"/>
      <c r="U306" s="642">
        <v>2700000</v>
      </c>
      <c r="V306" s="332"/>
    </row>
    <row r="307" spans="1:22" s="190" customFormat="1" ht="32.25" customHeight="1" x14ac:dyDescent="0.2">
      <c r="A307" s="446">
        <v>290</v>
      </c>
      <c r="B307" s="635">
        <v>45980</v>
      </c>
      <c r="C307" s="457" t="s">
        <v>835</v>
      </c>
      <c r="D307" s="468"/>
      <c r="E307" s="468">
        <v>1</v>
      </c>
      <c r="F307" s="457" t="s">
        <v>838</v>
      </c>
      <c r="G307" s="457" t="s">
        <v>216</v>
      </c>
      <c r="H307" s="449" t="s">
        <v>172</v>
      </c>
      <c r="I307" s="637" t="s">
        <v>173</v>
      </c>
      <c r="J307" s="457" t="s">
        <v>1629</v>
      </c>
      <c r="K307" s="457" t="s">
        <v>39</v>
      </c>
      <c r="L307" s="638">
        <v>418847</v>
      </c>
      <c r="M307" s="451">
        <v>1500000</v>
      </c>
      <c r="N307" s="639"/>
      <c r="O307" s="639"/>
      <c r="P307" s="639"/>
      <c r="Q307" s="640"/>
      <c r="R307" s="641"/>
      <c r="S307" s="639"/>
      <c r="T307" s="639"/>
      <c r="U307" s="642">
        <v>2700000</v>
      </c>
      <c r="V307" s="332"/>
    </row>
    <row r="308" spans="1:22" s="190" customFormat="1" ht="32.25" customHeight="1" x14ac:dyDescent="0.2">
      <c r="A308" s="446">
        <v>291</v>
      </c>
      <c r="B308" s="635">
        <v>45980</v>
      </c>
      <c r="C308" s="457" t="s">
        <v>840</v>
      </c>
      <c r="D308" s="468"/>
      <c r="E308" s="468">
        <v>1</v>
      </c>
      <c r="F308" s="457" t="s">
        <v>841</v>
      </c>
      <c r="G308" s="457" t="s">
        <v>368</v>
      </c>
      <c r="H308" s="457" t="s">
        <v>298</v>
      </c>
      <c r="I308" s="637" t="s">
        <v>299</v>
      </c>
      <c r="J308" s="457" t="s">
        <v>617</v>
      </c>
      <c r="K308" s="457" t="s">
        <v>1634</v>
      </c>
      <c r="L308" s="638">
        <v>8134</v>
      </c>
      <c r="M308" s="451">
        <v>1500000</v>
      </c>
      <c r="N308" s="639"/>
      <c r="O308" s="639"/>
      <c r="P308" s="639"/>
      <c r="Q308" s="640"/>
      <c r="R308" s="641"/>
      <c r="S308" s="639"/>
      <c r="T308" s="639">
        <v>260000</v>
      </c>
      <c r="U308" s="642">
        <v>5300000</v>
      </c>
      <c r="V308" s="332"/>
    </row>
    <row r="309" spans="1:22" s="190" customFormat="1" ht="32.25" customHeight="1" x14ac:dyDescent="0.2">
      <c r="A309" s="446">
        <v>292</v>
      </c>
      <c r="B309" s="635">
        <v>45980</v>
      </c>
      <c r="C309" s="457">
        <v>7264025450</v>
      </c>
      <c r="D309" s="468"/>
      <c r="E309" s="468">
        <v>1</v>
      </c>
      <c r="F309" s="457" t="s">
        <v>832</v>
      </c>
      <c r="G309" s="646" t="s">
        <v>308</v>
      </c>
      <c r="H309" s="648" t="s">
        <v>1657</v>
      </c>
      <c r="I309" s="637" t="s">
        <v>834</v>
      </c>
      <c r="J309" s="457"/>
      <c r="K309" s="457" t="s">
        <v>39</v>
      </c>
      <c r="L309" s="457"/>
      <c r="M309" s="451" t="s">
        <v>1643</v>
      </c>
      <c r="N309" s="639"/>
      <c r="O309" s="639"/>
      <c r="P309" s="639"/>
      <c r="Q309" s="640"/>
      <c r="R309" s="641"/>
      <c r="S309" s="639"/>
      <c r="T309" s="639"/>
      <c r="U309" s="642">
        <f>4500000*70%</f>
        <v>3150000</v>
      </c>
      <c r="V309" s="332"/>
    </row>
    <row r="310" spans="1:22" s="190" customFormat="1" ht="32.25" customHeight="1" x14ac:dyDescent="0.2">
      <c r="A310" s="446">
        <v>293</v>
      </c>
      <c r="B310" s="635">
        <v>45980</v>
      </c>
      <c r="C310" s="457">
        <v>2315318270</v>
      </c>
      <c r="D310" s="468"/>
      <c r="E310" s="468">
        <v>1</v>
      </c>
      <c r="F310" s="457" t="s">
        <v>844</v>
      </c>
      <c r="G310" s="457" t="s">
        <v>341</v>
      </c>
      <c r="H310" s="457" t="s">
        <v>298</v>
      </c>
      <c r="I310" s="637" t="s">
        <v>299</v>
      </c>
      <c r="J310" s="457" t="s">
        <v>1631</v>
      </c>
      <c r="K310" s="457" t="s">
        <v>39</v>
      </c>
      <c r="L310" s="457">
        <v>417982</v>
      </c>
      <c r="M310" s="451">
        <v>1500000</v>
      </c>
      <c r="N310" s="639"/>
      <c r="O310" s="639"/>
      <c r="P310" s="639"/>
      <c r="Q310" s="640"/>
      <c r="R310" s="641"/>
      <c r="S310" s="639"/>
      <c r="T310" s="639"/>
      <c r="U310" s="642">
        <v>5300000</v>
      </c>
      <c r="V310" s="332"/>
    </row>
    <row r="311" spans="1:22" s="190" customFormat="1" ht="32.25" customHeight="1" x14ac:dyDescent="0.2">
      <c r="A311" s="446">
        <v>294</v>
      </c>
      <c r="B311" s="635">
        <v>45980</v>
      </c>
      <c r="C311" s="457">
        <v>2315318270</v>
      </c>
      <c r="D311" s="468"/>
      <c r="E311" s="468">
        <v>1</v>
      </c>
      <c r="F311" s="457" t="s">
        <v>846</v>
      </c>
      <c r="G311" s="457" t="s">
        <v>302</v>
      </c>
      <c r="H311" s="457" t="s">
        <v>298</v>
      </c>
      <c r="I311" s="637" t="s">
        <v>299</v>
      </c>
      <c r="J311" s="457" t="s">
        <v>1631</v>
      </c>
      <c r="K311" s="457" t="s">
        <v>39</v>
      </c>
      <c r="L311" s="457">
        <v>417845</v>
      </c>
      <c r="M311" s="451">
        <v>1500000</v>
      </c>
      <c r="N311" s="639"/>
      <c r="O311" s="639"/>
      <c r="P311" s="639"/>
      <c r="Q311" s="640"/>
      <c r="R311" s="641"/>
      <c r="S311" s="639"/>
      <c r="T311" s="639"/>
      <c r="U311" s="642">
        <v>5300000</v>
      </c>
      <c r="V311" s="332"/>
    </row>
    <row r="312" spans="1:22" s="190" customFormat="1" ht="32.25" customHeight="1" x14ac:dyDescent="0.2">
      <c r="A312" s="446">
        <v>295</v>
      </c>
      <c r="B312" s="635">
        <v>45980</v>
      </c>
      <c r="C312" s="457" t="s">
        <v>848</v>
      </c>
      <c r="D312" s="468"/>
      <c r="E312" s="468">
        <v>1</v>
      </c>
      <c r="F312" s="468" t="s">
        <v>849</v>
      </c>
      <c r="G312" s="457" t="s">
        <v>191</v>
      </c>
      <c r="H312" s="648" t="s">
        <v>829</v>
      </c>
      <c r="I312" s="654" t="s">
        <v>830</v>
      </c>
      <c r="J312" s="457" t="s">
        <v>39</v>
      </c>
      <c r="K312" s="457" t="s">
        <v>1638</v>
      </c>
      <c r="L312" s="457">
        <v>62074</v>
      </c>
      <c r="M312" s="451">
        <v>1500000</v>
      </c>
      <c r="N312" s="639"/>
      <c r="O312" s="639"/>
      <c r="P312" s="639"/>
      <c r="Q312" s="640"/>
      <c r="R312" s="641"/>
      <c r="S312" s="639"/>
      <c r="T312" s="639"/>
      <c r="U312" s="642">
        <v>2800000</v>
      </c>
      <c r="V312" s="332"/>
    </row>
    <row r="313" spans="1:22" s="190" customFormat="1" ht="32.25" customHeight="1" x14ac:dyDescent="0.2">
      <c r="A313" s="446">
        <v>296</v>
      </c>
      <c r="B313" s="635">
        <v>45981</v>
      </c>
      <c r="C313" s="457" t="s">
        <v>851</v>
      </c>
      <c r="D313" s="468"/>
      <c r="E313" s="468">
        <v>1</v>
      </c>
      <c r="F313" s="457" t="s">
        <v>852</v>
      </c>
      <c r="G313" s="646" t="s">
        <v>171</v>
      </c>
      <c r="H313" s="468" t="s">
        <v>1055</v>
      </c>
      <c r="I313" s="637" t="s">
        <v>720</v>
      </c>
      <c r="J313" s="457" t="s">
        <v>853</v>
      </c>
      <c r="K313" s="457" t="s">
        <v>39</v>
      </c>
      <c r="L313" s="457">
        <v>145129</v>
      </c>
      <c r="M313" s="451">
        <v>1512000</v>
      </c>
      <c r="N313" s="639"/>
      <c r="O313" s="639"/>
      <c r="P313" s="639"/>
      <c r="Q313" s="640"/>
      <c r="R313" s="641"/>
      <c r="S313" s="639"/>
      <c r="T313" s="639"/>
      <c r="U313" s="642">
        <v>4000000</v>
      </c>
      <c r="V313" s="332"/>
    </row>
    <row r="314" spans="1:22" s="190" customFormat="1" ht="32.25" customHeight="1" x14ac:dyDescent="0.2">
      <c r="A314" s="446">
        <v>297</v>
      </c>
      <c r="B314" s="635">
        <v>45981</v>
      </c>
      <c r="C314" s="457" t="s">
        <v>851</v>
      </c>
      <c r="D314" s="468"/>
      <c r="E314" s="468">
        <v>1</v>
      </c>
      <c r="F314" s="457" t="s">
        <v>854</v>
      </c>
      <c r="G314" s="457" t="s">
        <v>338</v>
      </c>
      <c r="H314" s="468" t="s">
        <v>1055</v>
      </c>
      <c r="I314" s="637" t="s">
        <v>720</v>
      </c>
      <c r="J314" s="449" t="s">
        <v>853</v>
      </c>
      <c r="K314" s="457" t="s">
        <v>39</v>
      </c>
      <c r="L314" s="638">
        <v>145265</v>
      </c>
      <c r="M314" s="451">
        <v>1512000</v>
      </c>
      <c r="N314" s="639"/>
      <c r="O314" s="639"/>
      <c r="P314" s="639"/>
      <c r="Q314" s="640"/>
      <c r="R314" s="641"/>
      <c r="S314" s="639"/>
      <c r="T314" s="639"/>
      <c r="U314" s="642">
        <v>4000000</v>
      </c>
      <c r="V314" s="332"/>
    </row>
    <row r="315" spans="1:22" s="190" customFormat="1" ht="32.25" customHeight="1" x14ac:dyDescent="0.2">
      <c r="A315" s="446">
        <v>298</v>
      </c>
      <c r="B315" s="635">
        <v>45981</v>
      </c>
      <c r="C315" s="457" t="s">
        <v>851</v>
      </c>
      <c r="D315" s="468"/>
      <c r="E315" s="468">
        <v>1</v>
      </c>
      <c r="F315" s="457" t="s">
        <v>855</v>
      </c>
      <c r="G315" s="457" t="s">
        <v>305</v>
      </c>
      <c r="H315" s="468" t="s">
        <v>1055</v>
      </c>
      <c r="I315" s="637" t="s">
        <v>720</v>
      </c>
      <c r="J315" s="457" t="s">
        <v>853</v>
      </c>
      <c r="K315" s="468" t="s">
        <v>39</v>
      </c>
      <c r="L315" s="638">
        <v>144913</v>
      </c>
      <c r="M315" s="451">
        <v>1512000</v>
      </c>
      <c r="N315" s="639"/>
      <c r="O315" s="639"/>
      <c r="P315" s="639"/>
      <c r="Q315" s="640"/>
      <c r="R315" s="641"/>
      <c r="S315" s="639"/>
      <c r="T315" s="639"/>
      <c r="U315" s="642">
        <v>4000000</v>
      </c>
      <c r="V315" s="332"/>
    </row>
    <row r="316" spans="1:22" s="190" customFormat="1" ht="32.25" customHeight="1" x14ac:dyDescent="0.2">
      <c r="A316" s="446">
        <v>299</v>
      </c>
      <c r="B316" s="635">
        <v>45981</v>
      </c>
      <c r="C316" s="457" t="s">
        <v>851</v>
      </c>
      <c r="D316" s="468"/>
      <c r="E316" s="468">
        <v>1</v>
      </c>
      <c r="F316" s="457" t="s">
        <v>856</v>
      </c>
      <c r="G316" s="457" t="s">
        <v>349</v>
      </c>
      <c r="H316" s="468" t="s">
        <v>1055</v>
      </c>
      <c r="I316" s="637" t="s">
        <v>720</v>
      </c>
      <c r="J316" s="666" t="s">
        <v>853</v>
      </c>
      <c r="K316" s="655" t="s">
        <v>39</v>
      </c>
      <c r="L316" s="673">
        <v>144895</v>
      </c>
      <c r="M316" s="641">
        <v>1512000</v>
      </c>
      <c r="N316" s="639"/>
      <c r="O316" s="639"/>
      <c r="P316" s="639"/>
      <c r="Q316" s="640"/>
      <c r="R316" s="641"/>
      <c r="S316" s="639"/>
      <c r="T316" s="639"/>
      <c r="U316" s="642">
        <v>4000000</v>
      </c>
      <c r="V316" s="332"/>
    </row>
    <row r="317" spans="1:22" s="190" customFormat="1" ht="32.25" customHeight="1" x14ac:dyDescent="0.2">
      <c r="A317" s="446">
        <v>300</v>
      </c>
      <c r="B317" s="643">
        <v>45981</v>
      </c>
      <c r="C317" s="463" t="s">
        <v>851</v>
      </c>
      <c r="D317" s="645"/>
      <c r="E317" s="645">
        <v>1</v>
      </c>
      <c r="F317" s="463" t="s">
        <v>857</v>
      </c>
      <c r="G317" s="463" t="s">
        <v>335</v>
      </c>
      <c r="H317" s="468" t="s">
        <v>1055</v>
      </c>
      <c r="I317" s="637" t="s">
        <v>720</v>
      </c>
      <c r="J317" s="667" t="s">
        <v>853</v>
      </c>
      <c r="K317" s="661" t="s">
        <v>39</v>
      </c>
      <c r="L317" s="675">
        <v>144897</v>
      </c>
      <c r="M317" s="676">
        <v>1512000</v>
      </c>
      <c r="N317" s="677"/>
      <c r="O317" s="677"/>
      <c r="P317" s="677"/>
      <c r="Q317" s="678"/>
      <c r="R317" s="641"/>
      <c r="S317" s="639"/>
      <c r="T317" s="639"/>
      <c r="U317" s="642">
        <v>4000000</v>
      </c>
      <c r="V317" s="332"/>
    </row>
    <row r="318" spans="1:22" s="190" customFormat="1" ht="32.25" customHeight="1" x14ac:dyDescent="0.2">
      <c r="A318" s="446">
        <v>301</v>
      </c>
      <c r="B318" s="635">
        <v>45981</v>
      </c>
      <c r="C318" s="457">
        <v>7264348370</v>
      </c>
      <c r="D318" s="468"/>
      <c r="E318" s="468">
        <v>1</v>
      </c>
      <c r="F318" s="457" t="s">
        <v>858</v>
      </c>
      <c r="G318" s="468" t="s">
        <v>213</v>
      </c>
      <c r="H318" s="468" t="s">
        <v>180</v>
      </c>
      <c r="I318" s="637" t="s">
        <v>181</v>
      </c>
      <c r="J318" s="449" t="s">
        <v>1640</v>
      </c>
      <c r="K318" s="457" t="s">
        <v>39</v>
      </c>
      <c r="L318" s="638">
        <v>306255</v>
      </c>
      <c r="M318" s="451">
        <v>1500000</v>
      </c>
      <c r="N318" s="639"/>
      <c r="O318" s="639"/>
      <c r="P318" s="639"/>
      <c r="Q318" s="640"/>
      <c r="R318" s="641"/>
      <c r="S318" s="639"/>
      <c r="T318" s="639"/>
      <c r="U318" s="642">
        <v>4500000</v>
      </c>
      <c r="V318" s="332"/>
    </row>
    <row r="319" spans="1:22" s="190" customFormat="1" ht="32.25" customHeight="1" x14ac:dyDescent="0.2">
      <c r="A319" s="446">
        <v>302</v>
      </c>
      <c r="B319" s="635">
        <v>45981</v>
      </c>
      <c r="C319" s="457" t="s">
        <v>860</v>
      </c>
      <c r="D319" s="468"/>
      <c r="E319" s="468">
        <v>1</v>
      </c>
      <c r="F319" s="457" t="s">
        <v>861</v>
      </c>
      <c r="G319" s="646" t="s">
        <v>308</v>
      </c>
      <c r="H319" s="468" t="s">
        <v>180</v>
      </c>
      <c r="I319" s="637" t="s">
        <v>181</v>
      </c>
      <c r="J319" s="449" t="s">
        <v>39</v>
      </c>
      <c r="K319" s="457" t="s">
        <v>201</v>
      </c>
      <c r="L319" s="638">
        <v>32174</v>
      </c>
      <c r="M319" s="451">
        <v>1566000</v>
      </c>
      <c r="N319" s="639"/>
      <c r="O319" s="639"/>
      <c r="P319" s="639"/>
      <c r="Q319" s="640"/>
      <c r="R319" s="641"/>
      <c r="S319" s="639"/>
      <c r="T319" s="639"/>
      <c r="U319" s="642">
        <v>4500000</v>
      </c>
      <c r="V319" s="332"/>
    </row>
    <row r="320" spans="1:22" s="190" customFormat="1" ht="32.25" customHeight="1" x14ac:dyDescent="0.2">
      <c r="A320" s="446">
        <v>303</v>
      </c>
      <c r="B320" s="635">
        <v>45981</v>
      </c>
      <c r="C320" s="468">
        <v>262055451</v>
      </c>
      <c r="D320" s="468"/>
      <c r="E320" s="468">
        <v>1</v>
      </c>
      <c r="F320" s="457" t="s">
        <v>863</v>
      </c>
      <c r="G320" s="457" t="s">
        <v>225</v>
      </c>
      <c r="H320" s="648" t="s">
        <v>1658</v>
      </c>
      <c r="I320" s="637" t="s">
        <v>200</v>
      </c>
      <c r="J320" s="449" t="s">
        <v>1637</v>
      </c>
      <c r="K320" s="468" t="s">
        <v>39</v>
      </c>
      <c r="L320" s="638">
        <v>130125</v>
      </c>
      <c r="M320" s="451">
        <v>1450000</v>
      </c>
      <c r="N320" s="639"/>
      <c r="O320" s="639"/>
      <c r="P320" s="639"/>
      <c r="Q320" s="640"/>
      <c r="R320" s="641"/>
      <c r="S320" s="639"/>
      <c r="T320" s="639">
        <v>260000</v>
      </c>
      <c r="U320" s="642">
        <v>4500000</v>
      </c>
      <c r="V320" s="332"/>
    </row>
    <row r="321" spans="1:22" s="190" customFormat="1" ht="32.25" customHeight="1" x14ac:dyDescent="0.2">
      <c r="A321" s="446">
        <v>304</v>
      </c>
      <c r="B321" s="635">
        <v>45981</v>
      </c>
      <c r="C321" s="468">
        <v>262055451</v>
      </c>
      <c r="D321" s="468"/>
      <c r="E321" s="468">
        <v>1</v>
      </c>
      <c r="F321" s="457" t="s">
        <v>865</v>
      </c>
      <c r="G321" s="457" t="s">
        <v>866</v>
      </c>
      <c r="H321" s="648" t="s">
        <v>1658</v>
      </c>
      <c r="I321" s="647" t="s">
        <v>200</v>
      </c>
      <c r="J321" s="449" t="s">
        <v>1637</v>
      </c>
      <c r="K321" s="468" t="s">
        <v>39</v>
      </c>
      <c r="L321" s="638">
        <v>3304</v>
      </c>
      <c r="M321" s="451">
        <v>1500000</v>
      </c>
      <c r="N321" s="639"/>
      <c r="O321" s="639"/>
      <c r="P321" s="639"/>
      <c r="Q321" s="640"/>
      <c r="R321" s="641"/>
      <c r="S321" s="639"/>
      <c r="T321" s="639">
        <v>260000</v>
      </c>
      <c r="U321" s="642">
        <v>4500000</v>
      </c>
      <c r="V321" s="332"/>
    </row>
    <row r="322" spans="1:22" s="190" customFormat="1" ht="32.25" customHeight="1" x14ac:dyDescent="0.2">
      <c r="A322" s="446">
        <v>305</v>
      </c>
      <c r="B322" s="635">
        <v>45982</v>
      </c>
      <c r="C322" s="468" t="s">
        <v>868</v>
      </c>
      <c r="D322" s="468"/>
      <c r="E322" s="468">
        <v>1</v>
      </c>
      <c r="F322" s="457" t="s">
        <v>869</v>
      </c>
      <c r="G322" s="457" t="s">
        <v>870</v>
      </c>
      <c r="H322" s="468" t="s">
        <v>180</v>
      </c>
      <c r="I322" s="637" t="s">
        <v>181</v>
      </c>
      <c r="J322" s="449" t="s">
        <v>39</v>
      </c>
      <c r="K322" s="468" t="s">
        <v>1629</v>
      </c>
      <c r="L322" s="638">
        <v>232453</v>
      </c>
      <c r="M322" s="451">
        <v>1500000</v>
      </c>
      <c r="N322" s="639"/>
      <c r="O322" s="639"/>
      <c r="P322" s="639"/>
      <c r="Q322" s="640"/>
      <c r="R322" s="641"/>
      <c r="S322" s="639"/>
      <c r="T322" s="639"/>
      <c r="U322" s="642">
        <v>4500000</v>
      </c>
      <c r="V322" s="332"/>
    </row>
    <row r="323" spans="1:22" s="190" customFormat="1" ht="32.25" customHeight="1" x14ac:dyDescent="0.2">
      <c r="A323" s="446">
        <v>306</v>
      </c>
      <c r="B323" s="635">
        <v>45982</v>
      </c>
      <c r="C323" s="457" t="s">
        <v>868</v>
      </c>
      <c r="D323" s="468"/>
      <c r="E323" s="468">
        <v>1</v>
      </c>
      <c r="F323" s="457" t="s">
        <v>872</v>
      </c>
      <c r="G323" s="457" t="s">
        <v>873</v>
      </c>
      <c r="H323" s="468" t="s">
        <v>180</v>
      </c>
      <c r="I323" s="637" t="s">
        <v>181</v>
      </c>
      <c r="J323" s="468" t="s">
        <v>39</v>
      </c>
      <c r="K323" s="457" t="s">
        <v>1629</v>
      </c>
      <c r="L323" s="638">
        <v>232382</v>
      </c>
      <c r="M323" s="451">
        <v>1500000</v>
      </c>
      <c r="N323" s="639"/>
      <c r="O323" s="639"/>
      <c r="P323" s="639"/>
      <c r="Q323" s="640"/>
      <c r="R323" s="641"/>
      <c r="S323" s="639"/>
      <c r="T323" s="639"/>
      <c r="U323" s="642">
        <v>4500000</v>
      </c>
      <c r="V323" s="332"/>
    </row>
    <row r="324" spans="1:22" s="190" customFormat="1" ht="32.25" customHeight="1" x14ac:dyDescent="0.2">
      <c r="A324" s="446">
        <v>307</v>
      </c>
      <c r="B324" s="635">
        <v>45982</v>
      </c>
      <c r="C324" s="457" t="s">
        <v>860</v>
      </c>
      <c r="D324" s="468"/>
      <c r="E324" s="468">
        <v>1</v>
      </c>
      <c r="F324" s="457" t="s">
        <v>1145</v>
      </c>
      <c r="G324" s="457" t="s">
        <v>755</v>
      </c>
      <c r="H324" s="468" t="s">
        <v>180</v>
      </c>
      <c r="I324" s="637" t="s">
        <v>181</v>
      </c>
      <c r="J324" s="468" t="s">
        <v>39</v>
      </c>
      <c r="K324" s="457" t="s">
        <v>201</v>
      </c>
      <c r="L324" s="638">
        <v>32860</v>
      </c>
      <c r="M324" s="451">
        <v>1566000</v>
      </c>
      <c r="N324" s="639"/>
      <c r="O324" s="639"/>
      <c r="P324" s="639"/>
      <c r="Q324" s="640"/>
      <c r="R324" s="641"/>
      <c r="S324" s="639"/>
      <c r="T324" s="639"/>
      <c r="U324" s="642">
        <v>4500000</v>
      </c>
      <c r="V324" s="332"/>
    </row>
    <row r="325" spans="1:22" s="190" customFormat="1" ht="32.25" customHeight="1" x14ac:dyDescent="0.2">
      <c r="A325" s="446">
        <v>308</v>
      </c>
      <c r="B325" s="635">
        <v>45982</v>
      </c>
      <c r="C325" s="468" t="s">
        <v>860</v>
      </c>
      <c r="D325" s="468"/>
      <c r="E325" s="468">
        <v>1</v>
      </c>
      <c r="F325" s="457" t="s">
        <v>875</v>
      </c>
      <c r="G325" s="457" t="s">
        <v>876</v>
      </c>
      <c r="H325" s="468" t="s">
        <v>180</v>
      </c>
      <c r="I325" s="637" t="s">
        <v>181</v>
      </c>
      <c r="J325" s="449" t="s">
        <v>39</v>
      </c>
      <c r="K325" s="468" t="s">
        <v>201</v>
      </c>
      <c r="L325" s="638">
        <v>32591</v>
      </c>
      <c r="M325" s="451">
        <v>1566000</v>
      </c>
      <c r="N325" s="639"/>
      <c r="O325" s="639"/>
      <c r="P325" s="639"/>
      <c r="Q325" s="640"/>
      <c r="R325" s="641"/>
      <c r="S325" s="639"/>
      <c r="T325" s="639"/>
      <c r="U325" s="642">
        <v>4500000</v>
      </c>
      <c r="V325" s="332"/>
    </row>
    <row r="326" spans="1:22" s="190" customFormat="1" ht="32.25" customHeight="1" x14ac:dyDescent="0.2">
      <c r="A326" s="446">
        <v>309</v>
      </c>
      <c r="B326" s="635">
        <v>45982</v>
      </c>
      <c r="C326" s="468" t="s">
        <v>860</v>
      </c>
      <c r="D326" s="468"/>
      <c r="E326" s="468">
        <v>1</v>
      </c>
      <c r="F326" s="457" t="s">
        <v>878</v>
      </c>
      <c r="G326" s="457" t="s">
        <v>604</v>
      </c>
      <c r="H326" s="468" t="s">
        <v>180</v>
      </c>
      <c r="I326" s="637" t="s">
        <v>181</v>
      </c>
      <c r="J326" s="449" t="s">
        <v>39</v>
      </c>
      <c r="K326" s="468" t="s">
        <v>201</v>
      </c>
      <c r="L326" s="638">
        <v>32732</v>
      </c>
      <c r="M326" s="451">
        <v>1566000</v>
      </c>
      <c r="N326" s="639"/>
      <c r="O326" s="639"/>
      <c r="P326" s="639"/>
      <c r="Q326" s="640"/>
      <c r="R326" s="641"/>
      <c r="S326" s="639"/>
      <c r="T326" s="639"/>
      <c r="U326" s="642">
        <v>4500000</v>
      </c>
      <c r="V326" s="332"/>
    </row>
    <row r="327" spans="1:22" s="190" customFormat="1" ht="32.25" customHeight="1" x14ac:dyDescent="0.2">
      <c r="A327" s="446">
        <v>310</v>
      </c>
      <c r="B327" s="635">
        <v>45982</v>
      </c>
      <c r="C327" s="468" t="s">
        <v>860</v>
      </c>
      <c r="D327" s="468"/>
      <c r="E327" s="468">
        <v>1</v>
      </c>
      <c r="F327" s="457" t="s">
        <v>879</v>
      </c>
      <c r="G327" s="468" t="s">
        <v>445</v>
      </c>
      <c r="H327" s="468" t="s">
        <v>180</v>
      </c>
      <c r="I327" s="637" t="s">
        <v>181</v>
      </c>
      <c r="J327" s="449" t="s">
        <v>39</v>
      </c>
      <c r="K327" s="468" t="s">
        <v>201</v>
      </c>
      <c r="L327" s="638">
        <v>32659</v>
      </c>
      <c r="M327" s="451">
        <v>1566000</v>
      </c>
      <c r="N327" s="639"/>
      <c r="O327" s="639"/>
      <c r="P327" s="639"/>
      <c r="Q327" s="640"/>
      <c r="R327" s="641"/>
      <c r="S327" s="639"/>
      <c r="T327" s="639"/>
      <c r="U327" s="642">
        <v>4500000</v>
      </c>
      <c r="V327" s="332"/>
    </row>
    <row r="328" spans="1:22" s="190" customFormat="1" ht="32.25" customHeight="1" x14ac:dyDescent="0.2">
      <c r="A328" s="446">
        <v>311</v>
      </c>
      <c r="B328" s="635">
        <v>45983</v>
      </c>
      <c r="C328" s="468">
        <v>262065541</v>
      </c>
      <c r="D328" s="468"/>
      <c r="E328" s="468">
        <v>1</v>
      </c>
      <c r="F328" s="457" t="s">
        <v>880</v>
      </c>
      <c r="G328" s="468" t="s">
        <v>453</v>
      </c>
      <c r="H328" s="468" t="s">
        <v>662</v>
      </c>
      <c r="I328" s="637" t="s">
        <v>173</v>
      </c>
      <c r="J328" s="449" t="s">
        <v>1637</v>
      </c>
      <c r="K328" s="468" t="s">
        <v>39</v>
      </c>
      <c r="L328" s="638">
        <v>16141</v>
      </c>
      <c r="M328" s="451">
        <v>1500000</v>
      </c>
      <c r="N328" s="639"/>
      <c r="O328" s="639"/>
      <c r="P328" s="639"/>
      <c r="Q328" s="640"/>
      <c r="R328" s="641"/>
      <c r="S328" s="639"/>
      <c r="T328" s="639"/>
      <c r="U328" s="642">
        <v>1890000</v>
      </c>
      <c r="V328" s="332"/>
    </row>
    <row r="329" spans="1:22" s="190" customFormat="1" ht="32.25" customHeight="1" x14ac:dyDescent="0.2">
      <c r="A329" s="446">
        <v>312</v>
      </c>
      <c r="B329" s="635">
        <v>45983</v>
      </c>
      <c r="C329" s="468">
        <v>262065541</v>
      </c>
      <c r="D329" s="468"/>
      <c r="E329" s="468">
        <v>1</v>
      </c>
      <c r="F329" s="457" t="s">
        <v>882</v>
      </c>
      <c r="G329" s="468" t="s">
        <v>619</v>
      </c>
      <c r="H329" s="449" t="s">
        <v>172</v>
      </c>
      <c r="I329" s="637" t="s">
        <v>173</v>
      </c>
      <c r="J329" s="449" t="s">
        <v>1637</v>
      </c>
      <c r="K329" s="468" t="s">
        <v>39</v>
      </c>
      <c r="L329" s="638">
        <v>16116</v>
      </c>
      <c r="M329" s="451">
        <v>1500000</v>
      </c>
      <c r="N329" s="639"/>
      <c r="O329" s="639"/>
      <c r="P329" s="639"/>
      <c r="Q329" s="640"/>
      <c r="R329" s="641"/>
      <c r="S329" s="639"/>
      <c r="T329" s="639"/>
      <c r="U329" s="642">
        <v>2700000</v>
      </c>
      <c r="V329" s="332"/>
    </row>
    <row r="330" spans="1:22" s="190" customFormat="1" ht="32.25" customHeight="1" x14ac:dyDescent="0.2">
      <c r="A330" s="446">
        <v>313</v>
      </c>
      <c r="B330" s="635">
        <v>45983</v>
      </c>
      <c r="C330" s="468">
        <v>258420108</v>
      </c>
      <c r="D330" s="468"/>
      <c r="E330" s="468">
        <v>1</v>
      </c>
      <c r="F330" s="468" t="s">
        <v>880</v>
      </c>
      <c r="G330" s="457" t="s">
        <v>453</v>
      </c>
      <c r="H330" s="457" t="s">
        <v>298</v>
      </c>
      <c r="I330" s="637" t="s">
        <v>299</v>
      </c>
      <c r="J330" s="449" t="s">
        <v>39</v>
      </c>
      <c r="K330" s="468" t="s">
        <v>1637</v>
      </c>
      <c r="L330" s="638">
        <v>16140</v>
      </c>
      <c r="M330" s="451">
        <v>1500000</v>
      </c>
      <c r="N330" s="639"/>
      <c r="O330" s="639"/>
      <c r="P330" s="639"/>
      <c r="Q330" s="640"/>
      <c r="R330" s="641"/>
      <c r="S330" s="639"/>
      <c r="T330" s="639"/>
      <c r="U330" s="642">
        <v>5300000</v>
      </c>
      <c r="V330" s="332"/>
    </row>
    <row r="331" spans="1:22" s="190" customFormat="1" ht="32.25" customHeight="1" x14ac:dyDescent="0.2">
      <c r="A331" s="446">
        <v>314</v>
      </c>
      <c r="B331" s="635">
        <v>45983</v>
      </c>
      <c r="C331" s="468">
        <v>258420108</v>
      </c>
      <c r="D331" s="468"/>
      <c r="E331" s="468">
        <v>1</v>
      </c>
      <c r="F331" s="457" t="s">
        <v>885</v>
      </c>
      <c r="G331" s="457" t="s">
        <v>886</v>
      </c>
      <c r="H331" s="457" t="s">
        <v>298</v>
      </c>
      <c r="I331" s="637" t="s">
        <v>299</v>
      </c>
      <c r="J331" s="449" t="s">
        <v>39</v>
      </c>
      <c r="K331" s="468" t="s">
        <v>1637</v>
      </c>
      <c r="L331" s="638">
        <v>131411</v>
      </c>
      <c r="M331" s="451">
        <v>1450000</v>
      </c>
      <c r="N331" s="639"/>
      <c r="O331" s="639"/>
      <c r="P331" s="639"/>
      <c r="Q331" s="640"/>
      <c r="R331" s="641"/>
      <c r="S331" s="639"/>
      <c r="T331" s="639"/>
      <c r="U331" s="642">
        <v>5300000</v>
      </c>
      <c r="V331" s="332"/>
    </row>
    <row r="332" spans="1:22" s="190" customFormat="1" ht="32.25" customHeight="1" x14ac:dyDescent="0.2">
      <c r="A332" s="446">
        <v>315</v>
      </c>
      <c r="B332" s="635">
        <v>45983</v>
      </c>
      <c r="C332" s="457">
        <v>258420108</v>
      </c>
      <c r="D332" s="468"/>
      <c r="E332" s="468">
        <v>1</v>
      </c>
      <c r="F332" s="457" t="s">
        <v>888</v>
      </c>
      <c r="G332" s="457" t="s">
        <v>622</v>
      </c>
      <c r="H332" s="457" t="s">
        <v>298</v>
      </c>
      <c r="I332" s="637" t="s">
        <v>299</v>
      </c>
      <c r="J332" s="457" t="s">
        <v>39</v>
      </c>
      <c r="K332" s="457" t="s">
        <v>1637</v>
      </c>
      <c r="L332" s="673">
        <v>131675</v>
      </c>
      <c r="M332" s="641">
        <v>1450000</v>
      </c>
      <c r="N332" s="639"/>
      <c r="O332" s="639"/>
      <c r="P332" s="639"/>
      <c r="Q332" s="640"/>
      <c r="R332" s="641"/>
      <c r="S332" s="639"/>
      <c r="T332" s="639"/>
      <c r="U332" s="642">
        <v>5300000</v>
      </c>
      <c r="V332" s="332"/>
    </row>
    <row r="333" spans="1:22" s="190" customFormat="1" ht="32.25" customHeight="1" x14ac:dyDescent="0.2">
      <c r="A333" s="446">
        <v>316</v>
      </c>
      <c r="B333" s="635">
        <v>45983</v>
      </c>
      <c r="C333" s="457">
        <v>258420108</v>
      </c>
      <c r="D333" s="468"/>
      <c r="E333" s="468">
        <v>1</v>
      </c>
      <c r="F333" s="463" t="s">
        <v>890</v>
      </c>
      <c r="G333" s="463" t="s">
        <v>758</v>
      </c>
      <c r="H333" s="457" t="s">
        <v>298</v>
      </c>
      <c r="I333" s="637" t="s">
        <v>299</v>
      </c>
      <c r="J333" s="463" t="s">
        <v>39</v>
      </c>
      <c r="K333" s="463" t="s">
        <v>1637</v>
      </c>
      <c r="L333" s="673">
        <v>131680</v>
      </c>
      <c r="M333" s="641">
        <v>1450000</v>
      </c>
      <c r="N333" s="639"/>
      <c r="O333" s="639"/>
      <c r="P333" s="639"/>
      <c r="Q333" s="640"/>
      <c r="R333" s="641"/>
      <c r="S333" s="639"/>
      <c r="T333" s="639"/>
      <c r="U333" s="642">
        <v>5300000</v>
      </c>
      <c r="V333" s="332"/>
    </row>
    <row r="334" spans="1:22" s="190" customFormat="1" ht="32.25" customHeight="1" x14ac:dyDescent="0.2">
      <c r="A334" s="446">
        <v>317</v>
      </c>
      <c r="B334" s="635">
        <v>45983</v>
      </c>
      <c r="C334" s="655">
        <v>258420108</v>
      </c>
      <c r="D334" s="651"/>
      <c r="E334" s="468">
        <v>1</v>
      </c>
      <c r="F334" s="463" t="s">
        <v>892</v>
      </c>
      <c r="G334" s="463" t="s">
        <v>893</v>
      </c>
      <c r="H334" s="457" t="s">
        <v>298</v>
      </c>
      <c r="I334" s="637" t="s">
        <v>299</v>
      </c>
      <c r="J334" s="463" t="s">
        <v>39</v>
      </c>
      <c r="K334" s="463" t="s">
        <v>1637</v>
      </c>
      <c r="L334" s="673">
        <v>131650</v>
      </c>
      <c r="M334" s="641">
        <v>1450000</v>
      </c>
      <c r="N334" s="639"/>
      <c r="O334" s="639"/>
      <c r="P334" s="639"/>
      <c r="Q334" s="640"/>
      <c r="R334" s="641"/>
      <c r="S334" s="639"/>
      <c r="T334" s="639"/>
      <c r="U334" s="642">
        <v>5300000</v>
      </c>
      <c r="V334" s="332"/>
    </row>
    <row r="335" spans="1:22" s="190" customFormat="1" ht="32.25" customHeight="1" x14ac:dyDescent="0.2">
      <c r="A335" s="446">
        <v>318</v>
      </c>
      <c r="B335" s="635">
        <v>45983</v>
      </c>
      <c r="C335" s="655">
        <v>258420108</v>
      </c>
      <c r="D335" s="651"/>
      <c r="E335" s="468">
        <v>1</v>
      </c>
      <c r="F335" s="463" t="s">
        <v>895</v>
      </c>
      <c r="G335" s="463" t="s">
        <v>896</v>
      </c>
      <c r="H335" s="457" t="s">
        <v>298</v>
      </c>
      <c r="I335" s="637" t="s">
        <v>299</v>
      </c>
      <c r="J335" s="463" t="s">
        <v>39</v>
      </c>
      <c r="K335" s="463" t="s">
        <v>1637</v>
      </c>
      <c r="L335" s="673">
        <v>131678</v>
      </c>
      <c r="M335" s="641">
        <v>1450000</v>
      </c>
      <c r="N335" s="639"/>
      <c r="O335" s="639"/>
      <c r="P335" s="639"/>
      <c r="Q335" s="640"/>
      <c r="R335" s="641"/>
      <c r="S335" s="639"/>
      <c r="T335" s="639"/>
      <c r="U335" s="642">
        <v>5300000</v>
      </c>
      <c r="V335" s="332"/>
    </row>
    <row r="336" spans="1:22" s="190" customFormat="1" ht="32.25" customHeight="1" x14ac:dyDescent="0.2">
      <c r="A336" s="446">
        <v>319</v>
      </c>
      <c r="B336" s="635">
        <v>45983</v>
      </c>
      <c r="C336" s="655">
        <v>258420108</v>
      </c>
      <c r="D336" s="651"/>
      <c r="E336" s="468">
        <v>1</v>
      </c>
      <c r="F336" s="463" t="s">
        <v>898</v>
      </c>
      <c r="G336" s="463" t="s">
        <v>899</v>
      </c>
      <c r="H336" s="457" t="s">
        <v>298</v>
      </c>
      <c r="I336" s="637" t="s">
        <v>299</v>
      </c>
      <c r="J336" s="463" t="s">
        <v>39</v>
      </c>
      <c r="K336" s="463" t="s">
        <v>1637</v>
      </c>
      <c r="L336" s="673">
        <v>131294</v>
      </c>
      <c r="M336" s="641">
        <v>1450000</v>
      </c>
      <c r="N336" s="639"/>
      <c r="O336" s="639"/>
      <c r="P336" s="639"/>
      <c r="Q336" s="640"/>
      <c r="R336" s="641"/>
      <c r="S336" s="639"/>
      <c r="T336" s="639"/>
      <c r="U336" s="642">
        <v>5300000</v>
      </c>
      <c r="V336" s="332"/>
    </row>
    <row r="337" spans="1:22" s="190" customFormat="1" ht="32.25" customHeight="1" x14ac:dyDescent="0.2">
      <c r="A337" s="446">
        <v>320</v>
      </c>
      <c r="B337" s="635">
        <v>45983</v>
      </c>
      <c r="C337" s="655">
        <v>7263969462</v>
      </c>
      <c r="D337" s="651"/>
      <c r="E337" s="468">
        <v>1</v>
      </c>
      <c r="F337" s="463" t="s">
        <v>901</v>
      </c>
      <c r="G337" s="679" t="s">
        <v>876</v>
      </c>
      <c r="H337" s="457" t="s">
        <v>298</v>
      </c>
      <c r="I337" s="637" t="s">
        <v>299</v>
      </c>
      <c r="J337" s="463" t="s">
        <v>1640</v>
      </c>
      <c r="K337" s="463" t="s">
        <v>39</v>
      </c>
      <c r="L337" s="673">
        <v>309152</v>
      </c>
      <c r="M337" s="641">
        <v>1500000</v>
      </c>
      <c r="N337" s="639"/>
      <c r="O337" s="639"/>
      <c r="P337" s="639"/>
      <c r="Q337" s="640"/>
      <c r="R337" s="641"/>
      <c r="S337" s="639"/>
      <c r="T337" s="639"/>
      <c r="U337" s="642">
        <v>5300000</v>
      </c>
      <c r="V337" s="332"/>
    </row>
    <row r="338" spans="1:22" s="190" customFormat="1" ht="32.25" customHeight="1" x14ac:dyDescent="0.2">
      <c r="A338" s="446">
        <v>321</v>
      </c>
      <c r="B338" s="635">
        <v>45983</v>
      </c>
      <c r="C338" s="655">
        <v>7263969462</v>
      </c>
      <c r="D338" s="651"/>
      <c r="E338" s="468">
        <v>1</v>
      </c>
      <c r="F338" s="463" t="s">
        <v>903</v>
      </c>
      <c r="G338" s="463" t="s">
        <v>899</v>
      </c>
      <c r="H338" s="457" t="s">
        <v>298</v>
      </c>
      <c r="I338" s="647" t="s">
        <v>299</v>
      </c>
      <c r="J338" s="463" t="s">
        <v>1640</v>
      </c>
      <c r="K338" s="463" t="s">
        <v>39</v>
      </c>
      <c r="L338" s="673">
        <v>308990</v>
      </c>
      <c r="M338" s="641">
        <v>1500000</v>
      </c>
      <c r="N338" s="639"/>
      <c r="O338" s="639"/>
      <c r="P338" s="639"/>
      <c r="Q338" s="640"/>
      <c r="R338" s="641"/>
      <c r="S338" s="639"/>
      <c r="T338" s="639"/>
      <c r="U338" s="642">
        <v>5300000</v>
      </c>
      <c r="V338" s="332"/>
    </row>
    <row r="339" spans="1:22" s="190" customFormat="1" ht="32.25" customHeight="1" x14ac:dyDescent="0.2">
      <c r="A339" s="446">
        <v>322</v>
      </c>
      <c r="B339" s="662">
        <v>45983</v>
      </c>
      <c r="C339" s="655" t="s">
        <v>905</v>
      </c>
      <c r="D339" s="651"/>
      <c r="E339" s="468">
        <v>1</v>
      </c>
      <c r="F339" s="457" t="s">
        <v>906</v>
      </c>
      <c r="G339" s="468" t="s">
        <v>907</v>
      </c>
      <c r="H339" s="468" t="s">
        <v>908</v>
      </c>
      <c r="I339" s="647" t="s">
        <v>200</v>
      </c>
      <c r="J339" s="457" t="s">
        <v>39</v>
      </c>
      <c r="K339" s="457" t="s">
        <v>1631</v>
      </c>
      <c r="L339" s="673" t="s">
        <v>909</v>
      </c>
      <c r="M339" s="641">
        <v>1500000</v>
      </c>
      <c r="N339" s="639"/>
      <c r="O339" s="639"/>
      <c r="P339" s="639"/>
      <c r="Q339" s="640"/>
      <c r="R339" s="641"/>
      <c r="S339" s="639"/>
      <c r="T339" s="639"/>
      <c r="U339" s="642">
        <v>4500000</v>
      </c>
      <c r="V339" s="332"/>
    </row>
    <row r="340" spans="1:22" s="190" customFormat="1" ht="32.25" customHeight="1" x14ac:dyDescent="0.2">
      <c r="A340" s="446">
        <v>323</v>
      </c>
      <c r="B340" s="662">
        <v>45983</v>
      </c>
      <c r="C340" s="655" t="s">
        <v>905</v>
      </c>
      <c r="D340" s="651"/>
      <c r="E340" s="468">
        <v>1</v>
      </c>
      <c r="F340" s="457" t="s">
        <v>910</v>
      </c>
      <c r="G340" s="457" t="s">
        <v>552</v>
      </c>
      <c r="H340" s="468" t="s">
        <v>908</v>
      </c>
      <c r="I340" s="647" t="s">
        <v>200</v>
      </c>
      <c r="J340" s="457" t="s">
        <v>39</v>
      </c>
      <c r="K340" s="457" t="s">
        <v>1631</v>
      </c>
      <c r="L340" s="673" t="s">
        <v>911</v>
      </c>
      <c r="M340" s="641">
        <v>1500000</v>
      </c>
      <c r="N340" s="639"/>
      <c r="O340" s="639"/>
      <c r="P340" s="639"/>
      <c r="Q340" s="640"/>
      <c r="R340" s="641"/>
      <c r="S340" s="639"/>
      <c r="T340" s="639"/>
      <c r="U340" s="642">
        <v>4500000</v>
      </c>
      <c r="V340" s="332"/>
    </row>
    <row r="341" spans="1:22" s="190" customFormat="1" ht="32.25" customHeight="1" x14ac:dyDescent="0.2">
      <c r="A341" s="446">
        <v>324</v>
      </c>
      <c r="B341" s="662">
        <v>45983</v>
      </c>
      <c r="C341" s="655" t="s">
        <v>905</v>
      </c>
      <c r="D341" s="651"/>
      <c r="E341" s="468">
        <v>1</v>
      </c>
      <c r="F341" s="457" t="s">
        <v>912</v>
      </c>
      <c r="G341" s="468" t="s">
        <v>913</v>
      </c>
      <c r="H341" s="468" t="s">
        <v>908</v>
      </c>
      <c r="I341" s="647" t="s">
        <v>200</v>
      </c>
      <c r="J341" s="457" t="s">
        <v>39</v>
      </c>
      <c r="K341" s="457" t="s">
        <v>1631</v>
      </c>
      <c r="L341" s="673" t="s">
        <v>914</v>
      </c>
      <c r="M341" s="641">
        <v>1500000</v>
      </c>
      <c r="N341" s="639"/>
      <c r="O341" s="639"/>
      <c r="P341" s="639"/>
      <c r="Q341" s="640"/>
      <c r="R341" s="641"/>
      <c r="S341" s="639"/>
      <c r="T341" s="639"/>
      <c r="U341" s="642">
        <v>4500000</v>
      </c>
      <c r="V341" s="332"/>
    </row>
    <row r="342" spans="1:22" s="190" customFormat="1" ht="32.25" customHeight="1" x14ac:dyDescent="0.2">
      <c r="A342" s="446">
        <v>325</v>
      </c>
      <c r="B342" s="662">
        <v>45983</v>
      </c>
      <c r="C342" s="468" t="s">
        <v>905</v>
      </c>
      <c r="D342" s="468"/>
      <c r="E342" s="468">
        <v>1</v>
      </c>
      <c r="F342" s="457" t="s">
        <v>915</v>
      </c>
      <c r="G342" s="646" t="s">
        <v>254</v>
      </c>
      <c r="H342" s="651" t="s">
        <v>908</v>
      </c>
      <c r="I342" s="647" t="s">
        <v>200</v>
      </c>
      <c r="J342" s="651" t="s">
        <v>39</v>
      </c>
      <c r="K342" s="655" t="s">
        <v>1631</v>
      </c>
      <c r="L342" s="673" t="s">
        <v>916</v>
      </c>
      <c r="M342" s="641">
        <v>1500000</v>
      </c>
      <c r="N342" s="639"/>
      <c r="O342" s="639"/>
      <c r="P342" s="639"/>
      <c r="Q342" s="640"/>
      <c r="R342" s="641"/>
      <c r="S342" s="639"/>
      <c r="T342" s="639"/>
      <c r="U342" s="642">
        <v>4500000</v>
      </c>
      <c r="V342" s="332"/>
    </row>
    <row r="343" spans="1:22" s="190" customFormat="1" ht="32.25" customHeight="1" x14ac:dyDescent="0.2">
      <c r="A343" s="446">
        <v>326</v>
      </c>
      <c r="B343" s="662">
        <v>45983</v>
      </c>
      <c r="C343" s="468" t="s">
        <v>905</v>
      </c>
      <c r="D343" s="468"/>
      <c r="E343" s="468">
        <v>1</v>
      </c>
      <c r="F343" s="468" t="s">
        <v>917</v>
      </c>
      <c r="G343" s="457" t="s">
        <v>265</v>
      </c>
      <c r="H343" s="651" t="s">
        <v>908</v>
      </c>
      <c r="I343" s="647" t="s">
        <v>200</v>
      </c>
      <c r="J343" s="651" t="s">
        <v>39</v>
      </c>
      <c r="K343" s="655" t="s">
        <v>1631</v>
      </c>
      <c r="L343" s="673" t="s">
        <v>918</v>
      </c>
      <c r="M343" s="641">
        <v>1500000</v>
      </c>
      <c r="N343" s="639"/>
      <c r="O343" s="639"/>
      <c r="P343" s="639"/>
      <c r="Q343" s="640"/>
      <c r="R343" s="641"/>
      <c r="S343" s="639"/>
      <c r="T343" s="639"/>
      <c r="U343" s="642">
        <v>4500000</v>
      </c>
      <c r="V343" s="329"/>
    </row>
    <row r="344" spans="1:22" s="190" customFormat="1" ht="32.25" customHeight="1" x14ac:dyDescent="0.2">
      <c r="A344" s="446">
        <v>327</v>
      </c>
      <c r="B344" s="662">
        <v>45984</v>
      </c>
      <c r="C344" s="468" t="s">
        <v>919</v>
      </c>
      <c r="D344" s="468"/>
      <c r="E344" s="468">
        <v>1</v>
      </c>
      <c r="F344" s="457" t="s">
        <v>920</v>
      </c>
      <c r="G344" s="457" t="s">
        <v>876</v>
      </c>
      <c r="H344" s="457" t="s">
        <v>298</v>
      </c>
      <c r="I344" s="637" t="s">
        <v>299</v>
      </c>
      <c r="J344" s="651" t="s">
        <v>39</v>
      </c>
      <c r="K344" s="655" t="s">
        <v>1631</v>
      </c>
      <c r="L344" s="673">
        <v>424886</v>
      </c>
      <c r="M344" s="641">
        <v>1500000</v>
      </c>
      <c r="N344" s="639"/>
      <c r="O344" s="639"/>
      <c r="P344" s="639"/>
      <c r="Q344" s="640"/>
      <c r="R344" s="641"/>
      <c r="S344" s="639"/>
      <c r="T344" s="639"/>
      <c r="U344" s="642">
        <v>5300000</v>
      </c>
      <c r="V344" s="329"/>
    </row>
    <row r="345" spans="1:22" s="190" customFormat="1" ht="32.25" customHeight="1" x14ac:dyDescent="0.2">
      <c r="A345" s="446">
        <v>328</v>
      </c>
      <c r="B345" s="635">
        <v>45984</v>
      </c>
      <c r="C345" s="468" t="s">
        <v>919</v>
      </c>
      <c r="D345" s="468"/>
      <c r="E345" s="468">
        <v>1</v>
      </c>
      <c r="F345" s="457" t="s">
        <v>922</v>
      </c>
      <c r="G345" s="457" t="s">
        <v>619</v>
      </c>
      <c r="H345" s="457" t="s">
        <v>298</v>
      </c>
      <c r="I345" s="637" t="s">
        <v>299</v>
      </c>
      <c r="J345" s="651" t="s">
        <v>39</v>
      </c>
      <c r="K345" s="655" t="s">
        <v>1631</v>
      </c>
      <c r="L345" s="673" t="s">
        <v>923</v>
      </c>
      <c r="M345" s="641">
        <v>1500000</v>
      </c>
      <c r="N345" s="639"/>
      <c r="O345" s="639"/>
      <c r="P345" s="639"/>
      <c r="Q345" s="640"/>
      <c r="R345" s="641"/>
      <c r="S345" s="639"/>
      <c r="T345" s="639"/>
      <c r="U345" s="642">
        <v>5300000</v>
      </c>
      <c r="V345" s="329"/>
    </row>
    <row r="346" spans="1:22" s="190" customFormat="1" ht="32.25" customHeight="1" x14ac:dyDescent="0.2">
      <c r="A346" s="446">
        <v>329</v>
      </c>
      <c r="B346" s="635">
        <v>45984</v>
      </c>
      <c r="C346" s="468" t="s">
        <v>919</v>
      </c>
      <c r="D346" s="468"/>
      <c r="E346" s="468">
        <v>1</v>
      </c>
      <c r="F346" s="457" t="s">
        <v>924</v>
      </c>
      <c r="G346" s="457" t="s">
        <v>899</v>
      </c>
      <c r="H346" s="457" t="s">
        <v>298</v>
      </c>
      <c r="I346" s="637" t="s">
        <v>299</v>
      </c>
      <c r="J346" s="651" t="s">
        <v>39</v>
      </c>
      <c r="K346" s="655" t="s">
        <v>1631</v>
      </c>
      <c r="L346" s="673" t="s">
        <v>925</v>
      </c>
      <c r="M346" s="641">
        <v>1450000</v>
      </c>
      <c r="N346" s="639"/>
      <c r="O346" s="639"/>
      <c r="P346" s="639"/>
      <c r="Q346" s="640"/>
      <c r="R346" s="641"/>
      <c r="S346" s="639"/>
      <c r="T346" s="639"/>
      <c r="U346" s="642">
        <v>5300000</v>
      </c>
      <c r="V346" s="329"/>
    </row>
    <row r="347" spans="1:22" s="190" customFormat="1" ht="32.25" customHeight="1" x14ac:dyDescent="0.2">
      <c r="A347" s="446">
        <v>330</v>
      </c>
      <c r="B347" s="635">
        <v>45984</v>
      </c>
      <c r="C347" s="468">
        <v>262065541</v>
      </c>
      <c r="D347" s="468"/>
      <c r="E347" s="468">
        <v>1</v>
      </c>
      <c r="F347" s="457" t="s">
        <v>926</v>
      </c>
      <c r="G347" s="468" t="s">
        <v>927</v>
      </c>
      <c r="H347" s="449" t="s">
        <v>172</v>
      </c>
      <c r="I347" s="637" t="s">
        <v>173</v>
      </c>
      <c r="J347" s="666" t="s">
        <v>1637</v>
      </c>
      <c r="K347" s="655" t="s">
        <v>39</v>
      </c>
      <c r="L347" s="673">
        <v>131583</v>
      </c>
      <c r="M347" s="641">
        <v>1450000</v>
      </c>
      <c r="N347" s="639"/>
      <c r="O347" s="639"/>
      <c r="P347" s="639"/>
      <c r="Q347" s="640"/>
      <c r="R347" s="641"/>
      <c r="S347" s="639"/>
      <c r="T347" s="639"/>
      <c r="U347" s="642">
        <v>2700000</v>
      </c>
      <c r="V347" s="329"/>
    </row>
    <row r="348" spans="1:22" s="190" customFormat="1" ht="32.25" customHeight="1" x14ac:dyDescent="0.2">
      <c r="A348" s="446">
        <v>331</v>
      </c>
      <c r="B348" s="662">
        <v>45984</v>
      </c>
      <c r="C348" s="655">
        <v>262065541</v>
      </c>
      <c r="D348" s="651"/>
      <c r="E348" s="651">
        <v>1</v>
      </c>
      <c r="F348" s="655" t="s">
        <v>892</v>
      </c>
      <c r="G348" s="651" t="s">
        <v>893</v>
      </c>
      <c r="H348" s="468" t="s">
        <v>662</v>
      </c>
      <c r="I348" s="637" t="s">
        <v>173</v>
      </c>
      <c r="J348" s="666" t="s">
        <v>1637</v>
      </c>
      <c r="K348" s="655" t="s">
        <v>39</v>
      </c>
      <c r="L348" s="673">
        <v>131652</v>
      </c>
      <c r="M348" s="641">
        <v>1450000</v>
      </c>
      <c r="N348" s="639"/>
      <c r="O348" s="639"/>
      <c r="P348" s="639"/>
      <c r="Q348" s="640"/>
      <c r="R348" s="641"/>
      <c r="S348" s="639"/>
      <c r="T348" s="639"/>
      <c r="U348" s="642">
        <v>1890000</v>
      </c>
      <c r="V348" s="329"/>
    </row>
    <row r="349" spans="1:22" s="190" customFormat="1" ht="32.25" customHeight="1" x14ac:dyDescent="0.2">
      <c r="A349" s="446">
        <v>332</v>
      </c>
      <c r="B349" s="662">
        <v>45984</v>
      </c>
      <c r="C349" s="457">
        <v>262065541</v>
      </c>
      <c r="D349" s="468"/>
      <c r="E349" s="468">
        <v>1</v>
      </c>
      <c r="F349" s="468" t="s">
        <v>931</v>
      </c>
      <c r="G349" s="457" t="s">
        <v>622</v>
      </c>
      <c r="H349" s="449" t="s">
        <v>172</v>
      </c>
      <c r="I349" s="637" t="s">
        <v>173</v>
      </c>
      <c r="J349" s="666" t="s">
        <v>1637</v>
      </c>
      <c r="K349" s="655" t="s">
        <v>39</v>
      </c>
      <c r="L349" s="673">
        <v>131676</v>
      </c>
      <c r="M349" s="641">
        <v>1450000</v>
      </c>
      <c r="N349" s="639"/>
      <c r="O349" s="639"/>
      <c r="P349" s="639"/>
      <c r="Q349" s="640"/>
      <c r="R349" s="641"/>
      <c r="S349" s="639"/>
      <c r="T349" s="639"/>
      <c r="U349" s="642">
        <v>2700000</v>
      </c>
      <c r="V349" s="329"/>
    </row>
    <row r="350" spans="1:22" s="190" customFormat="1" ht="32.25" customHeight="1" x14ac:dyDescent="0.2">
      <c r="A350" s="446">
        <v>333</v>
      </c>
      <c r="B350" s="662">
        <v>45984</v>
      </c>
      <c r="C350" s="457">
        <v>262065541</v>
      </c>
      <c r="D350" s="468"/>
      <c r="E350" s="468">
        <v>1</v>
      </c>
      <c r="F350" s="457" t="s">
        <v>933</v>
      </c>
      <c r="G350" s="468" t="s">
        <v>896</v>
      </c>
      <c r="H350" s="449" t="s">
        <v>172</v>
      </c>
      <c r="I350" s="637" t="s">
        <v>173</v>
      </c>
      <c r="J350" s="666" t="s">
        <v>1637</v>
      </c>
      <c r="K350" s="655" t="s">
        <v>39</v>
      </c>
      <c r="L350" s="673">
        <v>131685</v>
      </c>
      <c r="M350" s="641">
        <v>1450000</v>
      </c>
      <c r="N350" s="639"/>
      <c r="O350" s="639"/>
      <c r="P350" s="639"/>
      <c r="Q350" s="640"/>
      <c r="R350" s="641"/>
      <c r="S350" s="639"/>
      <c r="T350" s="639"/>
      <c r="U350" s="642">
        <v>2700000</v>
      </c>
      <c r="V350" s="329"/>
    </row>
    <row r="351" spans="1:22" s="190" customFormat="1" ht="32.25" customHeight="1" x14ac:dyDescent="0.2">
      <c r="A351" s="446">
        <v>334</v>
      </c>
      <c r="B351" s="662">
        <v>45984</v>
      </c>
      <c r="C351" s="457">
        <v>262065541</v>
      </c>
      <c r="D351" s="468"/>
      <c r="E351" s="468">
        <v>1</v>
      </c>
      <c r="F351" s="457" t="s">
        <v>935</v>
      </c>
      <c r="G351" s="457" t="s">
        <v>758</v>
      </c>
      <c r="H351" s="449" t="s">
        <v>172</v>
      </c>
      <c r="I351" s="637" t="s">
        <v>173</v>
      </c>
      <c r="J351" s="666" t="s">
        <v>1637</v>
      </c>
      <c r="K351" s="655" t="s">
        <v>39</v>
      </c>
      <c r="L351" s="673">
        <v>131686</v>
      </c>
      <c r="M351" s="641">
        <v>1450000</v>
      </c>
      <c r="N351" s="639"/>
      <c r="O351" s="639"/>
      <c r="P351" s="639"/>
      <c r="Q351" s="640"/>
      <c r="R351" s="641"/>
      <c r="S351" s="639"/>
      <c r="T351" s="639"/>
      <c r="U351" s="642">
        <v>2700000</v>
      </c>
      <c r="V351" s="329"/>
    </row>
    <row r="352" spans="1:22" s="190" customFormat="1" ht="32.25" customHeight="1" x14ac:dyDescent="0.2">
      <c r="A352" s="446">
        <v>335</v>
      </c>
      <c r="B352" s="662">
        <v>45984</v>
      </c>
      <c r="C352" s="463">
        <v>258474318</v>
      </c>
      <c r="D352" s="645"/>
      <c r="E352" s="645">
        <v>1</v>
      </c>
      <c r="F352" s="463" t="s">
        <v>937</v>
      </c>
      <c r="G352" s="463" t="s">
        <v>873</v>
      </c>
      <c r="H352" s="463" t="s">
        <v>180</v>
      </c>
      <c r="I352" s="637" t="s">
        <v>181</v>
      </c>
      <c r="J352" s="666" t="s">
        <v>39</v>
      </c>
      <c r="K352" s="655" t="s">
        <v>1646</v>
      </c>
      <c r="L352" s="673">
        <v>8297</v>
      </c>
      <c r="M352" s="641">
        <v>1500000</v>
      </c>
      <c r="N352" s="639"/>
      <c r="O352" s="639"/>
      <c r="P352" s="639"/>
      <c r="Q352" s="640"/>
      <c r="R352" s="641"/>
      <c r="S352" s="639"/>
      <c r="T352" s="639"/>
      <c r="U352" s="642">
        <v>4500000</v>
      </c>
      <c r="V352" s="329"/>
    </row>
    <row r="353" spans="1:22" s="190" customFormat="1" ht="32.25" customHeight="1" x14ac:dyDescent="0.2">
      <c r="A353" s="446">
        <v>336</v>
      </c>
      <c r="B353" s="662">
        <v>45984</v>
      </c>
      <c r="C353" s="468">
        <v>7263969463</v>
      </c>
      <c r="D353" s="680"/>
      <c r="E353" s="468">
        <v>1</v>
      </c>
      <c r="F353" s="457" t="s">
        <v>939</v>
      </c>
      <c r="G353" s="468" t="s">
        <v>440</v>
      </c>
      <c r="H353" s="468" t="s">
        <v>607</v>
      </c>
      <c r="I353" s="637" t="s">
        <v>608</v>
      </c>
      <c r="J353" s="666" t="s">
        <v>1640</v>
      </c>
      <c r="K353" s="655" t="s">
        <v>39</v>
      </c>
      <c r="L353" s="673" t="s">
        <v>940</v>
      </c>
      <c r="M353" s="641">
        <v>1500000</v>
      </c>
      <c r="N353" s="639"/>
      <c r="O353" s="639"/>
      <c r="P353" s="639"/>
      <c r="Q353" s="640"/>
      <c r="R353" s="641"/>
      <c r="S353" s="639"/>
      <c r="T353" s="639"/>
      <c r="U353" s="642">
        <v>3300000</v>
      </c>
      <c r="V353" s="329"/>
    </row>
    <row r="354" spans="1:22" s="190" customFormat="1" ht="32.25" customHeight="1" x14ac:dyDescent="0.2">
      <c r="A354" s="446">
        <v>337</v>
      </c>
      <c r="B354" s="662">
        <v>45984</v>
      </c>
      <c r="C354" s="468">
        <v>7263969463</v>
      </c>
      <c r="D354" s="449"/>
      <c r="E354" s="449">
        <v>1</v>
      </c>
      <c r="F354" s="457" t="s">
        <v>1146</v>
      </c>
      <c r="G354" s="457" t="s">
        <v>591</v>
      </c>
      <c r="H354" s="449" t="s">
        <v>607</v>
      </c>
      <c r="I354" s="637" t="s">
        <v>608</v>
      </c>
      <c r="J354" s="457" t="s">
        <v>1640</v>
      </c>
      <c r="K354" s="446" t="s">
        <v>39</v>
      </c>
      <c r="L354" s="681" t="s">
        <v>941</v>
      </c>
      <c r="M354" s="469">
        <v>1500000</v>
      </c>
      <c r="N354" s="682"/>
      <c r="O354" s="682"/>
      <c r="P354" s="682"/>
      <c r="Q354" s="683"/>
      <c r="R354" s="469"/>
      <c r="S354" s="682"/>
      <c r="T354" s="682"/>
      <c r="U354" s="642">
        <v>3300000</v>
      </c>
      <c r="V354" s="329"/>
    </row>
    <row r="355" spans="1:22" s="190" customFormat="1" ht="32.25" customHeight="1" x14ac:dyDescent="0.2">
      <c r="A355" s="446">
        <v>338</v>
      </c>
      <c r="B355" s="662">
        <v>45984</v>
      </c>
      <c r="C355" s="468">
        <v>7263969463</v>
      </c>
      <c r="D355" s="468"/>
      <c r="E355" s="468">
        <v>1</v>
      </c>
      <c r="F355" s="457" t="s">
        <v>942</v>
      </c>
      <c r="G355" s="457" t="s">
        <v>943</v>
      </c>
      <c r="H355" s="457" t="s">
        <v>607</v>
      </c>
      <c r="I355" s="637" t="s">
        <v>608</v>
      </c>
      <c r="J355" s="666" t="s">
        <v>1640</v>
      </c>
      <c r="K355" s="655" t="s">
        <v>39</v>
      </c>
      <c r="L355" s="673" t="s">
        <v>944</v>
      </c>
      <c r="M355" s="641">
        <v>1500000</v>
      </c>
      <c r="N355" s="639"/>
      <c r="O355" s="639"/>
      <c r="P355" s="639"/>
      <c r="Q355" s="640"/>
      <c r="R355" s="641"/>
      <c r="S355" s="639"/>
      <c r="T355" s="639"/>
      <c r="U355" s="642">
        <v>3300000</v>
      </c>
      <c r="V355" s="329"/>
    </row>
    <row r="356" spans="1:22" s="190" customFormat="1" ht="32.25" customHeight="1" x14ac:dyDescent="0.2">
      <c r="A356" s="446">
        <v>339</v>
      </c>
      <c r="B356" s="662">
        <v>45984</v>
      </c>
      <c r="C356" s="468">
        <v>7263969463</v>
      </c>
      <c r="D356" s="468"/>
      <c r="E356" s="468">
        <v>1</v>
      </c>
      <c r="F356" s="457" t="s">
        <v>945</v>
      </c>
      <c r="G356" s="457" t="s">
        <v>765</v>
      </c>
      <c r="H356" s="457" t="s">
        <v>607</v>
      </c>
      <c r="I356" s="637" t="s">
        <v>608</v>
      </c>
      <c r="J356" s="666" t="s">
        <v>1640</v>
      </c>
      <c r="K356" s="655" t="s">
        <v>39</v>
      </c>
      <c r="L356" s="673">
        <v>309637</v>
      </c>
      <c r="M356" s="641">
        <v>1500000</v>
      </c>
      <c r="N356" s="639"/>
      <c r="O356" s="639"/>
      <c r="P356" s="639"/>
      <c r="Q356" s="640"/>
      <c r="R356" s="641"/>
      <c r="S356" s="639"/>
      <c r="T356" s="639"/>
      <c r="U356" s="642">
        <v>3300000</v>
      </c>
      <c r="V356" s="329"/>
    </row>
    <row r="357" spans="1:22" s="190" customFormat="1" ht="32.25" customHeight="1" x14ac:dyDescent="0.2">
      <c r="A357" s="446">
        <v>340</v>
      </c>
      <c r="B357" s="662">
        <v>45984</v>
      </c>
      <c r="C357" s="468">
        <v>7263969463</v>
      </c>
      <c r="D357" s="468"/>
      <c r="E357" s="468">
        <v>1</v>
      </c>
      <c r="F357" s="470" t="s">
        <v>947</v>
      </c>
      <c r="G357" s="457" t="s">
        <v>763</v>
      </c>
      <c r="H357" s="457" t="s">
        <v>607</v>
      </c>
      <c r="I357" s="637" t="s">
        <v>608</v>
      </c>
      <c r="J357" s="666" t="s">
        <v>1640</v>
      </c>
      <c r="K357" s="655" t="s">
        <v>39</v>
      </c>
      <c r="L357" s="673" t="s">
        <v>948</v>
      </c>
      <c r="M357" s="641">
        <v>1500000</v>
      </c>
      <c r="N357" s="639"/>
      <c r="O357" s="639"/>
      <c r="P357" s="639"/>
      <c r="Q357" s="640"/>
      <c r="R357" s="641"/>
      <c r="S357" s="639"/>
      <c r="T357" s="639"/>
      <c r="U357" s="642">
        <v>3300000</v>
      </c>
      <c r="V357" s="329"/>
    </row>
    <row r="358" spans="1:22" s="190" customFormat="1" ht="32.25" customHeight="1" x14ac:dyDescent="0.2">
      <c r="A358" s="446">
        <v>341</v>
      </c>
      <c r="B358" s="662">
        <v>45984</v>
      </c>
      <c r="C358" s="468">
        <v>7263994220</v>
      </c>
      <c r="D358" s="468"/>
      <c r="E358" s="468">
        <v>1</v>
      </c>
      <c r="F358" s="457" t="s">
        <v>949</v>
      </c>
      <c r="G358" s="646" t="s">
        <v>950</v>
      </c>
      <c r="H358" s="457" t="s">
        <v>298</v>
      </c>
      <c r="I358" s="637" t="s">
        <v>299</v>
      </c>
      <c r="J358" s="666" t="s">
        <v>1640</v>
      </c>
      <c r="K358" s="655" t="s">
        <v>39</v>
      </c>
      <c r="L358" s="673" t="s">
        <v>951</v>
      </c>
      <c r="M358" s="641">
        <v>1500000</v>
      </c>
      <c r="N358" s="639"/>
      <c r="O358" s="639"/>
      <c r="P358" s="639"/>
      <c r="Q358" s="640"/>
      <c r="R358" s="641"/>
      <c r="S358" s="639"/>
      <c r="T358" s="639"/>
      <c r="U358" s="642">
        <v>5300000</v>
      </c>
      <c r="V358" s="329"/>
    </row>
    <row r="359" spans="1:22" s="190" customFormat="1" ht="32.25" customHeight="1" x14ac:dyDescent="0.2">
      <c r="A359" s="446">
        <v>342</v>
      </c>
      <c r="B359" s="662">
        <v>45984</v>
      </c>
      <c r="C359" s="468" t="s">
        <v>952</v>
      </c>
      <c r="D359" s="468"/>
      <c r="E359" s="468">
        <v>1</v>
      </c>
      <c r="F359" s="457" t="s">
        <v>953</v>
      </c>
      <c r="G359" s="457" t="s">
        <v>323</v>
      </c>
      <c r="H359" s="655" t="s">
        <v>180</v>
      </c>
      <c r="I359" s="637" t="s">
        <v>181</v>
      </c>
      <c r="J359" s="666" t="s">
        <v>39</v>
      </c>
      <c r="K359" s="666" t="s">
        <v>1647</v>
      </c>
      <c r="L359" s="673">
        <v>77073</v>
      </c>
      <c r="M359" s="641">
        <v>1512000</v>
      </c>
      <c r="N359" s="639"/>
      <c r="O359" s="639"/>
      <c r="P359" s="639"/>
      <c r="Q359" s="640"/>
      <c r="R359" s="641"/>
      <c r="S359" s="639"/>
      <c r="T359" s="639"/>
      <c r="U359" s="642">
        <v>4500000</v>
      </c>
      <c r="V359" s="329"/>
    </row>
    <row r="360" spans="1:22" s="190" customFormat="1" ht="32.25" customHeight="1" x14ac:dyDescent="0.2">
      <c r="A360" s="446">
        <v>343</v>
      </c>
      <c r="B360" s="662">
        <v>45984</v>
      </c>
      <c r="C360" s="457" t="s">
        <v>952</v>
      </c>
      <c r="D360" s="468"/>
      <c r="E360" s="468">
        <v>1</v>
      </c>
      <c r="F360" s="457" t="s">
        <v>955</v>
      </c>
      <c r="G360" s="457" t="s">
        <v>956</v>
      </c>
      <c r="H360" s="655" t="s">
        <v>180</v>
      </c>
      <c r="I360" s="637" t="s">
        <v>181</v>
      </c>
      <c r="J360" s="666" t="s">
        <v>39</v>
      </c>
      <c r="K360" s="655" t="s">
        <v>1647</v>
      </c>
      <c r="L360" s="673">
        <v>75814</v>
      </c>
      <c r="M360" s="641">
        <v>1512000</v>
      </c>
      <c r="N360" s="639"/>
      <c r="O360" s="639"/>
      <c r="P360" s="639"/>
      <c r="Q360" s="640"/>
      <c r="R360" s="641"/>
      <c r="S360" s="639"/>
      <c r="T360" s="639"/>
      <c r="U360" s="642">
        <v>4500000</v>
      </c>
      <c r="V360" s="329"/>
    </row>
    <row r="361" spans="1:22" s="190" customFormat="1" ht="32.25" customHeight="1" x14ac:dyDescent="0.2">
      <c r="A361" s="446">
        <v>344</v>
      </c>
      <c r="B361" s="662">
        <v>45984</v>
      </c>
      <c r="C361" s="457" t="s">
        <v>952</v>
      </c>
      <c r="D361" s="468"/>
      <c r="E361" s="468">
        <v>1</v>
      </c>
      <c r="F361" s="468" t="s">
        <v>958</v>
      </c>
      <c r="G361" s="457" t="s">
        <v>271</v>
      </c>
      <c r="H361" s="655" t="s">
        <v>180</v>
      </c>
      <c r="I361" s="637" t="s">
        <v>181</v>
      </c>
      <c r="J361" s="666" t="s">
        <v>39</v>
      </c>
      <c r="K361" s="655" t="s">
        <v>1647</v>
      </c>
      <c r="L361" s="673">
        <v>75781</v>
      </c>
      <c r="M361" s="641">
        <v>1512000</v>
      </c>
      <c r="N361" s="639"/>
      <c r="O361" s="639"/>
      <c r="P361" s="639"/>
      <c r="Q361" s="640"/>
      <c r="R361" s="641"/>
      <c r="S361" s="639"/>
      <c r="T361" s="639"/>
      <c r="U361" s="642">
        <v>4500000</v>
      </c>
      <c r="V361" s="329"/>
    </row>
    <row r="362" spans="1:22" s="190" customFormat="1" ht="32.25" customHeight="1" x14ac:dyDescent="0.2">
      <c r="A362" s="446">
        <v>345</v>
      </c>
      <c r="B362" s="662">
        <v>45984</v>
      </c>
      <c r="C362" s="457" t="s">
        <v>952</v>
      </c>
      <c r="D362" s="468"/>
      <c r="E362" s="468">
        <v>1</v>
      </c>
      <c r="F362" s="457" t="s">
        <v>960</v>
      </c>
      <c r="G362" s="457" t="s">
        <v>961</v>
      </c>
      <c r="H362" s="655" t="s">
        <v>180</v>
      </c>
      <c r="I362" s="637" t="s">
        <v>181</v>
      </c>
      <c r="J362" s="666" t="s">
        <v>39</v>
      </c>
      <c r="K362" s="655" t="s">
        <v>1647</v>
      </c>
      <c r="L362" s="673" t="s">
        <v>962</v>
      </c>
      <c r="M362" s="641">
        <v>1500000</v>
      </c>
      <c r="N362" s="639"/>
      <c r="O362" s="639"/>
      <c r="P362" s="639"/>
      <c r="Q362" s="640"/>
      <c r="R362" s="641"/>
      <c r="S362" s="639"/>
      <c r="T362" s="639"/>
      <c r="U362" s="642">
        <v>4500000</v>
      </c>
      <c r="V362" s="329"/>
    </row>
    <row r="363" spans="1:22" s="190" customFormat="1" ht="32.25" customHeight="1" x14ac:dyDescent="0.2">
      <c r="A363" s="446">
        <v>346</v>
      </c>
      <c r="B363" s="635">
        <v>45984</v>
      </c>
      <c r="C363" s="468" t="s">
        <v>952</v>
      </c>
      <c r="D363" s="468"/>
      <c r="E363" s="468">
        <v>1</v>
      </c>
      <c r="F363" s="457" t="s">
        <v>963</v>
      </c>
      <c r="G363" s="684" t="s">
        <v>569</v>
      </c>
      <c r="H363" s="655" t="s">
        <v>180</v>
      </c>
      <c r="I363" s="637" t="s">
        <v>181</v>
      </c>
      <c r="J363" s="666" t="s">
        <v>39</v>
      </c>
      <c r="K363" s="655" t="s">
        <v>1647</v>
      </c>
      <c r="L363" s="673">
        <v>75803</v>
      </c>
      <c r="M363" s="641">
        <v>1512000</v>
      </c>
      <c r="N363" s="639"/>
      <c r="O363" s="639"/>
      <c r="P363" s="639"/>
      <c r="Q363" s="640"/>
      <c r="R363" s="641"/>
      <c r="S363" s="639"/>
      <c r="T363" s="639"/>
      <c r="U363" s="642">
        <v>4500000</v>
      </c>
      <c r="V363" s="329"/>
    </row>
    <row r="364" spans="1:22" s="190" customFormat="1" ht="32.25" customHeight="1" x14ac:dyDescent="0.2">
      <c r="A364" s="446">
        <v>347</v>
      </c>
      <c r="B364" s="662">
        <v>45984</v>
      </c>
      <c r="C364" s="468">
        <v>260181210</v>
      </c>
      <c r="D364" s="468"/>
      <c r="E364" s="468">
        <v>1</v>
      </c>
      <c r="F364" s="457" t="s">
        <v>965</v>
      </c>
      <c r="G364" s="468" t="s">
        <v>453</v>
      </c>
      <c r="H364" s="457" t="s">
        <v>298</v>
      </c>
      <c r="I364" s="637" t="s">
        <v>299</v>
      </c>
      <c r="J364" s="666" t="s">
        <v>617</v>
      </c>
      <c r="K364" s="651" t="s">
        <v>1653</v>
      </c>
      <c r="L364" s="655">
        <v>350752</v>
      </c>
      <c r="M364" s="641">
        <v>1512000</v>
      </c>
      <c r="N364" s="639"/>
      <c r="O364" s="639"/>
      <c r="P364" s="639"/>
      <c r="Q364" s="640"/>
      <c r="R364" s="641"/>
      <c r="S364" s="639"/>
      <c r="T364" s="639">
        <v>260000</v>
      </c>
      <c r="U364" s="642">
        <v>5300000</v>
      </c>
      <c r="V364" s="329"/>
    </row>
    <row r="365" spans="1:22" s="190" customFormat="1" ht="32.25" customHeight="1" x14ac:dyDescent="0.2">
      <c r="A365" s="446">
        <v>348</v>
      </c>
      <c r="B365" s="662">
        <v>45985</v>
      </c>
      <c r="C365" s="468">
        <v>262065541</v>
      </c>
      <c r="D365" s="468"/>
      <c r="E365" s="468">
        <v>1</v>
      </c>
      <c r="F365" s="457" t="s">
        <v>968</v>
      </c>
      <c r="G365" s="468" t="s">
        <v>896</v>
      </c>
      <c r="H365" s="449" t="s">
        <v>172</v>
      </c>
      <c r="I365" s="637" t="s">
        <v>173</v>
      </c>
      <c r="J365" s="666" t="s">
        <v>1654</v>
      </c>
      <c r="K365" s="651" t="s">
        <v>39</v>
      </c>
      <c r="L365" s="673">
        <v>1693</v>
      </c>
      <c r="M365" s="641">
        <v>1450000</v>
      </c>
      <c r="N365" s="639"/>
      <c r="O365" s="639"/>
      <c r="P365" s="639"/>
      <c r="Q365" s="640"/>
      <c r="R365" s="641"/>
      <c r="S365" s="639"/>
      <c r="T365" s="639"/>
      <c r="U365" s="642">
        <v>2700000</v>
      </c>
      <c r="V365" s="329"/>
    </row>
    <row r="366" spans="1:22" s="190" customFormat="1" ht="32.25" customHeight="1" x14ac:dyDescent="0.2">
      <c r="A366" s="446">
        <v>349</v>
      </c>
      <c r="B366" s="662">
        <v>45985</v>
      </c>
      <c r="C366" s="468">
        <v>262065541</v>
      </c>
      <c r="D366" s="468"/>
      <c r="E366" s="468">
        <v>1</v>
      </c>
      <c r="F366" s="457" t="s">
        <v>971</v>
      </c>
      <c r="G366" s="468" t="s">
        <v>899</v>
      </c>
      <c r="H366" s="449" t="s">
        <v>172</v>
      </c>
      <c r="I366" s="637" t="s">
        <v>173</v>
      </c>
      <c r="J366" s="666" t="s">
        <v>1654</v>
      </c>
      <c r="K366" s="651" t="s">
        <v>39</v>
      </c>
      <c r="L366" s="673">
        <v>1694</v>
      </c>
      <c r="M366" s="641">
        <v>1450000</v>
      </c>
      <c r="N366" s="639"/>
      <c r="O366" s="639"/>
      <c r="P366" s="639"/>
      <c r="Q366" s="640"/>
      <c r="R366" s="641"/>
      <c r="S366" s="639"/>
      <c r="T366" s="639"/>
      <c r="U366" s="642">
        <v>2700000</v>
      </c>
      <c r="V366" s="329"/>
    </row>
    <row r="367" spans="1:22" s="190" customFormat="1" ht="32.25" customHeight="1" x14ac:dyDescent="0.2">
      <c r="A367" s="446">
        <v>350</v>
      </c>
      <c r="B367" s="662">
        <v>45985</v>
      </c>
      <c r="C367" s="468">
        <v>262065541</v>
      </c>
      <c r="D367" s="468"/>
      <c r="E367" s="468">
        <v>1</v>
      </c>
      <c r="F367" s="457" t="s">
        <v>890</v>
      </c>
      <c r="G367" s="468" t="s">
        <v>758</v>
      </c>
      <c r="H367" s="468" t="s">
        <v>662</v>
      </c>
      <c r="I367" s="637" t="s">
        <v>173</v>
      </c>
      <c r="J367" s="666" t="s">
        <v>1637</v>
      </c>
      <c r="K367" s="651" t="s">
        <v>39</v>
      </c>
      <c r="L367" s="673">
        <v>132099</v>
      </c>
      <c r="M367" s="641">
        <v>1450000</v>
      </c>
      <c r="N367" s="639"/>
      <c r="O367" s="639"/>
      <c r="P367" s="639"/>
      <c r="Q367" s="640"/>
      <c r="R367" s="641"/>
      <c r="S367" s="639"/>
      <c r="T367" s="639"/>
      <c r="U367" s="642">
        <v>1890000</v>
      </c>
      <c r="V367" s="329"/>
    </row>
    <row r="368" spans="1:22" s="190" customFormat="1" ht="32.25" customHeight="1" x14ac:dyDescent="0.2">
      <c r="A368" s="446">
        <v>351</v>
      </c>
      <c r="B368" s="662">
        <v>45986</v>
      </c>
      <c r="C368" s="468" t="s">
        <v>974</v>
      </c>
      <c r="D368" s="468"/>
      <c r="E368" s="468">
        <v>1</v>
      </c>
      <c r="F368" s="457" t="s">
        <v>975</v>
      </c>
      <c r="G368" s="468" t="s">
        <v>259</v>
      </c>
      <c r="H368" s="655" t="s">
        <v>976</v>
      </c>
      <c r="I368" s="665" t="s">
        <v>181</v>
      </c>
      <c r="J368" s="666" t="s">
        <v>39</v>
      </c>
      <c r="K368" s="651" t="s">
        <v>977</v>
      </c>
      <c r="L368" s="673">
        <v>9509</v>
      </c>
      <c r="M368" s="641">
        <v>1500000</v>
      </c>
      <c r="N368" s="639"/>
      <c r="O368" s="639"/>
      <c r="P368" s="639"/>
      <c r="Q368" s="640"/>
      <c r="R368" s="641"/>
      <c r="S368" s="639"/>
      <c r="T368" s="639"/>
      <c r="U368" s="642">
        <v>4400000</v>
      </c>
      <c r="V368" s="329"/>
    </row>
    <row r="369" spans="1:22" s="190" customFormat="1" ht="32.25" customHeight="1" x14ac:dyDescent="0.2">
      <c r="A369" s="446">
        <v>352</v>
      </c>
      <c r="B369" s="662">
        <v>45986</v>
      </c>
      <c r="C369" s="468">
        <v>259662273</v>
      </c>
      <c r="D369" s="468"/>
      <c r="E369" s="468">
        <v>1</v>
      </c>
      <c r="F369" s="457" t="s">
        <v>979</v>
      </c>
      <c r="G369" s="468" t="s">
        <v>616</v>
      </c>
      <c r="H369" s="457" t="s">
        <v>298</v>
      </c>
      <c r="I369" s="665" t="s">
        <v>299</v>
      </c>
      <c r="J369" s="666" t="s">
        <v>39</v>
      </c>
      <c r="K369" s="651" t="s">
        <v>1655</v>
      </c>
      <c r="L369" s="673">
        <v>14561</v>
      </c>
      <c r="M369" s="641">
        <v>1500000</v>
      </c>
      <c r="N369" s="639"/>
      <c r="O369" s="639"/>
      <c r="P369" s="639"/>
      <c r="Q369" s="640"/>
      <c r="R369" s="641"/>
      <c r="S369" s="639"/>
      <c r="T369" s="639"/>
      <c r="U369" s="642">
        <v>5300000</v>
      </c>
      <c r="V369" s="329"/>
    </row>
    <row r="370" spans="1:22" s="190" customFormat="1" ht="32.25" customHeight="1" x14ac:dyDescent="0.2">
      <c r="A370" s="446">
        <v>353</v>
      </c>
      <c r="B370" s="662">
        <v>45986</v>
      </c>
      <c r="C370" s="651">
        <v>259662273</v>
      </c>
      <c r="D370" s="651"/>
      <c r="E370" s="651">
        <v>1</v>
      </c>
      <c r="F370" s="457" t="s">
        <v>981</v>
      </c>
      <c r="G370" s="468" t="s">
        <v>927</v>
      </c>
      <c r="H370" s="457" t="s">
        <v>298</v>
      </c>
      <c r="I370" s="665" t="s">
        <v>299</v>
      </c>
      <c r="J370" s="666" t="s">
        <v>39</v>
      </c>
      <c r="K370" s="651" t="s">
        <v>1655</v>
      </c>
      <c r="L370" s="673">
        <v>133655</v>
      </c>
      <c r="M370" s="641">
        <v>1450000</v>
      </c>
      <c r="N370" s="639"/>
      <c r="O370" s="639"/>
      <c r="P370" s="639"/>
      <c r="Q370" s="640"/>
      <c r="R370" s="641"/>
      <c r="S370" s="639"/>
      <c r="T370" s="639"/>
      <c r="U370" s="642">
        <v>5300000</v>
      </c>
      <c r="V370" s="329"/>
    </row>
    <row r="371" spans="1:22" s="190" customFormat="1" ht="32.25" customHeight="1" x14ac:dyDescent="0.2">
      <c r="A371" s="446">
        <v>354</v>
      </c>
      <c r="B371" s="662">
        <v>45986</v>
      </c>
      <c r="C371" s="651">
        <v>259662273</v>
      </c>
      <c r="D371" s="651"/>
      <c r="E371" s="651">
        <v>1</v>
      </c>
      <c r="F371" s="457" t="s">
        <v>983</v>
      </c>
      <c r="G371" s="468" t="s">
        <v>619</v>
      </c>
      <c r="H371" s="457" t="s">
        <v>298</v>
      </c>
      <c r="I371" s="665" t="s">
        <v>299</v>
      </c>
      <c r="J371" s="666" t="s">
        <v>39</v>
      </c>
      <c r="K371" s="651" t="s">
        <v>1655</v>
      </c>
      <c r="L371" s="673">
        <v>133452</v>
      </c>
      <c r="M371" s="641">
        <v>1450000</v>
      </c>
      <c r="N371" s="639"/>
      <c r="O371" s="639"/>
      <c r="P371" s="639"/>
      <c r="Q371" s="640"/>
      <c r="R371" s="641"/>
      <c r="S371" s="639"/>
      <c r="T371" s="639"/>
      <c r="U371" s="642">
        <v>5300000</v>
      </c>
      <c r="V371" s="329"/>
    </row>
    <row r="372" spans="1:22" s="190" customFormat="1" ht="32.25" customHeight="1" x14ac:dyDescent="0.2">
      <c r="A372" s="446">
        <v>355</v>
      </c>
      <c r="B372" s="662">
        <v>45986</v>
      </c>
      <c r="C372" s="651">
        <v>259662273</v>
      </c>
      <c r="D372" s="651"/>
      <c r="E372" s="651">
        <v>1</v>
      </c>
      <c r="F372" s="457" t="s">
        <v>985</v>
      </c>
      <c r="G372" s="468" t="s">
        <v>986</v>
      </c>
      <c r="H372" s="457" t="s">
        <v>298</v>
      </c>
      <c r="I372" s="665" t="s">
        <v>299</v>
      </c>
      <c r="J372" s="666" t="s">
        <v>39</v>
      </c>
      <c r="K372" s="651" t="s">
        <v>1655</v>
      </c>
      <c r="L372" s="673">
        <v>133488</v>
      </c>
      <c r="M372" s="641">
        <v>1450000</v>
      </c>
      <c r="N372" s="639"/>
      <c r="O372" s="639"/>
      <c r="P372" s="639"/>
      <c r="Q372" s="640"/>
      <c r="R372" s="641"/>
      <c r="S372" s="639"/>
      <c r="T372" s="639"/>
      <c r="U372" s="642">
        <v>5300000</v>
      </c>
      <c r="V372" s="329"/>
    </row>
    <row r="373" spans="1:22" s="190" customFormat="1" ht="32.25" customHeight="1" x14ac:dyDescent="0.2">
      <c r="A373" s="446">
        <v>356</v>
      </c>
      <c r="B373" s="662">
        <v>45986</v>
      </c>
      <c r="C373" s="651">
        <v>259662273</v>
      </c>
      <c r="D373" s="651"/>
      <c r="E373" s="651">
        <v>1</v>
      </c>
      <c r="F373" s="468" t="s">
        <v>988</v>
      </c>
      <c r="G373" s="468" t="s">
        <v>440</v>
      </c>
      <c r="H373" s="457" t="s">
        <v>298</v>
      </c>
      <c r="I373" s="665" t="s">
        <v>299</v>
      </c>
      <c r="J373" s="666" t="s">
        <v>39</v>
      </c>
      <c r="K373" s="651" t="s">
        <v>1655</v>
      </c>
      <c r="L373" s="673">
        <v>133330</v>
      </c>
      <c r="M373" s="641">
        <v>1450000</v>
      </c>
      <c r="N373" s="639"/>
      <c r="O373" s="639"/>
      <c r="P373" s="639"/>
      <c r="Q373" s="640"/>
      <c r="R373" s="641"/>
      <c r="S373" s="639"/>
      <c r="T373" s="639"/>
      <c r="U373" s="642">
        <v>5300000</v>
      </c>
      <c r="V373" s="329"/>
    </row>
    <row r="374" spans="1:22" s="476" customFormat="1" ht="32.25" customHeight="1" thickBot="1" x14ac:dyDescent="0.25">
      <c r="A374" s="446">
        <v>357</v>
      </c>
      <c r="B374" s="662">
        <v>45986</v>
      </c>
      <c r="C374" s="651">
        <v>259662273</v>
      </c>
      <c r="D374" s="651"/>
      <c r="E374" s="651">
        <v>1</v>
      </c>
      <c r="F374" s="655" t="s">
        <v>990</v>
      </c>
      <c r="G374" s="468" t="s">
        <v>763</v>
      </c>
      <c r="H374" s="457" t="s">
        <v>298</v>
      </c>
      <c r="I374" s="665" t="s">
        <v>299</v>
      </c>
      <c r="J374" s="666" t="s">
        <v>39</v>
      </c>
      <c r="K374" s="651" t="s">
        <v>1655</v>
      </c>
      <c r="L374" s="673">
        <v>133519</v>
      </c>
      <c r="M374" s="641">
        <v>1450000</v>
      </c>
      <c r="N374" s="639"/>
      <c r="O374" s="639"/>
      <c r="P374" s="639"/>
      <c r="Q374" s="640"/>
      <c r="R374" s="641"/>
      <c r="S374" s="639"/>
      <c r="T374" s="639"/>
      <c r="U374" s="642">
        <v>5300000</v>
      </c>
      <c r="V374" s="475"/>
    </row>
    <row r="375" spans="1:22" s="476" customFormat="1" ht="32.25" customHeight="1" thickBot="1" x14ac:dyDescent="0.25">
      <c r="A375" s="685"/>
      <c r="B375" s="686" t="s">
        <v>1620</v>
      </c>
      <c r="C375" s="686" t="s">
        <v>1660</v>
      </c>
      <c r="D375" s="686"/>
      <c r="E375" s="665"/>
      <c r="F375" s="687" t="s">
        <v>1144</v>
      </c>
      <c r="G375" s="688"/>
      <c r="H375" s="637"/>
      <c r="I375" s="654" t="s">
        <v>1663</v>
      </c>
      <c r="J375" s="665"/>
      <c r="K375" s="510"/>
      <c r="L375" s="665"/>
      <c r="M375" s="652">
        <v>0</v>
      </c>
      <c r="N375" s="652"/>
      <c r="O375" s="652"/>
      <c r="P375" s="652"/>
      <c r="Q375" s="652"/>
      <c r="R375" s="639"/>
      <c r="S375" s="639"/>
      <c r="T375" s="639"/>
      <c r="U375" s="642">
        <v>3200000</v>
      </c>
      <c r="V375" s="475"/>
    </row>
    <row r="376" spans="1:22" s="476" customFormat="1" ht="32.25" customHeight="1" thickBot="1" x14ac:dyDescent="0.25">
      <c r="A376" s="685"/>
      <c r="B376" s="689" t="s">
        <v>1620</v>
      </c>
      <c r="C376" s="689" t="s">
        <v>1660</v>
      </c>
      <c r="D376" s="686"/>
      <c r="E376" s="665"/>
      <c r="F376" s="690" t="s">
        <v>1144</v>
      </c>
      <c r="G376" s="688"/>
      <c r="H376" s="637"/>
      <c r="I376" s="654" t="s">
        <v>1663</v>
      </c>
      <c r="J376" s="665"/>
      <c r="K376" s="510"/>
      <c r="L376" s="665"/>
      <c r="M376" s="652">
        <v>0</v>
      </c>
      <c r="N376" s="652"/>
      <c r="O376" s="652"/>
      <c r="P376" s="652"/>
      <c r="Q376" s="652"/>
      <c r="R376" s="639"/>
      <c r="S376" s="639"/>
      <c r="T376" s="639"/>
      <c r="U376" s="642">
        <v>3200000</v>
      </c>
      <c r="V376" s="475"/>
    </row>
    <row r="377" spans="1:22" ht="32.25" customHeight="1" x14ac:dyDescent="0.2">
      <c r="A377" s="624"/>
      <c r="B377" s="126"/>
      <c r="E377" s="474">
        <f>SUM(E17:E373)</f>
        <v>356</v>
      </c>
      <c r="F377" s="474"/>
      <c r="G377" s="497"/>
      <c r="H377" s="498"/>
      <c r="I377" s="474"/>
      <c r="J377" s="432"/>
      <c r="K377" s="474"/>
      <c r="L377" s="499"/>
      <c r="M377" s="500">
        <f>SUM(M17:M376)</f>
        <v>527922000</v>
      </c>
      <c r="N377" s="500">
        <f>SUM(N17:N376)</f>
        <v>698000</v>
      </c>
      <c r="O377" s="500"/>
      <c r="P377" s="500">
        <f>SUM(P17:P376)</f>
        <v>907200</v>
      </c>
      <c r="Q377" s="531"/>
      <c r="R377" s="500">
        <f>SUM(R17:R376)</f>
        <v>56800000</v>
      </c>
      <c r="S377" s="500">
        <f>SUM(S17:S376)</f>
        <v>9000000</v>
      </c>
      <c r="T377" s="500">
        <f>SUM(T17:T376)</f>
        <v>4420000</v>
      </c>
      <c r="U377" s="500">
        <f>SUM(U17:U376)</f>
        <v>1517280000</v>
      </c>
    </row>
    <row r="378" spans="1:22" s="439" customFormat="1" ht="32.25" customHeight="1" x14ac:dyDescent="0.2">
      <c r="A378" s="695"/>
      <c r="B378" s="695"/>
      <c r="C378" s="695"/>
      <c r="D378" s="693"/>
      <c r="E378" s="693"/>
      <c r="F378" s="693"/>
      <c r="G378" s="693"/>
      <c r="H378" s="694"/>
      <c r="I378" s="696" t="s">
        <v>1685</v>
      </c>
      <c r="J378" s="697"/>
      <c r="K378" s="696"/>
      <c r="L378" s="698">
        <f>SUM(M378:U378)</f>
        <v>552190000</v>
      </c>
      <c r="M378" s="699">
        <f>SUM(M17:M101)</f>
        <v>128842000</v>
      </c>
      <c r="N378" s="699">
        <f>SUM(N17:N101)</f>
        <v>698000</v>
      </c>
      <c r="O378" s="699"/>
      <c r="P378" s="699">
        <f>SUM(P17:P101)</f>
        <v>0</v>
      </c>
      <c r="Q378" s="700"/>
      <c r="R378" s="699">
        <f>SUM(R17:R101)</f>
        <v>31350000</v>
      </c>
      <c r="S378" s="699">
        <f>SUM(S17:S101)</f>
        <v>0</v>
      </c>
      <c r="T378" s="699">
        <f>SUM(T17:T101)</f>
        <v>0</v>
      </c>
      <c r="U378" s="699">
        <f>SUM(U17:U101)</f>
        <v>391300000</v>
      </c>
    </row>
    <row r="379" spans="1:22" s="439" customFormat="1" ht="32.25" customHeight="1" x14ac:dyDescent="0.2">
      <c r="A379" s="694"/>
      <c r="B379" s="694"/>
      <c r="C379" s="694"/>
      <c r="D379" s="693"/>
      <c r="E379" s="693"/>
      <c r="F379" s="693"/>
      <c r="G379" s="693"/>
      <c r="H379" s="694"/>
      <c r="I379" s="696" t="s">
        <v>1686</v>
      </c>
      <c r="J379" s="697"/>
      <c r="K379" s="696"/>
      <c r="L379" s="698">
        <f>SUM(M379:U379)</f>
        <v>1564837200</v>
      </c>
      <c r="M379" s="699">
        <f>SUM(M102:M376)</f>
        <v>399080000</v>
      </c>
      <c r="N379" s="699"/>
      <c r="O379" s="699"/>
      <c r="P379" s="699">
        <f>SUM(P102:P376)</f>
        <v>907200</v>
      </c>
      <c r="Q379" s="700"/>
      <c r="R379" s="699">
        <f>SUM(R102:R376)</f>
        <v>25450000</v>
      </c>
      <c r="S379" s="699">
        <f>SUM(S102:S376)</f>
        <v>9000000</v>
      </c>
      <c r="T379" s="699">
        <f>SUM(T102:T376)</f>
        <v>4420000</v>
      </c>
      <c r="U379" s="699">
        <f>SUM(U102:U376)</f>
        <v>1125980000</v>
      </c>
    </row>
    <row r="380" spans="1:22" s="439" customFormat="1" ht="32.25" customHeight="1" x14ac:dyDescent="0.2">
      <c r="A380" s="440"/>
      <c r="B380" s="440"/>
      <c r="C380" s="440"/>
      <c r="D380" s="441"/>
      <c r="E380" s="441"/>
      <c r="F380" s="441"/>
      <c r="G380" s="441"/>
      <c r="H380" s="440"/>
      <c r="I380" s="442"/>
      <c r="J380" s="443"/>
      <c r="K380" s="442"/>
      <c r="L380" s="691">
        <f>L379+L378-(R381+R385)</f>
        <v>864000</v>
      </c>
      <c r="M380" s="444"/>
      <c r="N380" s="444"/>
      <c r="O380" s="444"/>
      <c r="P380" s="444"/>
      <c r="Q380" s="543"/>
      <c r="R380" s="444"/>
      <c r="S380" s="444"/>
      <c r="T380" s="444"/>
      <c r="U380" s="444"/>
    </row>
    <row r="381" spans="1:22" s="236" customFormat="1" ht="25.5" customHeight="1" x14ac:dyDescent="0.2">
      <c r="A381" s="178"/>
      <c r="B381" s="230"/>
      <c r="C381" s="178"/>
      <c r="D381" s="231"/>
      <c r="E381" s="231"/>
      <c r="F381" s="231"/>
      <c r="G381" s="231"/>
      <c r="H381" s="232"/>
      <c r="I381" s="233"/>
      <c r="J381" s="233"/>
      <c r="K381" s="233"/>
      <c r="L381" s="234"/>
      <c r="M381" s="242" t="s">
        <v>1600</v>
      </c>
      <c r="N381" s="242"/>
      <c r="O381" s="242"/>
      <c r="P381" s="242"/>
      <c r="Q381" s="536"/>
      <c r="R381" s="242">
        <f>U377</f>
        <v>1517280000</v>
      </c>
      <c r="S381" s="242"/>
      <c r="T381" s="242"/>
      <c r="U381" s="233"/>
    </row>
    <row r="382" spans="1:22" ht="25.5" customHeight="1" x14ac:dyDescent="0.2">
      <c r="A382" s="237"/>
      <c r="B382" s="238"/>
      <c r="C382" s="233"/>
      <c r="D382" s="237"/>
      <c r="E382" s="237"/>
      <c r="F382" s="239"/>
      <c r="G382" s="239"/>
      <c r="H382" s="240"/>
      <c r="I382" s="237"/>
      <c r="J382" s="237"/>
      <c r="K382" s="237"/>
      <c r="L382" s="241"/>
      <c r="M382" s="242" t="s">
        <v>1601</v>
      </c>
      <c r="N382" s="242"/>
      <c r="O382" s="242"/>
      <c r="P382" s="242"/>
      <c r="Q382" s="536"/>
      <c r="R382" s="242">
        <f>R381*8%</f>
        <v>121382400</v>
      </c>
      <c r="S382" s="242"/>
      <c r="T382" s="242"/>
      <c r="U382" s="237"/>
    </row>
    <row r="383" spans="1:22" ht="25.5" customHeight="1" x14ac:dyDescent="0.2">
      <c r="A383" s="237"/>
      <c r="B383" s="238"/>
      <c r="C383" s="233"/>
      <c r="D383" s="237"/>
      <c r="E383" s="237"/>
      <c r="F383" s="239"/>
      <c r="G383" s="239"/>
      <c r="H383" s="240"/>
      <c r="I383" s="237"/>
      <c r="J383" s="237"/>
      <c r="K383" s="237"/>
      <c r="L383" s="241"/>
      <c r="M383" s="235" t="s">
        <v>52</v>
      </c>
      <c r="N383" s="235"/>
      <c r="O383" s="235"/>
      <c r="P383" s="235"/>
      <c r="Q383" s="537"/>
      <c r="R383" s="718">
        <f>R382+R381</f>
        <v>1638662400</v>
      </c>
      <c r="S383" s="235"/>
      <c r="T383" s="235"/>
      <c r="U383" s="237"/>
    </row>
    <row r="384" spans="1:22" ht="25.5" customHeight="1" x14ac:dyDescent="0.2">
      <c r="A384" s="237"/>
      <c r="B384" s="238"/>
      <c r="C384" s="233"/>
      <c r="D384" s="237"/>
      <c r="E384" s="237"/>
      <c r="F384" s="239"/>
      <c r="G384" s="239"/>
      <c r="H384" s="240"/>
      <c r="I384" s="237"/>
      <c r="J384" s="237"/>
      <c r="K384" s="237"/>
      <c r="L384" s="241"/>
      <c r="M384" s="242"/>
      <c r="N384" s="242"/>
      <c r="O384" s="242"/>
      <c r="P384" s="242"/>
      <c r="Q384" s="536"/>
      <c r="R384" s="242"/>
      <c r="S384" s="242"/>
      <c r="T384" s="242"/>
      <c r="U384" s="722">
        <f>5300000+(5300000*8%)</f>
        <v>5724000</v>
      </c>
    </row>
    <row r="385" spans="1:21" ht="25.5" customHeight="1" x14ac:dyDescent="0.2">
      <c r="A385" s="237"/>
      <c r="B385" s="238"/>
      <c r="C385" s="233"/>
      <c r="D385" s="237"/>
      <c r="E385" s="237"/>
      <c r="F385" s="239"/>
      <c r="G385" s="239"/>
      <c r="H385" s="240"/>
      <c r="I385" s="237"/>
      <c r="J385" s="237"/>
      <c r="K385" s="237"/>
      <c r="L385" s="241"/>
      <c r="M385" s="235" t="s">
        <v>1602</v>
      </c>
      <c r="N385" s="235"/>
      <c r="O385" s="235"/>
      <c r="P385" s="235"/>
      <c r="Q385" s="537"/>
      <c r="R385" s="718">
        <f>SUM(R386:R392)</f>
        <v>598883200</v>
      </c>
      <c r="S385" s="235"/>
      <c r="T385" s="235"/>
      <c r="U385" s="722">
        <f>4500000+(4500000*8%)</f>
        <v>4860000</v>
      </c>
    </row>
    <row r="386" spans="1:21" ht="25.5" customHeight="1" x14ac:dyDescent="0.2">
      <c r="A386" s="763"/>
      <c r="B386" s="763"/>
      <c r="C386" s="763"/>
      <c r="D386" s="763"/>
      <c r="E386" s="763"/>
      <c r="F386" s="763"/>
      <c r="G386" s="233"/>
      <c r="H386" s="243"/>
      <c r="I386" s="244"/>
      <c r="J386" s="244"/>
      <c r="K386" s="173"/>
      <c r="L386" s="233"/>
      <c r="M386" s="237" t="s">
        <v>1603</v>
      </c>
      <c r="N386" s="237"/>
      <c r="O386" s="237"/>
      <c r="P386" s="237"/>
      <c r="Q386" s="237"/>
      <c r="R386" s="327">
        <f>R377</f>
        <v>56800000</v>
      </c>
      <c r="S386" s="327"/>
      <c r="T386" s="327"/>
      <c r="U386" s="239">
        <f>U384-U385</f>
        <v>864000</v>
      </c>
    </row>
    <row r="387" spans="1:21" ht="25.5" customHeight="1" x14ac:dyDescent="0.2">
      <c r="A387" s="245"/>
      <c r="B387" s="246"/>
      <c r="C387" s="245"/>
      <c r="D387" s="245"/>
      <c r="E387" s="245"/>
      <c r="G387" s="245"/>
      <c r="H387" s="247"/>
      <c r="I387" s="245"/>
      <c r="J387" s="245"/>
      <c r="K387" s="245"/>
      <c r="L387" s="248"/>
      <c r="M387" s="129" t="s">
        <v>1681</v>
      </c>
      <c r="N387" s="129"/>
      <c r="O387" s="129"/>
      <c r="P387" s="129"/>
      <c r="Q387" s="527"/>
      <c r="R387" s="129">
        <f>S377</f>
        <v>9000000</v>
      </c>
      <c r="S387" s="129"/>
      <c r="T387" s="129"/>
      <c r="U387" s="245"/>
    </row>
    <row r="388" spans="1:21" ht="25.5" customHeight="1" x14ac:dyDescent="0.2">
      <c r="A388" s="245"/>
      <c r="B388" s="246"/>
      <c r="C388" s="245"/>
      <c r="D388" s="245"/>
      <c r="E388" s="245"/>
      <c r="G388" s="245"/>
      <c r="H388" s="247"/>
      <c r="I388" s="245"/>
      <c r="J388" s="245"/>
      <c r="K388" s="245"/>
      <c r="L388" s="248"/>
      <c r="M388" s="129" t="s">
        <v>1688</v>
      </c>
      <c r="N388" s="129"/>
      <c r="O388" s="129"/>
      <c r="P388" s="129"/>
      <c r="Q388" s="527"/>
      <c r="R388" s="129">
        <f>N377</f>
        <v>698000</v>
      </c>
      <c r="S388" s="692" t="s">
        <v>1691</v>
      </c>
      <c r="T388" s="129"/>
      <c r="U388" s="245"/>
    </row>
    <row r="389" spans="1:21" ht="25.5" customHeight="1" x14ac:dyDescent="0.2">
      <c r="A389" s="245"/>
      <c r="B389" s="246"/>
      <c r="C389" s="245"/>
      <c r="D389" s="245"/>
      <c r="E389" s="245"/>
      <c r="G389" s="245"/>
      <c r="H389" s="247"/>
      <c r="I389" s="245"/>
      <c r="J389" s="245"/>
      <c r="K389" s="245"/>
      <c r="L389" s="248"/>
      <c r="M389" s="237" t="s">
        <v>1607</v>
      </c>
      <c r="N389" s="237"/>
      <c r="O389" s="237"/>
      <c r="P389" s="129"/>
      <c r="Q389" s="527"/>
      <c r="R389" s="129">
        <f>M377</f>
        <v>527922000</v>
      </c>
      <c r="S389" s="129"/>
      <c r="T389" s="129"/>
      <c r="U389" s="245"/>
    </row>
    <row r="390" spans="1:21" ht="25.5" customHeight="1" x14ac:dyDescent="0.2">
      <c r="A390" s="245"/>
      <c r="B390" s="246"/>
      <c r="C390" s="245"/>
      <c r="D390" s="245"/>
      <c r="E390" s="245"/>
      <c r="G390" s="245"/>
      <c r="H390" s="247"/>
      <c r="I390" s="245"/>
      <c r="J390" s="245"/>
      <c r="K390" s="245"/>
      <c r="L390" s="248"/>
      <c r="M390" s="237" t="s">
        <v>1604</v>
      </c>
      <c r="N390" s="237"/>
      <c r="O390" s="237"/>
      <c r="P390" s="129"/>
      <c r="Q390" s="527"/>
      <c r="R390" s="129">
        <f>T377</f>
        <v>4420000</v>
      </c>
      <c r="S390" s="129"/>
      <c r="T390" s="129"/>
      <c r="U390" s="245"/>
    </row>
    <row r="391" spans="1:21" ht="25.5" customHeight="1" x14ac:dyDescent="0.2">
      <c r="A391" s="245"/>
      <c r="B391" s="246"/>
      <c r="C391" s="245"/>
      <c r="D391" s="245"/>
      <c r="E391" s="245"/>
      <c r="G391" s="245"/>
      <c r="H391" s="247"/>
      <c r="I391" s="245"/>
      <c r="J391" s="245"/>
      <c r="K391" s="245"/>
      <c r="L391" s="248"/>
      <c r="M391" s="789" t="s">
        <v>1687</v>
      </c>
      <c r="N391" s="237"/>
      <c r="O391" s="237"/>
      <c r="P391" s="129"/>
      <c r="Q391" s="527"/>
      <c r="R391" s="129">
        <f>P377</f>
        <v>907200</v>
      </c>
      <c r="S391" s="129"/>
      <c r="T391" s="129"/>
      <c r="U391" s="245"/>
    </row>
    <row r="392" spans="1:21" ht="48.75" customHeight="1" x14ac:dyDescent="0.2">
      <c r="A392" s="245"/>
      <c r="B392" s="246"/>
      <c r="C392" s="245"/>
      <c r="D392" s="245"/>
      <c r="E392" s="245"/>
      <c r="G392" s="245"/>
      <c r="H392" s="247"/>
      <c r="I392" s="245"/>
      <c r="J392" s="245"/>
      <c r="K392" s="245"/>
      <c r="L392" s="248"/>
      <c r="M392" s="237" t="s">
        <v>1692</v>
      </c>
      <c r="N392" s="237"/>
      <c r="O392" s="237"/>
      <c r="P392" s="129"/>
      <c r="Q392" s="527"/>
      <c r="R392" s="721">
        <v>-864000</v>
      </c>
      <c r="S392" s="720" t="s">
        <v>1693</v>
      </c>
      <c r="T392" s="129"/>
      <c r="U392" s="245"/>
    </row>
    <row r="393" spans="1:21" ht="16" x14ac:dyDescent="0.2">
      <c r="A393" s="245"/>
      <c r="B393" s="246"/>
      <c r="C393" s="245"/>
      <c r="D393" s="245"/>
      <c r="E393" s="245"/>
      <c r="G393" s="245"/>
      <c r="H393" s="247"/>
      <c r="I393" s="245"/>
      <c r="J393" s="245"/>
      <c r="K393" s="245"/>
      <c r="L393" s="248"/>
      <c r="M393" s="326" t="s">
        <v>1606</v>
      </c>
      <c r="N393" s="326"/>
      <c r="O393" s="326"/>
      <c r="P393" s="326"/>
      <c r="Q393" s="544"/>
      <c r="R393" s="326">
        <f>R385+R383</f>
        <v>2237545600</v>
      </c>
      <c r="S393" s="129"/>
      <c r="T393" s="129"/>
      <c r="U393" s="245"/>
    </row>
    <row r="394" spans="1:21" ht="16" x14ac:dyDescent="0.2">
      <c r="H394" s="250"/>
      <c r="J394" s="251"/>
    </row>
    <row r="395" spans="1:21" ht="16" x14ac:dyDescent="0.2">
      <c r="H395" s="250"/>
      <c r="J395" s="251"/>
    </row>
    <row r="396" spans="1:21" ht="16" x14ac:dyDescent="0.2">
      <c r="H396" s="250"/>
      <c r="J396" s="251"/>
    </row>
    <row r="397" spans="1:21" ht="16" x14ac:dyDescent="0.2">
      <c r="H397" s="250"/>
      <c r="J397" s="251"/>
    </row>
    <row r="398" spans="1:21" ht="16" x14ac:dyDescent="0.2">
      <c r="H398" s="250"/>
      <c r="J398" s="251"/>
    </row>
    <row r="399" spans="1:21" ht="16" x14ac:dyDescent="0.2">
      <c r="H399" s="250"/>
      <c r="J399" s="251"/>
    </row>
    <row r="400" spans="1:21" ht="16" x14ac:dyDescent="0.2">
      <c r="H400" s="250"/>
      <c r="J400" s="251"/>
    </row>
    <row r="401" spans="8:10" ht="16" x14ac:dyDescent="0.2">
      <c r="H401" s="250"/>
      <c r="J401" s="251"/>
    </row>
    <row r="402" spans="8:10" ht="16" x14ac:dyDescent="0.2">
      <c r="H402" s="250"/>
      <c r="J402" s="251"/>
    </row>
    <row r="403" spans="8:10" ht="16" x14ac:dyDescent="0.2">
      <c r="H403" s="250"/>
      <c r="J403" s="251"/>
    </row>
    <row r="404" spans="8:10" ht="16" x14ac:dyDescent="0.2">
      <c r="H404" s="250"/>
      <c r="J404" s="251"/>
    </row>
    <row r="405" spans="8:10" ht="16" x14ac:dyDescent="0.2">
      <c r="H405" s="250"/>
      <c r="J405" s="251"/>
    </row>
    <row r="406" spans="8:10" ht="16" x14ac:dyDescent="0.2">
      <c r="H406" s="250"/>
      <c r="J406" s="251"/>
    </row>
    <row r="407" spans="8:10" ht="16" x14ac:dyDescent="0.2">
      <c r="H407" s="250"/>
      <c r="J407" s="251"/>
    </row>
    <row r="408" spans="8:10" ht="16" x14ac:dyDescent="0.2">
      <c r="H408" s="250"/>
      <c r="J408" s="251"/>
    </row>
    <row r="409" spans="8:10" ht="16" x14ac:dyDescent="0.2">
      <c r="H409" s="250"/>
      <c r="J409" s="251"/>
    </row>
    <row r="410" spans="8:10" ht="16" x14ac:dyDescent="0.2">
      <c r="H410" s="250"/>
      <c r="J410" s="251"/>
    </row>
    <row r="411" spans="8:10" ht="16" x14ac:dyDescent="0.2">
      <c r="H411" s="250"/>
      <c r="J411" s="251"/>
    </row>
    <row r="412" spans="8:10" ht="16" x14ac:dyDescent="0.2">
      <c r="H412" s="250"/>
      <c r="J412" s="251"/>
    </row>
    <row r="413" spans="8:10" ht="16" x14ac:dyDescent="0.2">
      <c r="H413" s="250"/>
      <c r="J413" s="251"/>
    </row>
    <row r="414" spans="8:10" ht="16" x14ac:dyDescent="0.2">
      <c r="H414" s="250"/>
      <c r="J414" s="251"/>
    </row>
    <row r="415" spans="8:10" ht="16" x14ac:dyDescent="0.2">
      <c r="H415" s="250"/>
      <c r="J415" s="251"/>
    </row>
    <row r="416" spans="8:10" ht="16" x14ac:dyDescent="0.2">
      <c r="H416" s="250"/>
      <c r="J416" s="251"/>
    </row>
    <row r="417" spans="8:10" ht="16" x14ac:dyDescent="0.2">
      <c r="H417" s="250"/>
      <c r="J417" s="251"/>
    </row>
    <row r="418" spans="8:10" ht="16" x14ac:dyDescent="0.2">
      <c r="H418" s="250"/>
      <c r="J418" s="251"/>
    </row>
    <row r="419" spans="8:10" ht="16" x14ac:dyDescent="0.2">
      <c r="H419" s="250"/>
      <c r="J419" s="251"/>
    </row>
    <row r="420" spans="8:10" ht="16" x14ac:dyDescent="0.2">
      <c r="H420" s="250"/>
      <c r="J420" s="251"/>
    </row>
    <row r="421" spans="8:10" ht="60" customHeight="1" x14ac:dyDescent="0.2">
      <c r="H421" s="250"/>
      <c r="J421" s="251"/>
    </row>
    <row r="422" spans="8:10" ht="60" customHeight="1" x14ac:dyDescent="0.2">
      <c r="H422" s="250"/>
      <c r="J422" s="251"/>
    </row>
    <row r="423" spans="8:10" ht="60" customHeight="1" x14ac:dyDescent="0.2">
      <c r="H423" s="250"/>
      <c r="J423" s="251"/>
    </row>
    <row r="424" spans="8:10" ht="60" customHeight="1" x14ac:dyDescent="0.2">
      <c r="H424" s="250"/>
      <c r="J424" s="251"/>
    </row>
    <row r="425" spans="8:10" ht="60" customHeight="1" x14ac:dyDescent="0.2">
      <c r="H425" s="250"/>
      <c r="J425" s="251"/>
    </row>
    <row r="426" spans="8:10" ht="60" customHeight="1" x14ac:dyDescent="0.2">
      <c r="H426" s="250"/>
      <c r="J426" s="251"/>
    </row>
    <row r="427" spans="8:10" ht="60" customHeight="1" x14ac:dyDescent="0.2">
      <c r="H427" s="250"/>
      <c r="J427" s="251"/>
    </row>
    <row r="428" spans="8:10" ht="60" customHeight="1" x14ac:dyDescent="0.2">
      <c r="H428" s="250"/>
      <c r="J428" s="251"/>
    </row>
  </sheetData>
  <autoFilter ref="A15:U386" xr:uid="{00000000-0009-0000-0000-000004000000}"/>
  <mergeCells count="32">
    <mergeCell ref="G15:G16"/>
    <mergeCell ref="A8:F8"/>
    <mergeCell ref="A9:I9"/>
    <mergeCell ref="A11:H11"/>
    <mergeCell ref="A12:K12"/>
    <mergeCell ref="A13:F13"/>
    <mergeCell ref="H15:H16"/>
    <mergeCell ref="I15:I16"/>
    <mergeCell ref="J15:J16"/>
    <mergeCell ref="K15:K16"/>
    <mergeCell ref="A2:U2"/>
    <mergeCell ref="A3:U3"/>
    <mergeCell ref="A4:U4"/>
    <mergeCell ref="A6:H6"/>
    <mergeCell ref="A7:K7"/>
    <mergeCell ref="A386:F386"/>
    <mergeCell ref="A15:A16"/>
    <mergeCell ref="B15:B16"/>
    <mergeCell ref="C15:C16"/>
    <mergeCell ref="F15:F16"/>
    <mergeCell ref="D15:E15"/>
    <mergeCell ref="L15:L16"/>
    <mergeCell ref="M15:M16"/>
    <mergeCell ref="U15:U16"/>
    <mergeCell ref="L116:L117"/>
    <mergeCell ref="S15:S16"/>
    <mergeCell ref="T15:T16"/>
    <mergeCell ref="P15:P16"/>
    <mergeCell ref="Q15:Q16"/>
    <mergeCell ref="N15:N16"/>
    <mergeCell ref="O15:O16"/>
    <mergeCell ref="R15:R16"/>
  </mergeCells>
  <conditionalFormatting sqref="F1:F101 F377:F1048576">
    <cfRule type="duplicateValues" dxfId="29" priority="8"/>
    <cfRule type="duplicateValues" dxfId="28" priority="9"/>
  </conditionalFormatting>
  <conditionalFormatting sqref="F102:F374">
    <cfRule type="duplicateValues" dxfId="27" priority="6"/>
  </conditionalFormatting>
  <conditionalFormatting sqref="F102:F376">
    <cfRule type="duplicateValues" dxfId="26" priority="2"/>
  </conditionalFormatting>
  <conditionalFormatting sqref="F377:F1048576 F1:F101">
    <cfRule type="duplicateValues" dxfId="25" priority="10"/>
  </conditionalFormatting>
  <conditionalFormatting sqref="L1:L101 L377:L1048576">
    <cfRule type="duplicateValues" dxfId="24" priority="13"/>
  </conditionalFormatting>
  <conditionalFormatting sqref="L102:L116 L176:L244 L118:L174 L246:L374">
    <cfRule type="duplicateValues" dxfId="23" priority="7"/>
  </conditionalFormatting>
  <conditionalFormatting sqref="L175">
    <cfRule type="duplicateValues" dxfId="22" priority="3"/>
  </conditionalFormatting>
  <conditionalFormatting sqref="L245">
    <cfRule type="duplicateValues" dxfId="21" priority="4"/>
  </conditionalFormatting>
  <conditionalFormatting sqref="M375:O376">
    <cfRule type="duplicateValues" dxfId="20" priority="5"/>
  </conditionalFormatting>
  <conditionalFormatting sqref="P375:Q376">
    <cfRule type="duplicateValues" dxfId="19" priority="1"/>
  </conditionalFormatting>
  <pageMargins left="0.2" right="0.2" top="0.32" bottom="0.32" header="0.2" footer="0.2"/>
  <pageSetup paperSize="9" scale="36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A054-BB15-4955-98E1-E57D62D9CA5D}">
  <dimension ref="E1:I781"/>
  <sheetViews>
    <sheetView topLeftCell="A749" workbookViewId="0">
      <selection activeCell="I777" sqref="I777:I781"/>
    </sheetView>
  </sheetViews>
  <sheetFormatPr baseColWidth="10" defaultColWidth="8.83203125" defaultRowHeight="15" x14ac:dyDescent="0.2"/>
  <cols>
    <col min="5" max="5" width="19.1640625" bestFit="1" customWidth="1"/>
    <col min="6" max="6" width="22.83203125" bestFit="1" customWidth="1"/>
    <col min="8" max="8" width="18.6640625" style="321" bestFit="1" customWidth="1"/>
    <col min="9" max="9" width="22.83203125" style="321" bestFit="1" customWidth="1"/>
  </cols>
  <sheetData>
    <row r="1" spans="5:9" x14ac:dyDescent="0.2">
      <c r="E1" s="115" t="s">
        <v>420</v>
      </c>
      <c r="F1" s="118" t="s">
        <v>1147</v>
      </c>
      <c r="H1" s="321" t="s">
        <v>420</v>
      </c>
      <c r="I1" s="321" t="s">
        <v>1147</v>
      </c>
    </row>
    <row r="2" spans="5:9" x14ac:dyDescent="0.2">
      <c r="E2" s="115" t="s">
        <v>418</v>
      </c>
      <c r="F2" s="118" t="s">
        <v>1147</v>
      </c>
      <c r="H2" s="321" t="s">
        <v>418</v>
      </c>
      <c r="I2" s="321" t="s">
        <v>1147</v>
      </c>
    </row>
    <row r="3" spans="5:9" x14ac:dyDescent="0.2">
      <c r="E3" s="115" t="s">
        <v>416</v>
      </c>
      <c r="F3" s="118" t="s">
        <v>1147</v>
      </c>
      <c r="H3" s="321" t="s">
        <v>416</v>
      </c>
      <c r="I3" s="321" t="s">
        <v>1147</v>
      </c>
    </row>
    <row r="4" spans="5:9" x14ac:dyDescent="0.2">
      <c r="E4" s="115" t="s">
        <v>432</v>
      </c>
      <c r="F4" s="118" t="s">
        <v>1147</v>
      </c>
      <c r="H4" s="321" t="s">
        <v>1151</v>
      </c>
      <c r="I4" s="321" t="s">
        <v>1147</v>
      </c>
    </row>
    <row r="5" spans="5:9" x14ac:dyDescent="0.2">
      <c r="E5" s="115" t="s">
        <v>1133</v>
      </c>
      <c r="F5" s="118" t="s">
        <v>1147</v>
      </c>
      <c r="H5" s="321" t="s">
        <v>1152</v>
      </c>
      <c r="I5" s="321" t="s">
        <v>1147</v>
      </c>
    </row>
    <row r="6" spans="5:9" x14ac:dyDescent="0.2">
      <c r="E6" s="115" t="s">
        <v>422</v>
      </c>
      <c r="F6" s="118" t="s">
        <v>1147</v>
      </c>
      <c r="H6" s="321" t="s">
        <v>1153</v>
      </c>
      <c r="I6" s="321" t="s">
        <v>1147</v>
      </c>
    </row>
    <row r="7" spans="5:9" x14ac:dyDescent="0.2">
      <c r="E7" s="115" t="s">
        <v>424</v>
      </c>
      <c r="F7" s="118" t="s">
        <v>1147</v>
      </c>
      <c r="H7" s="321" t="s">
        <v>1154</v>
      </c>
      <c r="I7" s="321" t="s">
        <v>1147</v>
      </c>
    </row>
    <row r="8" spans="5:9" x14ac:dyDescent="0.2">
      <c r="E8" s="115" t="s">
        <v>430</v>
      </c>
      <c r="F8" s="118" t="s">
        <v>1147</v>
      </c>
      <c r="H8" s="321" t="s">
        <v>1155</v>
      </c>
      <c r="I8" s="321" t="s">
        <v>1147</v>
      </c>
    </row>
    <row r="9" spans="5:9" x14ac:dyDescent="0.2">
      <c r="E9" s="115" t="s">
        <v>426</v>
      </c>
      <c r="F9" s="118" t="s">
        <v>1147</v>
      </c>
      <c r="H9" s="321" t="s">
        <v>1156</v>
      </c>
      <c r="I9" s="321" t="s">
        <v>1147</v>
      </c>
    </row>
    <row r="10" spans="5:9" x14ac:dyDescent="0.2">
      <c r="E10" s="115" t="s">
        <v>438</v>
      </c>
      <c r="F10" s="118" t="s">
        <v>1148</v>
      </c>
      <c r="H10" s="321" t="s">
        <v>1157</v>
      </c>
      <c r="I10" s="321" t="s">
        <v>1158</v>
      </c>
    </row>
    <row r="11" spans="5:9" x14ac:dyDescent="0.2">
      <c r="E11" s="115" t="s">
        <v>437</v>
      </c>
      <c r="F11" s="118" t="s">
        <v>1148</v>
      </c>
      <c r="H11" s="321" t="s">
        <v>1159</v>
      </c>
      <c r="I11" s="321" t="s">
        <v>1147</v>
      </c>
    </row>
    <row r="12" spans="5:9" x14ac:dyDescent="0.2">
      <c r="E12" s="115" t="s">
        <v>436</v>
      </c>
      <c r="F12" s="118" t="s">
        <v>1148</v>
      </c>
      <c r="H12" s="321" t="s">
        <v>1160</v>
      </c>
      <c r="I12" s="321" t="s">
        <v>1147</v>
      </c>
    </row>
    <row r="13" spans="5:9" x14ac:dyDescent="0.2">
      <c r="E13" s="115" t="s">
        <v>444</v>
      </c>
      <c r="F13" s="118" t="s">
        <v>1148</v>
      </c>
      <c r="H13" s="321" t="s">
        <v>1161</v>
      </c>
      <c r="I13" s="321" t="s">
        <v>1147</v>
      </c>
    </row>
    <row r="14" spans="5:9" x14ac:dyDescent="0.2">
      <c r="E14" s="115" t="s">
        <v>447</v>
      </c>
      <c r="F14" s="118" t="s">
        <v>1148</v>
      </c>
      <c r="H14" s="321" t="s">
        <v>1162</v>
      </c>
      <c r="I14" s="321" t="s">
        <v>1147</v>
      </c>
    </row>
    <row r="15" spans="5:9" x14ac:dyDescent="0.2">
      <c r="E15" s="115" t="s">
        <v>449</v>
      </c>
      <c r="F15" s="118" t="s">
        <v>1148</v>
      </c>
      <c r="H15" s="321" t="s">
        <v>1163</v>
      </c>
      <c r="I15" s="321" t="s">
        <v>1147</v>
      </c>
    </row>
    <row r="16" spans="5:9" x14ac:dyDescent="0.2">
      <c r="E16" s="115" t="s">
        <v>452</v>
      </c>
      <c r="F16" s="118" t="s">
        <v>1148</v>
      </c>
      <c r="H16" s="321" t="s">
        <v>1164</v>
      </c>
      <c r="I16" s="321" t="s">
        <v>1147</v>
      </c>
    </row>
    <row r="17" spans="5:9" x14ac:dyDescent="0.2">
      <c r="E17" s="115" t="s">
        <v>439</v>
      </c>
      <c r="F17" s="118" t="s">
        <v>1147</v>
      </c>
      <c r="H17" s="321" t="s">
        <v>1165</v>
      </c>
      <c r="I17" s="321" t="s">
        <v>1147</v>
      </c>
    </row>
    <row r="18" spans="5:9" x14ac:dyDescent="0.2">
      <c r="E18" s="115" t="s">
        <v>456</v>
      </c>
      <c r="F18" s="118" t="s">
        <v>1147</v>
      </c>
      <c r="H18" s="321" t="s">
        <v>1166</v>
      </c>
      <c r="I18" s="321" t="s">
        <v>1147</v>
      </c>
    </row>
    <row r="19" spans="5:9" x14ac:dyDescent="0.2">
      <c r="E19" s="115" t="s">
        <v>471</v>
      </c>
      <c r="F19" s="118" t="s">
        <v>1147</v>
      </c>
      <c r="H19" s="321" t="s">
        <v>1167</v>
      </c>
      <c r="I19" s="321" t="s">
        <v>1147</v>
      </c>
    </row>
    <row r="20" spans="5:9" x14ac:dyDescent="0.2">
      <c r="E20" s="115" t="s">
        <v>468</v>
      </c>
      <c r="F20" s="118" t="s">
        <v>1147</v>
      </c>
      <c r="H20" s="321" t="s">
        <v>1168</v>
      </c>
      <c r="I20" s="321" t="s">
        <v>1147</v>
      </c>
    </row>
    <row r="21" spans="5:9" x14ac:dyDescent="0.2">
      <c r="E21" s="115" t="s">
        <v>460</v>
      </c>
      <c r="F21" s="118" t="s">
        <v>1147</v>
      </c>
      <c r="H21" s="321" t="s">
        <v>1169</v>
      </c>
      <c r="I21" s="321" t="s">
        <v>1147</v>
      </c>
    </row>
    <row r="22" spans="5:9" x14ac:dyDescent="0.2">
      <c r="E22" s="115" t="s">
        <v>464</v>
      </c>
      <c r="F22" s="118" t="s">
        <v>1147</v>
      </c>
      <c r="H22" s="321" t="s">
        <v>1170</v>
      </c>
      <c r="I22" s="321" t="s">
        <v>1147</v>
      </c>
    </row>
    <row r="23" spans="5:9" x14ac:dyDescent="0.2">
      <c r="E23" s="115" t="s">
        <v>475</v>
      </c>
      <c r="F23" s="118" t="s">
        <v>1147</v>
      </c>
      <c r="H23" s="321" t="s">
        <v>1171</v>
      </c>
      <c r="I23" s="321" t="s">
        <v>1147</v>
      </c>
    </row>
    <row r="24" spans="5:9" x14ac:dyDescent="0.2">
      <c r="E24" s="115" t="s">
        <v>469</v>
      </c>
      <c r="F24" s="118" t="s">
        <v>1147</v>
      </c>
      <c r="H24" s="321" t="s">
        <v>1172</v>
      </c>
      <c r="I24" s="321" t="s">
        <v>1147</v>
      </c>
    </row>
    <row r="25" spans="5:9" x14ac:dyDescent="0.2">
      <c r="E25" s="115" t="s">
        <v>473</v>
      </c>
      <c r="F25" s="118" t="s">
        <v>1147</v>
      </c>
      <c r="H25" s="321" t="s">
        <v>1173</v>
      </c>
      <c r="I25" s="321" t="s">
        <v>1147</v>
      </c>
    </row>
    <row r="26" spans="5:9" x14ac:dyDescent="0.2">
      <c r="E26" s="115" t="s">
        <v>467</v>
      </c>
      <c r="F26" s="118" t="s">
        <v>1147</v>
      </c>
      <c r="H26" s="321" t="s">
        <v>1174</v>
      </c>
      <c r="I26" s="321" t="s">
        <v>1147</v>
      </c>
    </row>
    <row r="27" spans="5:9" x14ac:dyDescent="0.2">
      <c r="E27" s="115" t="s">
        <v>466</v>
      </c>
      <c r="F27" s="118" t="s">
        <v>1147</v>
      </c>
      <c r="H27" s="321" t="s">
        <v>1175</v>
      </c>
      <c r="I27" s="321" t="s">
        <v>1147</v>
      </c>
    </row>
    <row r="28" spans="5:9" x14ac:dyDescent="0.2">
      <c r="E28" s="115" t="s">
        <v>463</v>
      </c>
      <c r="F28" s="118" t="s">
        <v>1147</v>
      </c>
      <c r="H28" s="321" t="s">
        <v>1176</v>
      </c>
      <c r="I28" s="321" t="s">
        <v>1147</v>
      </c>
    </row>
    <row r="29" spans="5:9" x14ac:dyDescent="0.2">
      <c r="E29" s="115" t="s">
        <v>482</v>
      </c>
      <c r="F29" s="118" t="s">
        <v>1148</v>
      </c>
      <c r="H29" s="321" t="s">
        <v>432</v>
      </c>
      <c r="I29" s="321" t="s">
        <v>1147</v>
      </c>
    </row>
    <row r="30" spans="5:9" x14ac:dyDescent="0.2">
      <c r="E30" s="115" t="s">
        <v>479</v>
      </c>
      <c r="F30" s="118" t="s">
        <v>1148</v>
      </c>
      <c r="H30" s="321" t="s">
        <v>1177</v>
      </c>
      <c r="I30" s="321" t="s">
        <v>1147</v>
      </c>
    </row>
    <row r="31" spans="5:9" x14ac:dyDescent="0.2">
      <c r="E31" s="115" t="s">
        <v>477</v>
      </c>
      <c r="F31" s="118" t="s">
        <v>1148</v>
      </c>
      <c r="H31" s="321" t="s">
        <v>1133</v>
      </c>
      <c r="I31" s="321" t="s">
        <v>1147</v>
      </c>
    </row>
    <row r="32" spans="5:9" x14ac:dyDescent="0.2">
      <c r="E32" s="115" t="s">
        <v>484</v>
      </c>
      <c r="F32" s="118" t="s">
        <v>1148</v>
      </c>
      <c r="H32" s="321" t="s">
        <v>1178</v>
      </c>
      <c r="I32" s="321" t="s">
        <v>1147</v>
      </c>
    </row>
    <row r="33" spans="5:9" x14ac:dyDescent="0.2">
      <c r="E33" s="115" t="s">
        <v>489</v>
      </c>
      <c r="F33" s="118" t="s">
        <v>1147</v>
      </c>
      <c r="H33" s="321" t="s">
        <v>1179</v>
      </c>
      <c r="I33" s="321" t="s">
        <v>1147</v>
      </c>
    </row>
    <row r="34" spans="5:9" x14ac:dyDescent="0.2">
      <c r="E34" s="115" t="s">
        <v>491</v>
      </c>
      <c r="F34" s="118" t="s">
        <v>1147</v>
      </c>
      <c r="H34" s="321" t="s">
        <v>1180</v>
      </c>
      <c r="I34" s="321" t="s">
        <v>1147</v>
      </c>
    </row>
    <row r="35" spans="5:9" x14ac:dyDescent="0.2">
      <c r="E35" s="115" t="s">
        <v>494</v>
      </c>
      <c r="F35" s="118" t="s">
        <v>1147</v>
      </c>
      <c r="H35" s="321" t="s">
        <v>1181</v>
      </c>
      <c r="I35" s="321" t="s">
        <v>1147</v>
      </c>
    </row>
    <row r="36" spans="5:9" x14ac:dyDescent="0.2">
      <c r="E36" s="115" t="s">
        <v>490</v>
      </c>
      <c r="F36" s="118" t="s">
        <v>1147</v>
      </c>
      <c r="H36" s="321" t="s">
        <v>1182</v>
      </c>
      <c r="I36" s="321" t="s">
        <v>1147</v>
      </c>
    </row>
    <row r="37" spans="5:9" x14ac:dyDescent="0.2">
      <c r="E37" s="115" t="s">
        <v>492</v>
      </c>
      <c r="F37" s="118" t="s">
        <v>1147</v>
      </c>
      <c r="H37" s="321" t="s">
        <v>1183</v>
      </c>
      <c r="I37" s="321" t="s">
        <v>1147</v>
      </c>
    </row>
    <row r="38" spans="5:9" x14ac:dyDescent="0.2">
      <c r="E38" s="115" t="s">
        <v>487</v>
      </c>
      <c r="F38" s="118" t="s">
        <v>1147</v>
      </c>
      <c r="H38" s="321" t="s">
        <v>422</v>
      </c>
      <c r="I38" s="321" t="s">
        <v>1147</v>
      </c>
    </row>
    <row r="39" spans="5:9" x14ac:dyDescent="0.2">
      <c r="E39" s="115" t="s">
        <v>510</v>
      </c>
      <c r="F39" s="118" t="s">
        <v>1148</v>
      </c>
      <c r="H39" s="321" t="s">
        <v>424</v>
      </c>
      <c r="I39" s="321" t="s">
        <v>1147</v>
      </c>
    </row>
    <row r="40" spans="5:9" x14ac:dyDescent="0.2">
      <c r="E40" s="115" t="s">
        <v>512</v>
      </c>
      <c r="F40" s="118" t="s">
        <v>1148</v>
      </c>
      <c r="H40" s="321" t="s">
        <v>430</v>
      </c>
      <c r="I40" s="321" t="s">
        <v>1147</v>
      </c>
    </row>
    <row r="41" spans="5:9" x14ac:dyDescent="0.2">
      <c r="E41" s="115" t="s">
        <v>504</v>
      </c>
      <c r="F41" s="118" t="s">
        <v>1148</v>
      </c>
      <c r="H41" s="321" t="s">
        <v>426</v>
      </c>
      <c r="I41" s="321" t="s">
        <v>1147</v>
      </c>
    </row>
    <row r="42" spans="5:9" x14ac:dyDescent="0.2">
      <c r="E42" s="115" t="s">
        <v>495</v>
      </c>
      <c r="F42" s="118" t="s">
        <v>1148</v>
      </c>
      <c r="H42" s="321" t="s">
        <v>1184</v>
      </c>
      <c r="I42" s="321" t="s">
        <v>1147</v>
      </c>
    </row>
    <row r="43" spans="5:9" x14ac:dyDescent="0.2">
      <c r="E43" s="115" t="s">
        <v>497</v>
      </c>
      <c r="F43" s="118" t="s">
        <v>1148</v>
      </c>
      <c r="H43" s="321" t="s">
        <v>1185</v>
      </c>
      <c r="I43" s="321" t="s">
        <v>1147</v>
      </c>
    </row>
    <row r="44" spans="5:9" x14ac:dyDescent="0.2">
      <c r="E44" s="115" t="s">
        <v>1134</v>
      </c>
      <c r="F44" s="118" t="s">
        <v>1148</v>
      </c>
      <c r="H44" s="321" t="s">
        <v>1186</v>
      </c>
      <c r="I44" s="321" t="s">
        <v>1147</v>
      </c>
    </row>
    <row r="45" spans="5:9" x14ac:dyDescent="0.2">
      <c r="E45" s="115" t="s">
        <v>508</v>
      </c>
      <c r="F45" s="118" t="s">
        <v>1148</v>
      </c>
      <c r="H45" s="321" t="s">
        <v>1187</v>
      </c>
      <c r="I45" s="321" t="s">
        <v>1147</v>
      </c>
    </row>
    <row r="46" spans="5:9" x14ac:dyDescent="0.2">
      <c r="E46" s="115" t="s">
        <v>518</v>
      </c>
      <c r="F46" s="118" t="s">
        <v>1147</v>
      </c>
      <c r="H46" s="321" t="s">
        <v>1188</v>
      </c>
      <c r="I46" s="321" t="s">
        <v>1147</v>
      </c>
    </row>
    <row r="47" spans="5:9" x14ac:dyDescent="0.2">
      <c r="E47" s="115" t="s">
        <v>516</v>
      </c>
      <c r="F47" s="118" t="s">
        <v>1147</v>
      </c>
      <c r="H47" s="321" t="s">
        <v>1189</v>
      </c>
      <c r="I47" s="321" t="s">
        <v>1147</v>
      </c>
    </row>
    <row r="48" spans="5:9" x14ac:dyDescent="0.2">
      <c r="E48" s="115" t="s">
        <v>520</v>
      </c>
      <c r="F48" s="118" t="s">
        <v>1147</v>
      </c>
      <c r="H48" s="321" t="s">
        <v>1190</v>
      </c>
      <c r="I48" s="321" t="s">
        <v>1147</v>
      </c>
    </row>
    <row r="49" spans="5:9" x14ac:dyDescent="0.2">
      <c r="E49" s="115" t="s">
        <v>519</v>
      </c>
      <c r="F49" s="118" t="s">
        <v>1147</v>
      </c>
      <c r="H49" s="321" t="s">
        <v>1191</v>
      </c>
      <c r="I49" s="321" t="s">
        <v>1147</v>
      </c>
    </row>
    <row r="50" spans="5:9" x14ac:dyDescent="0.2">
      <c r="E50" s="115" t="s">
        <v>515</v>
      </c>
      <c r="F50" s="118" t="s">
        <v>1147</v>
      </c>
      <c r="H50" s="321" t="s">
        <v>1192</v>
      </c>
      <c r="I50" s="321" t="s">
        <v>1147</v>
      </c>
    </row>
    <row r="51" spans="5:9" x14ac:dyDescent="0.2">
      <c r="E51" s="115" t="s">
        <v>538</v>
      </c>
      <c r="F51" s="118" t="s">
        <v>1148</v>
      </c>
      <c r="H51" s="321" t="s">
        <v>1193</v>
      </c>
      <c r="I51" s="321" t="s">
        <v>1147</v>
      </c>
    </row>
    <row r="52" spans="5:9" x14ac:dyDescent="0.2">
      <c r="E52" s="115" t="s">
        <v>536</v>
      </c>
      <c r="F52" s="118" t="s">
        <v>1148</v>
      </c>
      <c r="H52" s="321" t="s">
        <v>1194</v>
      </c>
      <c r="I52" s="321" t="s">
        <v>1147</v>
      </c>
    </row>
    <row r="53" spans="5:9" x14ac:dyDescent="0.2">
      <c r="E53" s="115" t="s">
        <v>1135</v>
      </c>
      <c r="F53" s="118" t="s">
        <v>1148</v>
      </c>
      <c r="H53" s="321" t="s">
        <v>1195</v>
      </c>
      <c r="I53" s="321" t="s">
        <v>1147</v>
      </c>
    </row>
    <row r="54" spans="5:9" x14ac:dyDescent="0.2">
      <c r="E54" s="115" t="s">
        <v>1136</v>
      </c>
      <c r="F54" s="118" t="s">
        <v>1148</v>
      </c>
      <c r="H54" s="321" t="s">
        <v>1196</v>
      </c>
      <c r="I54" s="321" t="s">
        <v>1147</v>
      </c>
    </row>
    <row r="55" spans="5:9" x14ac:dyDescent="0.2">
      <c r="E55" s="115" t="s">
        <v>501</v>
      </c>
      <c r="F55" s="118" t="s">
        <v>1148</v>
      </c>
      <c r="H55" s="321" t="s">
        <v>1197</v>
      </c>
      <c r="I55" s="321" t="s">
        <v>1147</v>
      </c>
    </row>
    <row r="56" spans="5:9" x14ac:dyDescent="0.2">
      <c r="E56" s="115" t="s">
        <v>525</v>
      </c>
      <c r="F56" s="118" t="s">
        <v>1148</v>
      </c>
      <c r="H56" s="321" t="s">
        <v>1198</v>
      </c>
      <c r="I56" s="321" t="s">
        <v>1147</v>
      </c>
    </row>
    <row r="57" spans="5:9" x14ac:dyDescent="0.2">
      <c r="E57" s="115" t="s">
        <v>523</v>
      </c>
      <c r="F57" s="118" t="s">
        <v>1148</v>
      </c>
      <c r="H57" s="321" t="s">
        <v>1199</v>
      </c>
      <c r="I57" s="321" t="s">
        <v>1147</v>
      </c>
    </row>
    <row r="58" spans="5:9" x14ac:dyDescent="0.2">
      <c r="E58" s="115" t="s">
        <v>521</v>
      </c>
      <c r="F58" s="118" t="s">
        <v>1148</v>
      </c>
      <c r="H58" s="321" t="s">
        <v>1200</v>
      </c>
      <c r="I58" s="321" t="s">
        <v>1147</v>
      </c>
    </row>
    <row r="59" spans="5:9" x14ac:dyDescent="0.2">
      <c r="E59" s="115" t="s">
        <v>562</v>
      </c>
      <c r="F59" s="118" t="s">
        <v>1147</v>
      </c>
      <c r="H59" s="321" t="s">
        <v>1201</v>
      </c>
      <c r="I59" s="321" t="s">
        <v>1148</v>
      </c>
    </row>
    <row r="60" spans="5:9" x14ac:dyDescent="0.2">
      <c r="E60" s="115" t="s">
        <v>559</v>
      </c>
      <c r="F60" s="118" t="s">
        <v>1147</v>
      </c>
      <c r="H60" s="321" t="s">
        <v>1202</v>
      </c>
      <c r="I60" s="321" t="s">
        <v>1148</v>
      </c>
    </row>
    <row r="61" spans="5:9" x14ac:dyDescent="0.2">
      <c r="E61" s="115" t="s">
        <v>555</v>
      </c>
      <c r="F61" s="118" t="s">
        <v>1147</v>
      </c>
      <c r="H61" s="321" t="s">
        <v>1203</v>
      </c>
      <c r="I61" s="321" t="s">
        <v>1148</v>
      </c>
    </row>
    <row r="62" spans="5:9" x14ac:dyDescent="0.2">
      <c r="E62" s="115" t="s">
        <v>565</v>
      </c>
      <c r="F62" s="118" t="s">
        <v>1147</v>
      </c>
      <c r="H62" s="321" t="s">
        <v>1204</v>
      </c>
      <c r="I62" s="321" t="s">
        <v>1148</v>
      </c>
    </row>
    <row r="63" spans="5:9" x14ac:dyDescent="0.2">
      <c r="E63" s="115" t="s">
        <v>568</v>
      </c>
      <c r="F63" s="118" t="s">
        <v>1147</v>
      </c>
      <c r="H63" s="321" t="s">
        <v>1205</v>
      </c>
      <c r="I63" s="321" t="s">
        <v>1148</v>
      </c>
    </row>
    <row r="64" spans="5:9" x14ac:dyDescent="0.2">
      <c r="E64" s="115" t="s">
        <v>549</v>
      </c>
      <c r="F64" s="118" t="s">
        <v>1147</v>
      </c>
      <c r="H64" s="321" t="s">
        <v>1206</v>
      </c>
      <c r="I64" s="321" t="s">
        <v>1148</v>
      </c>
    </row>
    <row r="65" spans="5:9" x14ac:dyDescent="0.2">
      <c r="E65" s="115" t="s">
        <v>553</v>
      </c>
      <c r="F65" s="118" t="s">
        <v>1147</v>
      </c>
      <c r="H65" s="321" t="s">
        <v>1207</v>
      </c>
      <c r="I65" s="321" t="s">
        <v>1148</v>
      </c>
    </row>
    <row r="66" spans="5:9" x14ac:dyDescent="0.2">
      <c r="E66" s="115" t="s">
        <v>551</v>
      </c>
      <c r="F66" s="118" t="s">
        <v>1147</v>
      </c>
      <c r="H66" s="321" t="s">
        <v>438</v>
      </c>
      <c r="I66" s="321" t="s">
        <v>1148</v>
      </c>
    </row>
    <row r="67" spans="5:9" x14ac:dyDescent="0.2">
      <c r="E67" s="115" t="s">
        <v>540</v>
      </c>
      <c r="F67" s="118" t="s">
        <v>1147</v>
      </c>
      <c r="H67" s="321" t="s">
        <v>437</v>
      </c>
      <c r="I67" s="321" t="s">
        <v>1148</v>
      </c>
    </row>
    <row r="68" spans="5:9" x14ac:dyDescent="0.2">
      <c r="E68" s="115" t="s">
        <v>542</v>
      </c>
      <c r="F68" s="118" t="s">
        <v>1147</v>
      </c>
      <c r="H68" s="321" t="s">
        <v>436</v>
      </c>
      <c r="I68" s="321" t="s">
        <v>1148</v>
      </c>
    </row>
    <row r="69" spans="5:9" x14ac:dyDescent="0.2">
      <c r="E69" s="115" t="s">
        <v>544</v>
      </c>
      <c r="F69" s="118" t="s">
        <v>1147</v>
      </c>
      <c r="H69" s="321" t="s">
        <v>1208</v>
      </c>
      <c r="I69" s="321" t="s">
        <v>1148</v>
      </c>
    </row>
    <row r="70" spans="5:9" x14ac:dyDescent="0.2">
      <c r="E70" s="115" t="s">
        <v>533</v>
      </c>
      <c r="F70" s="118" t="s">
        <v>1147</v>
      </c>
      <c r="H70" s="321" t="s">
        <v>1209</v>
      </c>
      <c r="I70" s="321" t="s">
        <v>1148</v>
      </c>
    </row>
    <row r="71" spans="5:9" x14ac:dyDescent="0.2">
      <c r="E71" s="115" t="s">
        <v>528</v>
      </c>
      <c r="F71" s="118" t="s">
        <v>1147</v>
      </c>
      <c r="H71" s="321" t="s">
        <v>1210</v>
      </c>
      <c r="I71" s="321" t="s">
        <v>1148</v>
      </c>
    </row>
    <row r="72" spans="5:9" x14ac:dyDescent="0.2">
      <c r="E72" s="115" t="s">
        <v>531</v>
      </c>
      <c r="F72" s="118" t="s">
        <v>1147</v>
      </c>
      <c r="H72" s="321" t="s">
        <v>1211</v>
      </c>
      <c r="I72" s="321" t="s">
        <v>1148</v>
      </c>
    </row>
    <row r="73" spans="5:9" x14ac:dyDescent="0.2">
      <c r="E73" s="115" t="s">
        <v>530</v>
      </c>
      <c r="F73" s="118" t="s">
        <v>1147</v>
      </c>
      <c r="H73" s="321" t="s">
        <v>1212</v>
      </c>
      <c r="I73" s="321" t="s">
        <v>1148</v>
      </c>
    </row>
    <row r="74" spans="5:9" x14ac:dyDescent="0.2">
      <c r="E74" s="115" t="s">
        <v>547</v>
      </c>
      <c r="F74" s="118" t="s">
        <v>1147</v>
      </c>
      <c r="H74" s="321" t="s">
        <v>1213</v>
      </c>
      <c r="I74" s="321" t="s">
        <v>1148</v>
      </c>
    </row>
    <row r="75" spans="5:9" x14ac:dyDescent="0.2">
      <c r="E75" s="115" t="s">
        <v>575</v>
      </c>
      <c r="F75" s="118" t="s">
        <v>1147</v>
      </c>
      <c r="H75" s="321" t="s">
        <v>444</v>
      </c>
      <c r="I75" s="321" t="s">
        <v>1148</v>
      </c>
    </row>
    <row r="76" spans="5:9" x14ac:dyDescent="0.2">
      <c r="E76" s="115" t="s">
        <v>573</v>
      </c>
      <c r="F76" s="118" t="s">
        <v>1147</v>
      </c>
      <c r="H76" s="321" t="s">
        <v>447</v>
      </c>
      <c r="I76" s="321" t="s">
        <v>1148</v>
      </c>
    </row>
    <row r="77" spans="5:9" x14ac:dyDescent="0.2">
      <c r="E77" s="115" t="s">
        <v>571</v>
      </c>
      <c r="F77" s="118" t="s">
        <v>1147</v>
      </c>
      <c r="H77" s="321" t="s">
        <v>449</v>
      </c>
      <c r="I77" s="321" t="s">
        <v>1148</v>
      </c>
    </row>
    <row r="78" spans="5:9" x14ac:dyDescent="0.2">
      <c r="E78" s="115" t="s">
        <v>595</v>
      </c>
      <c r="F78" s="118" t="s">
        <v>1147</v>
      </c>
      <c r="H78" s="321" t="s">
        <v>452</v>
      </c>
      <c r="I78" s="321" t="s">
        <v>1148</v>
      </c>
    </row>
    <row r="79" spans="5:9" x14ac:dyDescent="0.2">
      <c r="E79" s="115" t="s">
        <v>593</v>
      </c>
      <c r="F79" s="118" t="s">
        <v>1147</v>
      </c>
      <c r="H79" s="321" t="s">
        <v>439</v>
      </c>
      <c r="I79" s="321" t="s">
        <v>1147</v>
      </c>
    </row>
    <row r="80" spans="5:9" x14ac:dyDescent="0.2">
      <c r="E80" s="115" t="s">
        <v>590</v>
      </c>
      <c r="F80" s="118" t="s">
        <v>1147</v>
      </c>
      <c r="H80" s="321" t="s">
        <v>456</v>
      </c>
      <c r="I80" s="321" t="s">
        <v>1147</v>
      </c>
    </row>
    <row r="81" spans="5:9" x14ac:dyDescent="0.2">
      <c r="E81" s="115" t="s">
        <v>597</v>
      </c>
      <c r="F81" s="118" t="s">
        <v>1147</v>
      </c>
      <c r="H81" s="321" t="s">
        <v>1213</v>
      </c>
      <c r="I81" s="321" t="s">
        <v>1214</v>
      </c>
    </row>
    <row r="82" spans="5:9" x14ac:dyDescent="0.2">
      <c r="E82" s="115" t="s">
        <v>599</v>
      </c>
      <c r="F82" s="118" t="s">
        <v>1147</v>
      </c>
      <c r="H82" s="321" t="s">
        <v>1215</v>
      </c>
      <c r="I82" s="321" t="s">
        <v>1147</v>
      </c>
    </row>
    <row r="83" spans="5:9" x14ac:dyDescent="0.2">
      <c r="E83" s="115" t="s">
        <v>589</v>
      </c>
      <c r="F83" s="118" t="s">
        <v>1147</v>
      </c>
      <c r="H83" s="321" t="s">
        <v>1216</v>
      </c>
      <c r="I83" s="321" t="s">
        <v>1147</v>
      </c>
    </row>
    <row r="84" spans="5:9" x14ac:dyDescent="0.2">
      <c r="E84" s="115" t="s">
        <v>588</v>
      </c>
      <c r="F84" s="118" t="s">
        <v>1147</v>
      </c>
      <c r="H84" s="321" t="s">
        <v>1217</v>
      </c>
      <c r="I84" s="321" t="s">
        <v>1147</v>
      </c>
    </row>
    <row r="85" spans="5:9" x14ac:dyDescent="0.2">
      <c r="E85" s="115" t="s">
        <v>578</v>
      </c>
      <c r="F85" s="118" t="s">
        <v>1148</v>
      </c>
      <c r="H85" s="321" t="s">
        <v>1218</v>
      </c>
      <c r="I85" s="321" t="s">
        <v>1147</v>
      </c>
    </row>
    <row r="86" spans="5:9" x14ac:dyDescent="0.2">
      <c r="E86" s="115" t="s">
        <v>580</v>
      </c>
      <c r="F86" s="118" t="s">
        <v>1148</v>
      </c>
      <c r="H86" s="321" t="s">
        <v>1219</v>
      </c>
      <c r="I86" s="321" t="s">
        <v>1147</v>
      </c>
    </row>
    <row r="87" spans="5:9" x14ac:dyDescent="0.2">
      <c r="E87" s="115" t="s">
        <v>582</v>
      </c>
      <c r="F87" s="118" t="s">
        <v>1148</v>
      </c>
      <c r="H87" s="321" t="s">
        <v>471</v>
      </c>
      <c r="I87" s="321" t="s">
        <v>1147</v>
      </c>
    </row>
    <row r="88" spans="5:9" x14ac:dyDescent="0.2">
      <c r="E88" s="115" t="s">
        <v>584</v>
      </c>
      <c r="F88" s="118" t="s">
        <v>1148</v>
      </c>
      <c r="H88" s="321" t="s">
        <v>468</v>
      </c>
      <c r="I88" s="321" t="s">
        <v>1147</v>
      </c>
    </row>
    <row r="89" spans="5:9" x14ac:dyDescent="0.2">
      <c r="E89" s="115" t="s">
        <v>586</v>
      </c>
      <c r="F89" s="118" t="s">
        <v>1148</v>
      </c>
      <c r="H89" s="321" t="s">
        <v>460</v>
      </c>
      <c r="I89" s="321" t="s">
        <v>1147</v>
      </c>
    </row>
    <row r="90" spans="5:9" x14ac:dyDescent="0.2">
      <c r="E90" s="115" t="s">
        <v>1137</v>
      </c>
      <c r="F90" s="118" t="s">
        <v>1147</v>
      </c>
      <c r="H90" s="321" t="s">
        <v>464</v>
      </c>
      <c r="I90" s="321" t="s">
        <v>1147</v>
      </c>
    </row>
    <row r="91" spans="5:9" x14ac:dyDescent="0.2">
      <c r="E91" s="115" t="s">
        <v>612</v>
      </c>
      <c r="F91" s="118" t="s">
        <v>1147</v>
      </c>
      <c r="H91" s="321" t="s">
        <v>475</v>
      </c>
      <c r="I91" s="321" t="s">
        <v>1147</v>
      </c>
    </row>
    <row r="92" spans="5:9" x14ac:dyDescent="0.2">
      <c r="E92" s="115" t="s">
        <v>603</v>
      </c>
      <c r="F92" s="118" t="s">
        <v>1147</v>
      </c>
      <c r="H92" s="321" t="s">
        <v>469</v>
      </c>
      <c r="I92" s="321" t="s">
        <v>1147</v>
      </c>
    </row>
    <row r="93" spans="5:9" x14ac:dyDescent="0.2">
      <c r="E93" s="115" t="s">
        <v>610</v>
      </c>
      <c r="F93" s="118" t="s">
        <v>1147</v>
      </c>
      <c r="H93" s="321" t="s">
        <v>473</v>
      </c>
      <c r="I93" s="321" t="s">
        <v>1147</v>
      </c>
    </row>
    <row r="94" spans="5:9" x14ac:dyDescent="0.2">
      <c r="E94" s="115" t="s">
        <v>601</v>
      </c>
      <c r="F94" s="118" t="s">
        <v>1147</v>
      </c>
      <c r="H94" s="321" t="s">
        <v>467</v>
      </c>
      <c r="I94" s="321" t="s">
        <v>1147</v>
      </c>
    </row>
    <row r="95" spans="5:9" x14ac:dyDescent="0.2">
      <c r="E95" s="115" t="s">
        <v>624</v>
      </c>
      <c r="F95" s="118" t="s">
        <v>1147</v>
      </c>
      <c r="H95" s="321" t="s">
        <v>466</v>
      </c>
      <c r="I95" s="321" t="s">
        <v>1147</v>
      </c>
    </row>
    <row r="96" spans="5:9" x14ac:dyDescent="0.2">
      <c r="E96" s="115" t="s">
        <v>618</v>
      </c>
      <c r="F96" s="118" t="s">
        <v>1147</v>
      </c>
      <c r="H96" s="321" t="s">
        <v>463</v>
      </c>
      <c r="I96" s="321" t="s">
        <v>1147</v>
      </c>
    </row>
    <row r="97" spans="5:9" x14ac:dyDescent="0.2">
      <c r="E97" s="115" t="s">
        <v>621</v>
      </c>
      <c r="F97" s="118" t="s">
        <v>1147</v>
      </c>
      <c r="H97" s="321" t="s">
        <v>482</v>
      </c>
      <c r="I97" s="321" t="s">
        <v>1148</v>
      </c>
    </row>
    <row r="98" spans="5:9" x14ac:dyDescent="0.2">
      <c r="E98" s="115" t="s">
        <v>633</v>
      </c>
      <c r="F98" s="118" t="s">
        <v>1147</v>
      </c>
      <c r="H98" s="321" t="s">
        <v>479</v>
      </c>
      <c r="I98" s="321" t="s">
        <v>1148</v>
      </c>
    </row>
    <row r="99" spans="5:9" x14ac:dyDescent="0.2">
      <c r="E99" s="115" t="s">
        <v>638</v>
      </c>
      <c r="F99" s="118" t="s">
        <v>1147</v>
      </c>
      <c r="H99" s="321" t="s">
        <v>477</v>
      </c>
      <c r="I99" s="321" t="s">
        <v>1148</v>
      </c>
    </row>
    <row r="100" spans="5:9" x14ac:dyDescent="0.2">
      <c r="E100" s="116" t="s">
        <v>636</v>
      </c>
      <c r="F100" s="118" t="s">
        <v>1147</v>
      </c>
      <c r="H100" s="321" t="s">
        <v>484</v>
      </c>
      <c r="I100" s="321" t="s">
        <v>1148</v>
      </c>
    </row>
    <row r="101" spans="5:9" x14ac:dyDescent="0.2">
      <c r="E101" s="115" t="s">
        <v>1138</v>
      </c>
      <c r="F101" s="118" t="s">
        <v>1147</v>
      </c>
      <c r="H101" s="321" t="s">
        <v>1220</v>
      </c>
      <c r="I101" s="321" t="s">
        <v>1148</v>
      </c>
    </row>
    <row r="102" spans="5:9" x14ac:dyDescent="0.2">
      <c r="E102" s="115" t="s">
        <v>628</v>
      </c>
      <c r="F102" s="118" t="s">
        <v>1147</v>
      </c>
      <c r="H102" s="321" t="s">
        <v>1221</v>
      </c>
      <c r="I102" s="321" t="s">
        <v>1148</v>
      </c>
    </row>
    <row r="103" spans="5:9" x14ac:dyDescent="0.2">
      <c r="E103" s="115" t="s">
        <v>630</v>
      </c>
      <c r="F103" s="118" t="s">
        <v>1147</v>
      </c>
      <c r="H103" s="321" t="s">
        <v>1222</v>
      </c>
      <c r="I103" s="321" t="s">
        <v>1148</v>
      </c>
    </row>
    <row r="104" spans="5:9" x14ac:dyDescent="0.2">
      <c r="E104" s="115" t="s">
        <v>626</v>
      </c>
      <c r="F104" s="118" t="s">
        <v>1147</v>
      </c>
      <c r="H104" s="321" t="s">
        <v>1223</v>
      </c>
      <c r="I104" s="321" t="s">
        <v>1148</v>
      </c>
    </row>
    <row r="105" spans="5:9" x14ac:dyDescent="0.2">
      <c r="E105" s="115" t="s">
        <v>606</v>
      </c>
      <c r="F105" s="118" t="s">
        <v>1147</v>
      </c>
      <c r="H105" s="321" t="s">
        <v>1224</v>
      </c>
      <c r="I105" s="321" t="s">
        <v>1147</v>
      </c>
    </row>
    <row r="106" spans="5:9" x14ac:dyDescent="0.2">
      <c r="E106" s="115" t="s">
        <v>1139</v>
      </c>
      <c r="F106" s="118" t="s">
        <v>1148</v>
      </c>
      <c r="H106" s="321" t="s">
        <v>1225</v>
      </c>
      <c r="I106" s="321" t="s">
        <v>1147</v>
      </c>
    </row>
    <row r="107" spans="5:9" x14ac:dyDescent="0.2">
      <c r="E107" s="115" t="s">
        <v>667</v>
      </c>
      <c r="F107" s="118" t="s">
        <v>1148</v>
      </c>
      <c r="H107" s="321" t="s">
        <v>1226</v>
      </c>
      <c r="I107" s="321" t="s">
        <v>1147</v>
      </c>
    </row>
    <row r="108" spans="5:9" x14ac:dyDescent="0.2">
      <c r="E108" s="115" t="s">
        <v>1140</v>
      </c>
      <c r="F108" s="118" t="s">
        <v>1148</v>
      </c>
      <c r="H108" s="321" t="s">
        <v>1227</v>
      </c>
      <c r="I108" s="321" t="s">
        <v>1147</v>
      </c>
    </row>
    <row r="109" spans="5:9" x14ac:dyDescent="0.2">
      <c r="E109" s="115" t="s">
        <v>640</v>
      </c>
      <c r="F109" s="118" t="s">
        <v>1148</v>
      </c>
      <c r="H109" s="321" t="s">
        <v>1228</v>
      </c>
      <c r="I109" s="321" t="s">
        <v>1147</v>
      </c>
    </row>
    <row r="110" spans="5:9" x14ac:dyDescent="0.2">
      <c r="E110" s="115" t="s">
        <v>642</v>
      </c>
      <c r="F110" s="118" t="s">
        <v>1148</v>
      </c>
      <c r="H110" s="321" t="s">
        <v>1229</v>
      </c>
      <c r="I110" s="321" t="s">
        <v>1147</v>
      </c>
    </row>
    <row r="111" spans="5:9" x14ac:dyDescent="0.2">
      <c r="E111" s="115" t="s">
        <v>658</v>
      </c>
      <c r="F111" s="118" t="s">
        <v>1147</v>
      </c>
      <c r="H111" s="321" t="s">
        <v>1230</v>
      </c>
      <c r="I111" s="321" t="s">
        <v>1147</v>
      </c>
    </row>
    <row r="112" spans="5:9" x14ac:dyDescent="0.2">
      <c r="E112" s="115" t="s">
        <v>654</v>
      </c>
      <c r="F112" s="118" t="s">
        <v>1147</v>
      </c>
      <c r="H112" s="321" t="s">
        <v>1231</v>
      </c>
      <c r="I112" s="321" t="s">
        <v>1147</v>
      </c>
    </row>
    <row r="113" spans="5:9" x14ac:dyDescent="0.2">
      <c r="E113" s="115" t="s">
        <v>660</v>
      </c>
      <c r="F113" s="118" t="s">
        <v>1147</v>
      </c>
      <c r="H113" s="321" t="s">
        <v>1232</v>
      </c>
      <c r="I113" s="321" t="s">
        <v>1147</v>
      </c>
    </row>
    <row r="114" spans="5:9" x14ac:dyDescent="0.2">
      <c r="E114" s="115" t="s">
        <v>656</v>
      </c>
      <c r="F114" s="118" t="s">
        <v>1147</v>
      </c>
      <c r="H114" s="321" t="s">
        <v>1233</v>
      </c>
      <c r="I114" s="321" t="s">
        <v>1147</v>
      </c>
    </row>
    <row r="115" spans="5:9" x14ac:dyDescent="0.2">
      <c r="E115" s="115" t="s">
        <v>648</v>
      </c>
      <c r="F115" s="118" t="s">
        <v>1147</v>
      </c>
      <c r="H115" s="321" t="s">
        <v>1234</v>
      </c>
      <c r="I115" s="321" t="s">
        <v>1147</v>
      </c>
    </row>
    <row r="116" spans="5:9" x14ac:dyDescent="0.2">
      <c r="E116" s="115" t="s">
        <v>650</v>
      </c>
      <c r="F116" s="118" t="s">
        <v>1147</v>
      </c>
      <c r="H116" s="321" t="s">
        <v>1235</v>
      </c>
      <c r="I116" s="321" t="s">
        <v>1147</v>
      </c>
    </row>
    <row r="117" spans="5:9" x14ac:dyDescent="0.2">
      <c r="E117" s="115" t="s">
        <v>652</v>
      </c>
      <c r="F117" s="118" t="s">
        <v>1147</v>
      </c>
      <c r="H117" s="321" t="s">
        <v>1236</v>
      </c>
      <c r="I117" s="321" t="s">
        <v>1147</v>
      </c>
    </row>
    <row r="118" spans="5:9" x14ac:dyDescent="0.2">
      <c r="E118" s="115" t="s">
        <v>640</v>
      </c>
      <c r="F118" s="118" t="s">
        <v>1147</v>
      </c>
      <c r="H118" s="321" t="s">
        <v>1237</v>
      </c>
      <c r="I118" s="321" t="s">
        <v>1147</v>
      </c>
    </row>
    <row r="119" spans="5:9" x14ac:dyDescent="0.2">
      <c r="E119" s="115" t="s">
        <v>642</v>
      </c>
      <c r="F119" s="118" t="s">
        <v>1147</v>
      </c>
      <c r="H119" s="321" t="s">
        <v>1238</v>
      </c>
      <c r="I119" s="321" t="s">
        <v>1147</v>
      </c>
    </row>
    <row r="120" spans="5:9" x14ac:dyDescent="0.2">
      <c r="E120" s="115" t="s">
        <v>644</v>
      </c>
      <c r="F120" s="118" t="s">
        <v>1147</v>
      </c>
      <c r="H120" s="321" t="s">
        <v>1239</v>
      </c>
      <c r="I120" s="321" t="s">
        <v>1147</v>
      </c>
    </row>
    <row r="121" spans="5:9" x14ac:dyDescent="0.2">
      <c r="E121" s="115" t="s">
        <v>689</v>
      </c>
      <c r="F121" s="118" t="s">
        <v>1147</v>
      </c>
      <c r="H121" s="321" t="s">
        <v>1240</v>
      </c>
      <c r="I121" s="321" t="s">
        <v>1147</v>
      </c>
    </row>
    <row r="122" spans="5:9" x14ac:dyDescent="0.2">
      <c r="E122" s="115" t="s">
        <v>690</v>
      </c>
      <c r="F122" s="118" t="s">
        <v>1147</v>
      </c>
      <c r="H122" s="321" t="s">
        <v>1241</v>
      </c>
      <c r="I122" s="321" t="s">
        <v>1147</v>
      </c>
    </row>
    <row r="123" spans="5:9" x14ac:dyDescent="0.2">
      <c r="E123" s="115" t="s">
        <v>687</v>
      </c>
      <c r="F123" s="118" t="s">
        <v>1147</v>
      </c>
      <c r="H123" s="321" t="s">
        <v>1242</v>
      </c>
      <c r="I123" s="321" t="s">
        <v>1147</v>
      </c>
    </row>
    <row r="124" spans="5:9" x14ac:dyDescent="0.2">
      <c r="E124" s="115" t="s">
        <v>682</v>
      </c>
      <c r="F124" s="118" t="s">
        <v>1147</v>
      </c>
      <c r="H124" s="321" t="s">
        <v>1243</v>
      </c>
      <c r="I124" s="321" t="s">
        <v>1147</v>
      </c>
    </row>
    <row r="125" spans="5:9" x14ac:dyDescent="0.2">
      <c r="E125" s="115" t="s">
        <v>684</v>
      </c>
      <c r="F125" s="118" t="s">
        <v>1147</v>
      </c>
      <c r="H125" s="321" t="s">
        <v>489</v>
      </c>
      <c r="I125" s="321" t="s">
        <v>1147</v>
      </c>
    </row>
    <row r="126" spans="5:9" x14ac:dyDescent="0.2">
      <c r="E126" s="115" t="s">
        <v>686</v>
      </c>
      <c r="F126" s="118" t="s">
        <v>1147</v>
      </c>
      <c r="H126" s="321" t="s">
        <v>491</v>
      </c>
      <c r="I126" s="321" t="s">
        <v>1147</v>
      </c>
    </row>
    <row r="127" spans="5:9" x14ac:dyDescent="0.2">
      <c r="E127" s="115" t="s">
        <v>691</v>
      </c>
      <c r="F127" s="118" t="s">
        <v>1147</v>
      </c>
      <c r="H127" s="321" t="s">
        <v>494</v>
      </c>
      <c r="I127" s="321" t="s">
        <v>1147</v>
      </c>
    </row>
    <row r="128" spans="5:9" x14ac:dyDescent="0.2">
      <c r="E128" s="115" t="s">
        <v>685</v>
      </c>
      <c r="F128" s="118" t="s">
        <v>1147</v>
      </c>
      <c r="H128" s="321" t="s">
        <v>490</v>
      </c>
      <c r="I128" s="321" t="s">
        <v>1147</v>
      </c>
    </row>
    <row r="129" spans="5:9" x14ac:dyDescent="0.2">
      <c r="E129" s="115" t="s">
        <v>675</v>
      </c>
      <c r="F129" s="118" t="s">
        <v>1147</v>
      </c>
      <c r="H129" s="321" t="s">
        <v>492</v>
      </c>
      <c r="I129" s="321" t="s">
        <v>1147</v>
      </c>
    </row>
    <row r="130" spans="5:9" x14ac:dyDescent="0.2">
      <c r="E130" s="115" t="s">
        <v>671</v>
      </c>
      <c r="F130" s="118" t="s">
        <v>1147</v>
      </c>
      <c r="H130" s="321" t="s">
        <v>487</v>
      </c>
      <c r="I130" s="321" t="s">
        <v>1147</v>
      </c>
    </row>
    <row r="131" spans="5:9" x14ac:dyDescent="0.2">
      <c r="E131" s="115" t="s">
        <v>669</v>
      </c>
      <c r="F131" s="118" t="s">
        <v>1147</v>
      </c>
      <c r="H131" s="321" t="s">
        <v>1244</v>
      </c>
      <c r="I131" s="321" t="s">
        <v>1147</v>
      </c>
    </row>
    <row r="132" spans="5:9" x14ac:dyDescent="0.2">
      <c r="E132" s="115" t="s">
        <v>677</v>
      </c>
      <c r="F132" s="118" t="s">
        <v>1147</v>
      </c>
      <c r="H132" s="321" t="s">
        <v>1245</v>
      </c>
      <c r="I132" s="321" t="s">
        <v>1147</v>
      </c>
    </row>
    <row r="133" spans="5:9" x14ac:dyDescent="0.2">
      <c r="E133" s="115" t="s">
        <v>673</v>
      </c>
      <c r="F133" s="118" t="s">
        <v>1147</v>
      </c>
      <c r="H133" s="321" t="s">
        <v>1246</v>
      </c>
      <c r="I133" s="321" t="s">
        <v>1147</v>
      </c>
    </row>
    <row r="134" spans="5:9" x14ac:dyDescent="0.2">
      <c r="E134" s="115" t="s">
        <v>675</v>
      </c>
      <c r="F134" s="118" t="s">
        <v>1148</v>
      </c>
      <c r="H134" s="321" t="s">
        <v>1247</v>
      </c>
      <c r="I134" s="321" t="s">
        <v>1147</v>
      </c>
    </row>
    <row r="135" spans="5:9" x14ac:dyDescent="0.2">
      <c r="E135" s="115" t="s">
        <v>671</v>
      </c>
      <c r="F135" s="118" t="s">
        <v>1148</v>
      </c>
      <c r="H135" s="321" t="s">
        <v>1248</v>
      </c>
      <c r="I135" s="321" t="s">
        <v>1147</v>
      </c>
    </row>
    <row r="136" spans="5:9" x14ac:dyDescent="0.2">
      <c r="E136" s="115" t="s">
        <v>669</v>
      </c>
      <c r="F136" s="118" t="s">
        <v>1148</v>
      </c>
      <c r="H136" s="321" t="s">
        <v>1249</v>
      </c>
      <c r="I136" s="321" t="s">
        <v>1147</v>
      </c>
    </row>
    <row r="137" spans="5:9" x14ac:dyDescent="0.2">
      <c r="E137" s="115" t="s">
        <v>677</v>
      </c>
      <c r="F137" s="118" t="s">
        <v>1148</v>
      </c>
      <c r="H137" s="321" t="s">
        <v>1250</v>
      </c>
      <c r="I137" s="321" t="s">
        <v>1147</v>
      </c>
    </row>
    <row r="138" spans="5:9" x14ac:dyDescent="0.2">
      <c r="E138" s="115" t="s">
        <v>673</v>
      </c>
      <c r="F138" s="118" t="s">
        <v>1148</v>
      </c>
      <c r="H138" s="321" t="s">
        <v>1251</v>
      </c>
      <c r="I138" s="321" t="s">
        <v>1147</v>
      </c>
    </row>
    <row r="139" spans="5:9" x14ac:dyDescent="0.2">
      <c r="E139" s="115" t="s">
        <v>693</v>
      </c>
      <c r="F139" s="118" t="s">
        <v>1147</v>
      </c>
      <c r="H139" s="321" t="s">
        <v>1252</v>
      </c>
      <c r="I139" s="321" t="s">
        <v>1147</v>
      </c>
    </row>
    <row r="140" spans="5:9" x14ac:dyDescent="0.2">
      <c r="E140" s="115" t="s">
        <v>696</v>
      </c>
      <c r="F140" s="118" t="s">
        <v>1147</v>
      </c>
      <c r="H140" s="321" t="s">
        <v>1253</v>
      </c>
      <c r="I140" s="321" t="s">
        <v>1147</v>
      </c>
    </row>
    <row r="141" spans="5:9" x14ac:dyDescent="0.2">
      <c r="E141" s="115" t="s">
        <v>699</v>
      </c>
      <c r="F141" s="118" t="s">
        <v>1147</v>
      </c>
      <c r="H141" s="321" t="s">
        <v>1254</v>
      </c>
      <c r="I141" s="321" t="s">
        <v>1255</v>
      </c>
    </row>
    <row r="142" spans="5:9" x14ac:dyDescent="0.2">
      <c r="E142" s="115" t="s">
        <v>703</v>
      </c>
      <c r="F142" s="118" t="s">
        <v>1147</v>
      </c>
      <c r="H142" s="321" t="s">
        <v>1256</v>
      </c>
      <c r="I142" s="321" t="s">
        <v>1147</v>
      </c>
    </row>
    <row r="143" spans="5:9" x14ac:dyDescent="0.2">
      <c r="E143" s="115" t="s">
        <v>705</v>
      </c>
      <c r="F143" s="118" t="s">
        <v>1147</v>
      </c>
      <c r="H143" s="321" t="s">
        <v>1257</v>
      </c>
      <c r="I143" s="321" t="s">
        <v>1147</v>
      </c>
    </row>
    <row r="144" spans="5:9" x14ac:dyDescent="0.2">
      <c r="E144" s="115" t="s">
        <v>701</v>
      </c>
      <c r="F144" s="118" t="s">
        <v>1147</v>
      </c>
      <c r="H144" s="321" t="s">
        <v>1258</v>
      </c>
      <c r="I144" s="321" t="s">
        <v>1147</v>
      </c>
    </row>
    <row r="145" spans="5:9" x14ac:dyDescent="0.2">
      <c r="E145" s="115" t="s">
        <v>725</v>
      </c>
      <c r="F145" s="118" t="s">
        <v>1147</v>
      </c>
      <c r="H145" s="321" t="s">
        <v>1259</v>
      </c>
      <c r="I145" s="321" t="s">
        <v>1147</v>
      </c>
    </row>
    <row r="146" spans="5:9" x14ac:dyDescent="0.2">
      <c r="E146" s="115" t="s">
        <v>727</v>
      </c>
      <c r="F146" s="118" t="s">
        <v>1147</v>
      </c>
      <c r="H146" s="321" t="s">
        <v>1260</v>
      </c>
      <c r="I146" s="321" t="s">
        <v>1147</v>
      </c>
    </row>
    <row r="147" spans="5:9" x14ac:dyDescent="0.2">
      <c r="E147" s="115" t="s">
        <v>708</v>
      </c>
      <c r="F147" s="118" t="s">
        <v>1148</v>
      </c>
      <c r="H147" s="321" t="s">
        <v>1261</v>
      </c>
      <c r="I147" s="321" t="s">
        <v>1147</v>
      </c>
    </row>
    <row r="148" spans="5:9" x14ac:dyDescent="0.2">
      <c r="E148" s="115" t="s">
        <v>706</v>
      </c>
      <c r="F148" s="118" t="s">
        <v>1148</v>
      </c>
      <c r="H148" s="321" t="s">
        <v>1262</v>
      </c>
      <c r="I148" s="321" t="s">
        <v>1147</v>
      </c>
    </row>
    <row r="149" spans="5:9" x14ac:dyDescent="0.2">
      <c r="E149" s="115" t="s">
        <v>711</v>
      </c>
      <c r="F149" s="118" t="s">
        <v>1147</v>
      </c>
      <c r="H149" s="321" t="s">
        <v>1263</v>
      </c>
      <c r="I149" s="321" t="s">
        <v>1147</v>
      </c>
    </row>
    <row r="150" spans="5:9" x14ac:dyDescent="0.2">
      <c r="E150" s="115" t="s">
        <v>713</v>
      </c>
      <c r="F150" s="118" t="s">
        <v>1147</v>
      </c>
      <c r="H150" s="321" t="s">
        <v>1264</v>
      </c>
      <c r="I150" s="321" t="s">
        <v>1147</v>
      </c>
    </row>
    <row r="151" spans="5:9" x14ac:dyDescent="0.2">
      <c r="E151" s="115" t="s">
        <v>709</v>
      </c>
      <c r="F151" s="118" t="s">
        <v>1147</v>
      </c>
      <c r="H151" s="321" t="s">
        <v>1265</v>
      </c>
      <c r="I151" s="321" t="s">
        <v>1147</v>
      </c>
    </row>
    <row r="152" spans="5:9" x14ac:dyDescent="0.2">
      <c r="E152" s="115" t="s">
        <v>711</v>
      </c>
      <c r="F152" s="118" t="s">
        <v>1148</v>
      </c>
      <c r="H152" s="321" t="s">
        <v>1266</v>
      </c>
      <c r="I152" s="321" t="s">
        <v>1148</v>
      </c>
    </row>
    <row r="153" spans="5:9" x14ac:dyDescent="0.2">
      <c r="E153" s="115" t="s">
        <v>709</v>
      </c>
      <c r="F153" s="118" t="s">
        <v>1148</v>
      </c>
      <c r="H153" s="321" t="s">
        <v>1267</v>
      </c>
      <c r="I153" s="321" t="s">
        <v>1148</v>
      </c>
    </row>
    <row r="154" spans="5:9" x14ac:dyDescent="0.2">
      <c r="E154" s="115" t="s">
        <v>718</v>
      </c>
      <c r="F154" s="118" t="s">
        <v>1147</v>
      </c>
      <c r="H154" s="321" t="s">
        <v>1268</v>
      </c>
      <c r="I154" s="321" t="s">
        <v>1148</v>
      </c>
    </row>
    <row r="155" spans="5:9" x14ac:dyDescent="0.2">
      <c r="E155" s="115" t="s">
        <v>722</v>
      </c>
      <c r="F155" s="118" t="s">
        <v>1147</v>
      </c>
      <c r="H155" s="321" t="s">
        <v>510</v>
      </c>
      <c r="I155" s="321" t="s">
        <v>1148</v>
      </c>
    </row>
    <row r="156" spans="5:9" x14ac:dyDescent="0.2">
      <c r="E156" s="115" t="s">
        <v>525</v>
      </c>
      <c r="F156" s="118" t="s">
        <v>1148</v>
      </c>
      <c r="H156" s="321" t="s">
        <v>512</v>
      </c>
      <c r="I156" s="321" t="s">
        <v>1148</v>
      </c>
    </row>
    <row r="157" spans="5:9" x14ac:dyDescent="0.2">
      <c r="E157" s="115" t="s">
        <v>738</v>
      </c>
      <c r="F157" s="118" t="s">
        <v>1147</v>
      </c>
      <c r="H157" s="321" t="s">
        <v>504</v>
      </c>
      <c r="I157" s="321" t="s">
        <v>1148</v>
      </c>
    </row>
    <row r="158" spans="5:9" x14ac:dyDescent="0.2">
      <c r="E158" s="115" t="s">
        <v>731</v>
      </c>
      <c r="F158" s="118" t="s">
        <v>1147</v>
      </c>
      <c r="H158" s="321" t="s">
        <v>495</v>
      </c>
      <c r="I158" s="321" t="s">
        <v>1148</v>
      </c>
    </row>
    <row r="159" spans="5:9" x14ac:dyDescent="0.2">
      <c r="E159" s="115" t="s">
        <v>736</v>
      </c>
      <c r="F159" s="118" t="s">
        <v>1147</v>
      </c>
      <c r="H159" s="321" t="s">
        <v>497</v>
      </c>
      <c r="I159" s="321" t="s">
        <v>1148</v>
      </c>
    </row>
    <row r="160" spans="5:9" x14ac:dyDescent="0.2">
      <c r="E160" s="115" t="s">
        <v>735</v>
      </c>
      <c r="F160" s="118" t="s">
        <v>1147</v>
      </c>
      <c r="H160" s="321" t="s">
        <v>1134</v>
      </c>
      <c r="I160" s="321" t="s">
        <v>1148</v>
      </c>
    </row>
    <row r="161" spans="5:9" x14ac:dyDescent="0.2">
      <c r="E161" s="115" t="s">
        <v>734</v>
      </c>
      <c r="F161" s="118" t="s">
        <v>1147</v>
      </c>
      <c r="H161" s="321" t="s">
        <v>508</v>
      </c>
      <c r="I161" s="321" t="s">
        <v>1148</v>
      </c>
    </row>
    <row r="162" spans="5:9" x14ac:dyDescent="0.2">
      <c r="E162" s="115" t="s">
        <v>737</v>
      </c>
      <c r="F162" s="118" t="s">
        <v>1147</v>
      </c>
      <c r="H162" s="321" t="s">
        <v>518</v>
      </c>
      <c r="I162" s="321" t="s">
        <v>1147</v>
      </c>
    </row>
    <row r="163" spans="5:9" x14ac:dyDescent="0.2">
      <c r="E163" s="115" t="s">
        <v>1141</v>
      </c>
      <c r="F163" s="118" t="s">
        <v>1147</v>
      </c>
      <c r="H163" s="321" t="s">
        <v>516</v>
      </c>
      <c r="I163" s="321" t="s">
        <v>1147</v>
      </c>
    </row>
    <row r="164" spans="5:9" x14ac:dyDescent="0.2">
      <c r="E164" s="115" t="s">
        <v>1142</v>
      </c>
      <c r="F164" s="118" t="s">
        <v>1147</v>
      </c>
      <c r="H164" s="321" t="s">
        <v>520</v>
      </c>
      <c r="I164" s="321" t="s">
        <v>1147</v>
      </c>
    </row>
    <row r="165" spans="5:9" x14ac:dyDescent="0.2">
      <c r="E165" s="115" t="s">
        <v>1143</v>
      </c>
      <c r="F165" s="118" t="s">
        <v>1147</v>
      </c>
      <c r="H165" s="321" t="s">
        <v>519</v>
      </c>
      <c r="I165" s="321" t="s">
        <v>1147</v>
      </c>
    </row>
    <row r="166" spans="5:9" x14ac:dyDescent="0.2">
      <c r="E166" s="115" t="s">
        <v>743</v>
      </c>
      <c r="F166" s="118" t="s">
        <v>1147</v>
      </c>
      <c r="H166" s="321" t="s">
        <v>515</v>
      </c>
      <c r="I166" s="321" t="s">
        <v>1147</v>
      </c>
    </row>
    <row r="167" spans="5:9" x14ac:dyDescent="0.2">
      <c r="E167" s="115" t="s">
        <v>741</v>
      </c>
      <c r="F167" s="118" t="s">
        <v>1147</v>
      </c>
      <c r="H167" s="321" t="s">
        <v>1269</v>
      </c>
      <c r="I167" s="321" t="s">
        <v>1158</v>
      </c>
    </row>
    <row r="168" spans="5:9" x14ac:dyDescent="0.2">
      <c r="E168" s="115" t="s">
        <v>752</v>
      </c>
      <c r="F168" s="118" t="s">
        <v>1147</v>
      </c>
      <c r="H168" s="321" t="s">
        <v>1270</v>
      </c>
      <c r="I168" s="321" t="s">
        <v>1158</v>
      </c>
    </row>
    <row r="169" spans="5:9" x14ac:dyDescent="0.2">
      <c r="E169" s="115" t="s">
        <v>749</v>
      </c>
      <c r="F169" s="118" t="s">
        <v>1147</v>
      </c>
      <c r="H169" s="321" t="s">
        <v>1271</v>
      </c>
      <c r="I169" s="321" t="s">
        <v>1147</v>
      </c>
    </row>
    <row r="170" spans="5:9" x14ac:dyDescent="0.2">
      <c r="E170" s="115" t="s">
        <v>747</v>
      </c>
      <c r="F170" s="118" t="s">
        <v>1147</v>
      </c>
      <c r="H170" s="321" t="s">
        <v>1272</v>
      </c>
      <c r="I170" s="321" t="s">
        <v>1147</v>
      </c>
    </row>
    <row r="171" spans="5:9" x14ac:dyDescent="0.2">
      <c r="E171" s="115" t="s">
        <v>754</v>
      </c>
      <c r="F171" s="118" t="s">
        <v>1147</v>
      </c>
      <c r="H171" s="321" t="s">
        <v>1273</v>
      </c>
      <c r="I171" s="321" t="s">
        <v>1147</v>
      </c>
    </row>
    <row r="172" spans="5:9" x14ac:dyDescent="0.2">
      <c r="E172" s="115" t="s">
        <v>767</v>
      </c>
      <c r="F172" s="118" t="s">
        <v>1147</v>
      </c>
      <c r="H172" s="321" t="s">
        <v>1274</v>
      </c>
      <c r="I172" s="321" t="s">
        <v>1147</v>
      </c>
    </row>
    <row r="173" spans="5:9" x14ac:dyDescent="0.2">
      <c r="E173" s="115" t="s">
        <v>759</v>
      </c>
      <c r="F173" s="118" t="s">
        <v>1147</v>
      </c>
      <c r="H173" s="321" t="s">
        <v>1275</v>
      </c>
      <c r="I173" s="321" t="s">
        <v>1147</v>
      </c>
    </row>
    <row r="174" spans="5:9" x14ac:dyDescent="0.2">
      <c r="E174" s="115" t="s">
        <v>762</v>
      </c>
      <c r="F174" s="118" t="s">
        <v>1147</v>
      </c>
      <c r="H174" s="321" t="s">
        <v>1276</v>
      </c>
      <c r="I174" s="321" t="s">
        <v>1147</v>
      </c>
    </row>
    <row r="175" spans="5:9" x14ac:dyDescent="0.2">
      <c r="E175" s="115" t="s">
        <v>757</v>
      </c>
      <c r="F175" s="118" t="s">
        <v>1147</v>
      </c>
      <c r="H175" s="321" t="s">
        <v>1277</v>
      </c>
      <c r="I175" s="321" t="s">
        <v>1147</v>
      </c>
    </row>
    <row r="176" spans="5:9" x14ac:dyDescent="0.2">
      <c r="E176" s="115" t="s">
        <v>764</v>
      </c>
      <c r="F176" s="118" t="s">
        <v>1147</v>
      </c>
      <c r="H176" s="321" t="s">
        <v>1278</v>
      </c>
      <c r="I176" s="321" t="s">
        <v>1147</v>
      </c>
    </row>
    <row r="177" spans="5:9" x14ac:dyDescent="0.2">
      <c r="E177" s="115" t="s">
        <v>787</v>
      </c>
      <c r="F177" s="118" t="s">
        <v>1147</v>
      </c>
      <c r="H177" s="321" t="s">
        <v>1279</v>
      </c>
      <c r="I177" s="321" t="s">
        <v>1147</v>
      </c>
    </row>
    <row r="178" spans="5:9" x14ac:dyDescent="0.2">
      <c r="E178" s="115" t="s">
        <v>798</v>
      </c>
      <c r="F178" s="118" t="s">
        <v>1147</v>
      </c>
      <c r="H178" s="321" t="s">
        <v>1280</v>
      </c>
      <c r="I178" s="321" t="s">
        <v>1147</v>
      </c>
    </row>
    <row r="179" spans="5:9" x14ac:dyDescent="0.2">
      <c r="E179" s="115" t="s">
        <v>795</v>
      </c>
      <c r="F179" s="118" t="s">
        <v>1147</v>
      </c>
      <c r="H179" s="321" t="s">
        <v>1281</v>
      </c>
      <c r="I179" s="321" t="s">
        <v>1147</v>
      </c>
    </row>
    <row r="180" spans="5:9" x14ac:dyDescent="0.2">
      <c r="E180" s="115" t="s">
        <v>792</v>
      </c>
      <c r="F180" s="118" t="s">
        <v>1147</v>
      </c>
      <c r="H180" s="321" t="s">
        <v>1282</v>
      </c>
      <c r="I180" s="321" t="s">
        <v>1147</v>
      </c>
    </row>
    <row r="181" spans="5:9" x14ac:dyDescent="0.2">
      <c r="E181" s="115" t="s">
        <v>789</v>
      </c>
      <c r="F181" s="118" t="s">
        <v>1147</v>
      </c>
      <c r="H181" s="321" t="s">
        <v>1283</v>
      </c>
      <c r="I181" s="321" t="s">
        <v>1147</v>
      </c>
    </row>
    <row r="182" spans="5:9" x14ac:dyDescent="0.2">
      <c r="E182" s="115" t="s">
        <v>770</v>
      </c>
      <c r="F182" s="118" t="s">
        <v>1147</v>
      </c>
      <c r="H182" s="321" t="s">
        <v>1284</v>
      </c>
      <c r="I182" s="321" t="s">
        <v>1147</v>
      </c>
    </row>
    <row r="183" spans="5:9" x14ac:dyDescent="0.2">
      <c r="E183" s="115" t="s">
        <v>773</v>
      </c>
      <c r="F183" s="118" t="s">
        <v>1147</v>
      </c>
      <c r="H183" s="321" t="s">
        <v>1285</v>
      </c>
      <c r="I183" s="321" t="s">
        <v>1147</v>
      </c>
    </row>
    <row r="184" spans="5:9" x14ac:dyDescent="0.2">
      <c r="E184" s="115" t="s">
        <v>801</v>
      </c>
      <c r="F184" s="118" t="s">
        <v>1147</v>
      </c>
      <c r="H184" s="321" t="s">
        <v>1286</v>
      </c>
      <c r="I184" s="321" t="s">
        <v>1147</v>
      </c>
    </row>
    <row r="185" spans="5:9" x14ac:dyDescent="0.2">
      <c r="E185" s="115" t="s">
        <v>776</v>
      </c>
      <c r="F185" s="118" t="s">
        <v>1147</v>
      </c>
      <c r="H185" s="321" t="s">
        <v>1287</v>
      </c>
      <c r="I185" s="321" t="s">
        <v>1147</v>
      </c>
    </row>
    <row r="186" spans="5:9" x14ac:dyDescent="0.2">
      <c r="E186" s="115" t="s">
        <v>784</v>
      </c>
      <c r="F186" s="118" t="s">
        <v>1147</v>
      </c>
      <c r="H186" s="321" t="s">
        <v>1288</v>
      </c>
      <c r="I186" s="321" t="s">
        <v>1147</v>
      </c>
    </row>
    <row r="187" spans="5:9" x14ac:dyDescent="0.2">
      <c r="E187" s="115" t="s">
        <v>780</v>
      </c>
      <c r="F187" s="118" t="s">
        <v>1147</v>
      </c>
      <c r="H187" s="321" t="s">
        <v>1289</v>
      </c>
      <c r="I187" s="321" t="s">
        <v>1147</v>
      </c>
    </row>
    <row r="188" spans="5:9" x14ac:dyDescent="0.2">
      <c r="E188" s="115" t="s">
        <v>782</v>
      </c>
      <c r="F188" s="118" t="s">
        <v>1147</v>
      </c>
      <c r="H188" s="321" t="s">
        <v>1290</v>
      </c>
      <c r="I188" s="321" t="s">
        <v>1147</v>
      </c>
    </row>
    <row r="189" spans="5:9" x14ac:dyDescent="0.2">
      <c r="E189" s="115" t="s">
        <v>778</v>
      </c>
      <c r="F189" s="118" t="s">
        <v>1147</v>
      </c>
      <c r="H189" s="321" t="s">
        <v>1291</v>
      </c>
      <c r="I189" s="321" t="s">
        <v>1147</v>
      </c>
    </row>
    <row r="190" spans="5:9" x14ac:dyDescent="0.2">
      <c r="E190" s="115" t="s">
        <v>770</v>
      </c>
      <c r="F190" s="118" t="s">
        <v>1147</v>
      </c>
      <c r="H190" s="321" t="s">
        <v>1292</v>
      </c>
      <c r="I190" s="321" t="s">
        <v>1147</v>
      </c>
    </row>
    <row r="191" spans="5:9" x14ac:dyDescent="0.2">
      <c r="E191" s="115" t="s">
        <v>773</v>
      </c>
      <c r="F191" s="118" t="s">
        <v>1147</v>
      </c>
      <c r="H191" s="321" t="s">
        <v>538</v>
      </c>
      <c r="I191" s="321" t="s">
        <v>1148</v>
      </c>
    </row>
    <row r="192" spans="5:9" x14ac:dyDescent="0.2">
      <c r="E192" s="115" t="s">
        <v>812</v>
      </c>
      <c r="F192" s="118" t="s">
        <v>1147</v>
      </c>
      <c r="H192" s="321" t="s">
        <v>536</v>
      </c>
      <c r="I192" s="321" t="s">
        <v>1148</v>
      </c>
    </row>
    <row r="193" spans="5:9" x14ac:dyDescent="0.2">
      <c r="E193" s="115" t="s">
        <v>814</v>
      </c>
      <c r="F193" s="118" t="s">
        <v>1147</v>
      </c>
      <c r="H193" s="321" t="s">
        <v>1135</v>
      </c>
      <c r="I193" s="321" t="s">
        <v>1148</v>
      </c>
    </row>
    <row r="194" spans="5:9" x14ac:dyDescent="0.2">
      <c r="E194" s="115" t="s">
        <v>816</v>
      </c>
      <c r="F194" s="118" t="s">
        <v>1147</v>
      </c>
      <c r="H194" s="321" t="s">
        <v>1136</v>
      </c>
      <c r="I194" s="321" t="s">
        <v>1148</v>
      </c>
    </row>
    <row r="195" spans="5:9" x14ac:dyDescent="0.2">
      <c r="E195" s="115" t="s">
        <v>807</v>
      </c>
      <c r="F195" s="118" t="s">
        <v>1147</v>
      </c>
      <c r="H195" s="321" t="s">
        <v>501</v>
      </c>
      <c r="I195" s="321" t="s">
        <v>1148</v>
      </c>
    </row>
    <row r="196" spans="5:9" x14ac:dyDescent="0.2">
      <c r="E196" s="115" t="s">
        <v>836</v>
      </c>
      <c r="F196" s="118" t="s">
        <v>1148</v>
      </c>
      <c r="H196" s="321" t="s">
        <v>525</v>
      </c>
      <c r="I196" s="321" t="s">
        <v>1148</v>
      </c>
    </row>
    <row r="197" spans="5:9" x14ac:dyDescent="0.2">
      <c r="E197" s="115" t="s">
        <v>838</v>
      </c>
      <c r="F197" s="118" t="s">
        <v>1148</v>
      </c>
      <c r="H197" s="321" t="s">
        <v>523</v>
      </c>
      <c r="I197" s="321" t="s">
        <v>1148</v>
      </c>
    </row>
    <row r="198" spans="5:9" x14ac:dyDescent="0.2">
      <c r="E198" s="115" t="s">
        <v>822</v>
      </c>
      <c r="F198" s="118" t="s">
        <v>1147</v>
      </c>
      <c r="H198" s="321" t="s">
        <v>521</v>
      </c>
      <c r="I198" s="321" t="s">
        <v>1148</v>
      </c>
    </row>
    <row r="199" spans="5:9" x14ac:dyDescent="0.2">
      <c r="E199" s="115" t="s">
        <v>826</v>
      </c>
      <c r="F199" s="118" t="s">
        <v>1147</v>
      </c>
      <c r="H199" s="321" t="s">
        <v>562</v>
      </c>
      <c r="I199" s="321" t="s">
        <v>1147</v>
      </c>
    </row>
    <row r="200" spans="5:9" x14ac:dyDescent="0.2">
      <c r="E200" s="115" t="s">
        <v>825</v>
      </c>
      <c r="F200" s="118" t="s">
        <v>1147</v>
      </c>
      <c r="H200" s="321" t="s">
        <v>559</v>
      </c>
      <c r="I200" s="321" t="s">
        <v>1147</v>
      </c>
    </row>
    <row r="201" spans="5:9" x14ac:dyDescent="0.2">
      <c r="E201" s="115" t="s">
        <v>819</v>
      </c>
      <c r="F201" s="118" t="s">
        <v>1147</v>
      </c>
      <c r="H201" s="321" t="s">
        <v>555</v>
      </c>
      <c r="I201" s="321" t="s">
        <v>1147</v>
      </c>
    </row>
    <row r="202" spans="5:9" x14ac:dyDescent="0.2">
      <c r="E202" s="115" t="s">
        <v>820</v>
      </c>
      <c r="F202" s="118" t="s">
        <v>1147</v>
      </c>
      <c r="H202" s="321" t="s">
        <v>565</v>
      </c>
      <c r="I202" s="321" t="s">
        <v>1147</v>
      </c>
    </row>
    <row r="203" spans="5:9" x14ac:dyDescent="0.2">
      <c r="E203" s="115" t="s">
        <v>818</v>
      </c>
      <c r="F203" s="118" t="s">
        <v>1147</v>
      </c>
      <c r="H203" s="321" t="s">
        <v>568</v>
      </c>
      <c r="I203" s="321" t="s">
        <v>1147</v>
      </c>
    </row>
    <row r="204" spans="5:9" x14ac:dyDescent="0.2">
      <c r="E204" s="115" t="s">
        <v>821</v>
      </c>
      <c r="F204" s="118" t="s">
        <v>1147</v>
      </c>
      <c r="H204" s="321" t="s">
        <v>549</v>
      </c>
      <c r="I204" s="321" t="s">
        <v>1147</v>
      </c>
    </row>
    <row r="205" spans="5:9" x14ac:dyDescent="0.2">
      <c r="E205" s="115" t="s">
        <v>844</v>
      </c>
      <c r="F205" s="118" t="s">
        <v>1147</v>
      </c>
      <c r="H205" s="321" t="s">
        <v>553</v>
      </c>
      <c r="I205" s="321" t="s">
        <v>1147</v>
      </c>
    </row>
    <row r="206" spans="5:9" x14ac:dyDescent="0.2">
      <c r="E206" s="115" t="s">
        <v>846</v>
      </c>
      <c r="F206" s="118" t="s">
        <v>1147</v>
      </c>
      <c r="H206" s="321" t="s">
        <v>551</v>
      </c>
      <c r="I206" s="321" t="s">
        <v>1147</v>
      </c>
    </row>
    <row r="207" spans="5:9" x14ac:dyDescent="0.2">
      <c r="E207" s="115" t="s">
        <v>828</v>
      </c>
      <c r="F207" s="118" t="s">
        <v>1147</v>
      </c>
      <c r="H207" s="321" t="s">
        <v>540</v>
      </c>
      <c r="I207" s="321" t="s">
        <v>1147</v>
      </c>
    </row>
    <row r="208" spans="5:9" x14ac:dyDescent="0.2">
      <c r="E208" s="115" t="s">
        <v>849</v>
      </c>
      <c r="F208" s="118" t="s">
        <v>1147</v>
      </c>
      <c r="H208" s="321" t="s">
        <v>542</v>
      </c>
      <c r="I208" s="321" t="s">
        <v>1147</v>
      </c>
    </row>
    <row r="209" spans="5:9" x14ac:dyDescent="0.2">
      <c r="E209" s="115" t="s">
        <v>832</v>
      </c>
      <c r="F209" s="118" t="s">
        <v>1147</v>
      </c>
      <c r="H209" s="321" t="s">
        <v>544</v>
      </c>
      <c r="I209" s="321" t="s">
        <v>1147</v>
      </c>
    </row>
    <row r="210" spans="5:9" x14ac:dyDescent="0.2">
      <c r="E210" s="115" t="s">
        <v>861</v>
      </c>
      <c r="F210" s="118" t="s">
        <v>1147</v>
      </c>
      <c r="H210" s="321" t="s">
        <v>533</v>
      </c>
      <c r="I210" s="321" t="s">
        <v>1147</v>
      </c>
    </row>
    <row r="211" spans="5:9" x14ac:dyDescent="0.2">
      <c r="E211" s="115" t="s">
        <v>863</v>
      </c>
      <c r="F211" s="118" t="s">
        <v>1147</v>
      </c>
      <c r="H211" s="321" t="s">
        <v>528</v>
      </c>
      <c r="I211" s="321" t="s">
        <v>1147</v>
      </c>
    </row>
    <row r="212" spans="5:9" x14ac:dyDescent="0.2">
      <c r="E212" s="115" t="s">
        <v>865</v>
      </c>
      <c r="F212" s="118" t="s">
        <v>1147</v>
      </c>
      <c r="H212" s="321" t="s">
        <v>531</v>
      </c>
      <c r="I212" s="321" t="s">
        <v>1147</v>
      </c>
    </row>
    <row r="213" spans="5:9" x14ac:dyDescent="0.2">
      <c r="E213" s="115" t="s">
        <v>858</v>
      </c>
      <c r="F213" s="118" t="s">
        <v>1147</v>
      </c>
      <c r="H213" s="321" t="s">
        <v>530</v>
      </c>
      <c r="I213" s="321" t="s">
        <v>1147</v>
      </c>
    </row>
    <row r="214" spans="5:9" x14ac:dyDescent="0.2">
      <c r="E214" s="115" t="s">
        <v>852</v>
      </c>
      <c r="F214" s="118" t="s">
        <v>1147</v>
      </c>
      <c r="H214" s="321" t="s">
        <v>1293</v>
      </c>
      <c r="I214" s="321" t="s">
        <v>1147</v>
      </c>
    </row>
    <row r="215" spans="5:9" x14ac:dyDescent="0.2">
      <c r="E215" s="115" t="s">
        <v>855</v>
      </c>
      <c r="F215" s="118" t="s">
        <v>1147</v>
      </c>
      <c r="H215" s="321" t="s">
        <v>1294</v>
      </c>
      <c r="I215" s="321" t="s">
        <v>1147</v>
      </c>
    </row>
    <row r="216" spans="5:9" x14ac:dyDescent="0.2">
      <c r="E216" s="115" t="s">
        <v>857</v>
      </c>
      <c r="F216" s="118" t="s">
        <v>1147</v>
      </c>
      <c r="H216" s="321" t="s">
        <v>1295</v>
      </c>
      <c r="I216" s="321" t="s">
        <v>1147</v>
      </c>
    </row>
    <row r="217" spans="5:9" x14ac:dyDescent="0.2">
      <c r="E217" s="115" t="s">
        <v>856</v>
      </c>
      <c r="F217" s="118" t="s">
        <v>1147</v>
      </c>
      <c r="H217" s="321" t="s">
        <v>1296</v>
      </c>
      <c r="I217" s="321" t="s">
        <v>1147</v>
      </c>
    </row>
    <row r="218" spans="5:9" x14ac:dyDescent="0.2">
      <c r="E218" s="115" t="s">
        <v>854</v>
      </c>
      <c r="F218" s="118" t="s">
        <v>1147</v>
      </c>
      <c r="H218" s="321" t="s">
        <v>1297</v>
      </c>
      <c r="I218" s="321" t="s">
        <v>1147</v>
      </c>
    </row>
    <row r="219" spans="5:9" x14ac:dyDescent="0.2">
      <c r="E219" s="115" t="s">
        <v>841</v>
      </c>
      <c r="F219" s="118" t="s">
        <v>1147</v>
      </c>
      <c r="H219" s="321" t="s">
        <v>1298</v>
      </c>
      <c r="I219" s="321" t="s">
        <v>1147</v>
      </c>
    </row>
    <row r="220" spans="5:9" x14ac:dyDescent="0.2">
      <c r="E220" s="117" t="s">
        <v>1144</v>
      </c>
      <c r="F220" s="118" t="s">
        <v>1147</v>
      </c>
      <c r="H220" s="321" t="s">
        <v>1299</v>
      </c>
      <c r="I220" s="321" t="s">
        <v>1147</v>
      </c>
    </row>
    <row r="221" spans="5:9" x14ac:dyDescent="0.2">
      <c r="E221" s="117" t="s">
        <v>1144</v>
      </c>
      <c r="F221" s="118" t="s">
        <v>1147</v>
      </c>
      <c r="H221" s="321" t="s">
        <v>1300</v>
      </c>
      <c r="I221" s="321" t="s">
        <v>1147</v>
      </c>
    </row>
    <row r="222" spans="5:9" x14ac:dyDescent="0.2">
      <c r="E222" s="115" t="s">
        <v>872</v>
      </c>
      <c r="F222" s="118" t="s">
        <v>1147</v>
      </c>
      <c r="H222" s="321" t="s">
        <v>547</v>
      </c>
      <c r="I222" s="321" t="s">
        <v>1147</v>
      </c>
    </row>
    <row r="223" spans="5:9" x14ac:dyDescent="0.2">
      <c r="E223" s="115" t="s">
        <v>869</v>
      </c>
      <c r="F223" s="118" t="s">
        <v>1147</v>
      </c>
      <c r="H223" s="321" t="s">
        <v>575</v>
      </c>
      <c r="I223" s="321" t="s">
        <v>1147</v>
      </c>
    </row>
    <row r="224" spans="5:9" x14ac:dyDescent="0.2">
      <c r="E224" s="115" t="s">
        <v>878</v>
      </c>
      <c r="F224" s="118" t="s">
        <v>1147</v>
      </c>
      <c r="H224" s="321" t="s">
        <v>573</v>
      </c>
      <c r="I224" s="321" t="s">
        <v>1147</v>
      </c>
    </row>
    <row r="225" spans="5:9" x14ac:dyDescent="0.2">
      <c r="E225" s="115" t="s">
        <v>1145</v>
      </c>
      <c r="F225" s="118" t="s">
        <v>1147</v>
      </c>
      <c r="H225" s="321" t="s">
        <v>571</v>
      </c>
      <c r="I225" s="321" t="s">
        <v>1147</v>
      </c>
    </row>
    <row r="226" spans="5:9" x14ac:dyDescent="0.2">
      <c r="E226" s="115" t="s">
        <v>879</v>
      </c>
      <c r="F226" s="118" t="s">
        <v>1147</v>
      </c>
      <c r="H226" s="321" t="s">
        <v>595</v>
      </c>
      <c r="I226" s="321" t="s">
        <v>1147</v>
      </c>
    </row>
    <row r="227" spans="5:9" x14ac:dyDescent="0.2">
      <c r="E227" s="115" t="s">
        <v>875</v>
      </c>
      <c r="F227" s="118" t="s">
        <v>1147</v>
      </c>
      <c r="H227" s="321" t="s">
        <v>593</v>
      </c>
      <c r="I227" s="321" t="s">
        <v>1147</v>
      </c>
    </row>
    <row r="228" spans="5:9" x14ac:dyDescent="0.2">
      <c r="E228" s="115" t="s">
        <v>882</v>
      </c>
      <c r="F228" s="118" t="s">
        <v>1148</v>
      </c>
      <c r="H228" s="321" t="s">
        <v>590</v>
      </c>
      <c r="I228" s="321" t="s">
        <v>1147</v>
      </c>
    </row>
    <row r="229" spans="5:9" x14ac:dyDescent="0.2">
      <c r="E229" s="115" t="s">
        <v>880</v>
      </c>
      <c r="F229" s="118" t="s">
        <v>1148</v>
      </c>
      <c r="H229" s="321" t="s">
        <v>597</v>
      </c>
      <c r="I229" s="321" t="s">
        <v>1147</v>
      </c>
    </row>
    <row r="230" spans="5:9" x14ac:dyDescent="0.2">
      <c r="E230" s="115" t="s">
        <v>888</v>
      </c>
      <c r="F230" s="118" t="s">
        <v>1147</v>
      </c>
      <c r="H230" s="321" t="s">
        <v>599</v>
      </c>
      <c r="I230" s="321" t="s">
        <v>1147</v>
      </c>
    </row>
    <row r="231" spans="5:9" x14ac:dyDescent="0.2">
      <c r="E231" s="115" t="s">
        <v>890</v>
      </c>
      <c r="F231" s="118" t="s">
        <v>1147</v>
      </c>
      <c r="H231" s="321" t="s">
        <v>589</v>
      </c>
      <c r="I231" s="321" t="s">
        <v>1147</v>
      </c>
    </row>
    <row r="232" spans="5:9" x14ac:dyDescent="0.2">
      <c r="E232" s="115" t="s">
        <v>895</v>
      </c>
      <c r="F232" s="118" t="s">
        <v>1147</v>
      </c>
      <c r="H232" s="321" t="s">
        <v>588</v>
      </c>
      <c r="I232" s="321" t="s">
        <v>1147</v>
      </c>
    </row>
    <row r="233" spans="5:9" x14ac:dyDescent="0.2">
      <c r="E233" s="115" t="s">
        <v>898</v>
      </c>
      <c r="F233" s="118" t="s">
        <v>1147</v>
      </c>
      <c r="H233" s="321" t="s">
        <v>578</v>
      </c>
      <c r="I233" s="321" t="s">
        <v>1148</v>
      </c>
    </row>
    <row r="234" spans="5:9" x14ac:dyDescent="0.2">
      <c r="E234" s="115" t="s">
        <v>880</v>
      </c>
      <c r="F234" s="118" t="s">
        <v>1147</v>
      </c>
      <c r="H234" s="321" t="s">
        <v>580</v>
      </c>
      <c r="I234" s="321" t="s">
        <v>1148</v>
      </c>
    </row>
    <row r="235" spans="5:9" x14ac:dyDescent="0.2">
      <c r="E235" s="115" t="s">
        <v>892</v>
      </c>
      <c r="F235" s="118" t="s">
        <v>1147</v>
      </c>
      <c r="H235" s="321" t="s">
        <v>582</v>
      </c>
      <c r="I235" s="321" t="s">
        <v>1148</v>
      </c>
    </row>
    <row r="236" spans="5:9" x14ac:dyDescent="0.2">
      <c r="E236" s="115" t="s">
        <v>885</v>
      </c>
      <c r="F236" s="118" t="s">
        <v>1147</v>
      </c>
      <c r="H236" s="321" t="s">
        <v>584</v>
      </c>
      <c r="I236" s="321" t="s">
        <v>1148</v>
      </c>
    </row>
    <row r="237" spans="5:9" x14ac:dyDescent="0.2">
      <c r="E237" s="115" t="s">
        <v>901</v>
      </c>
      <c r="F237" s="118" t="s">
        <v>1147</v>
      </c>
      <c r="H237" s="321" t="s">
        <v>586</v>
      </c>
      <c r="I237" s="321" t="s">
        <v>1148</v>
      </c>
    </row>
    <row r="238" spans="5:9" x14ac:dyDescent="0.2">
      <c r="E238" s="115" t="s">
        <v>903</v>
      </c>
      <c r="F238" s="118" t="s">
        <v>1147</v>
      </c>
      <c r="H238" s="321" t="s">
        <v>1301</v>
      </c>
      <c r="I238" s="321" t="s">
        <v>1148</v>
      </c>
    </row>
    <row r="239" spans="5:9" x14ac:dyDescent="0.2">
      <c r="E239" s="115" t="s">
        <v>915</v>
      </c>
      <c r="F239" s="118" t="s">
        <v>1147</v>
      </c>
      <c r="H239" s="321" t="s">
        <v>1302</v>
      </c>
      <c r="I239" s="321" t="s">
        <v>1148</v>
      </c>
    </row>
    <row r="240" spans="5:9" x14ac:dyDescent="0.2">
      <c r="E240" s="115" t="s">
        <v>917</v>
      </c>
      <c r="F240" s="118" t="s">
        <v>1147</v>
      </c>
      <c r="H240" s="321" t="s">
        <v>1303</v>
      </c>
      <c r="I240" s="321" t="s">
        <v>1148</v>
      </c>
    </row>
    <row r="241" spans="5:9" x14ac:dyDescent="0.2">
      <c r="E241" s="115" t="s">
        <v>910</v>
      </c>
      <c r="F241" s="118" t="s">
        <v>1147</v>
      </c>
      <c r="H241" s="321" t="s">
        <v>1304</v>
      </c>
      <c r="I241" s="321" t="s">
        <v>1148</v>
      </c>
    </row>
    <row r="242" spans="5:9" x14ac:dyDescent="0.2">
      <c r="E242" s="115" t="s">
        <v>912</v>
      </c>
      <c r="F242" s="118" t="s">
        <v>1147</v>
      </c>
      <c r="H242" s="321" t="s">
        <v>1305</v>
      </c>
      <c r="I242" s="321" t="s">
        <v>1148</v>
      </c>
    </row>
    <row r="243" spans="5:9" x14ac:dyDescent="0.2">
      <c r="E243" s="115" t="s">
        <v>906</v>
      </c>
      <c r="F243" s="118" t="s">
        <v>1147</v>
      </c>
      <c r="H243" s="321" t="s">
        <v>1306</v>
      </c>
      <c r="I243" s="321" t="s">
        <v>1147</v>
      </c>
    </row>
    <row r="244" spans="5:9" x14ac:dyDescent="0.2">
      <c r="E244" s="115" t="s">
        <v>933</v>
      </c>
      <c r="F244" s="118" t="s">
        <v>1148</v>
      </c>
      <c r="H244" s="321" t="s">
        <v>1307</v>
      </c>
      <c r="I244" s="321" t="s">
        <v>1147</v>
      </c>
    </row>
    <row r="245" spans="5:9" x14ac:dyDescent="0.2">
      <c r="E245" s="115" t="s">
        <v>935</v>
      </c>
      <c r="F245" s="118" t="s">
        <v>1148</v>
      </c>
      <c r="H245" s="321" t="s">
        <v>1308</v>
      </c>
      <c r="I245" s="321" t="s">
        <v>1147</v>
      </c>
    </row>
    <row r="246" spans="5:9" x14ac:dyDescent="0.2">
      <c r="E246" s="115" t="s">
        <v>931</v>
      </c>
      <c r="F246" s="118" t="s">
        <v>1148</v>
      </c>
      <c r="H246" s="321" t="s">
        <v>1309</v>
      </c>
      <c r="I246" s="321" t="s">
        <v>1147</v>
      </c>
    </row>
    <row r="247" spans="5:9" x14ac:dyDescent="0.2">
      <c r="E247" s="115" t="s">
        <v>926</v>
      </c>
      <c r="F247" s="118" t="s">
        <v>1148</v>
      </c>
      <c r="H247" s="321" t="s">
        <v>1310</v>
      </c>
      <c r="I247" s="321" t="s">
        <v>1147</v>
      </c>
    </row>
    <row r="248" spans="5:9" x14ac:dyDescent="0.2">
      <c r="E248" s="115" t="s">
        <v>892</v>
      </c>
      <c r="F248" s="118" t="s">
        <v>1148</v>
      </c>
      <c r="H248" s="321" t="s">
        <v>1311</v>
      </c>
      <c r="I248" s="321" t="s">
        <v>1147</v>
      </c>
    </row>
    <row r="249" spans="5:9" x14ac:dyDescent="0.2">
      <c r="E249" s="115" t="s">
        <v>939</v>
      </c>
      <c r="F249" s="118" t="s">
        <v>1147</v>
      </c>
      <c r="H249" s="321" t="s">
        <v>1312</v>
      </c>
      <c r="I249" s="321" t="s">
        <v>1147</v>
      </c>
    </row>
    <row r="250" spans="5:9" x14ac:dyDescent="0.2">
      <c r="E250" s="115" t="s">
        <v>942</v>
      </c>
      <c r="F250" s="118" t="s">
        <v>1147</v>
      </c>
      <c r="H250" s="321" t="s">
        <v>1313</v>
      </c>
      <c r="I250" s="321" t="s">
        <v>1147</v>
      </c>
    </row>
    <row r="251" spans="5:9" x14ac:dyDescent="0.2">
      <c r="E251" s="115" t="s">
        <v>945</v>
      </c>
      <c r="F251" s="118" t="s">
        <v>1147</v>
      </c>
      <c r="H251" s="321" t="s">
        <v>1314</v>
      </c>
      <c r="I251" s="321" t="s">
        <v>1147</v>
      </c>
    </row>
    <row r="252" spans="5:9" x14ac:dyDescent="0.2">
      <c r="E252" s="115" t="s">
        <v>947</v>
      </c>
      <c r="F252" s="118" t="s">
        <v>1147</v>
      </c>
      <c r="H252" s="321" t="s">
        <v>1315</v>
      </c>
      <c r="I252" s="321" t="s">
        <v>1147</v>
      </c>
    </row>
    <row r="253" spans="5:9" x14ac:dyDescent="0.2">
      <c r="E253" s="115" t="s">
        <v>1146</v>
      </c>
      <c r="F253" s="118" t="s">
        <v>1147</v>
      </c>
      <c r="H253" s="321" t="s">
        <v>1137</v>
      </c>
      <c r="I253" s="321" t="s">
        <v>1147</v>
      </c>
    </row>
    <row r="254" spans="5:9" x14ac:dyDescent="0.2">
      <c r="E254" s="115" t="s">
        <v>949</v>
      </c>
      <c r="F254" s="118" t="s">
        <v>1147</v>
      </c>
      <c r="H254" s="321" t="s">
        <v>612</v>
      </c>
      <c r="I254" s="321" t="s">
        <v>1147</v>
      </c>
    </row>
    <row r="255" spans="5:9" x14ac:dyDescent="0.2">
      <c r="E255" s="115" t="s">
        <v>960</v>
      </c>
      <c r="F255" s="118" t="s">
        <v>1147</v>
      </c>
      <c r="H255" s="321" t="s">
        <v>603</v>
      </c>
      <c r="I255" s="321" t="s">
        <v>1147</v>
      </c>
    </row>
    <row r="256" spans="5:9" x14ac:dyDescent="0.2">
      <c r="E256" s="115" t="s">
        <v>953</v>
      </c>
      <c r="F256" s="118" t="s">
        <v>1147</v>
      </c>
      <c r="H256" s="321" t="s">
        <v>610</v>
      </c>
      <c r="I256" s="321" t="s">
        <v>1147</v>
      </c>
    </row>
    <row r="257" spans="5:9" x14ac:dyDescent="0.2">
      <c r="E257" s="115" t="s">
        <v>963</v>
      </c>
      <c r="F257" s="118" t="s">
        <v>1147</v>
      </c>
      <c r="H257" s="321" t="s">
        <v>601</v>
      </c>
      <c r="I257" s="321" t="s">
        <v>1147</v>
      </c>
    </row>
    <row r="258" spans="5:9" x14ac:dyDescent="0.2">
      <c r="E258" s="115" t="s">
        <v>958</v>
      </c>
      <c r="F258" s="118" t="s">
        <v>1147</v>
      </c>
      <c r="H258" s="321" t="s">
        <v>1316</v>
      </c>
      <c r="I258" s="321" t="s">
        <v>1147</v>
      </c>
    </row>
    <row r="259" spans="5:9" x14ac:dyDescent="0.2">
      <c r="E259" s="115" t="s">
        <v>955</v>
      </c>
      <c r="F259" s="118" t="s">
        <v>1147</v>
      </c>
      <c r="H259" s="321" t="s">
        <v>1317</v>
      </c>
      <c r="I259" s="321" t="s">
        <v>1147</v>
      </c>
    </row>
    <row r="260" spans="5:9" x14ac:dyDescent="0.2">
      <c r="E260" s="115" t="s">
        <v>937</v>
      </c>
      <c r="F260" s="118" t="s">
        <v>1147</v>
      </c>
      <c r="H260" s="321" t="s">
        <v>1318</v>
      </c>
      <c r="I260" s="321" t="s">
        <v>1147</v>
      </c>
    </row>
    <row r="261" spans="5:9" x14ac:dyDescent="0.2">
      <c r="E261" s="115" t="s">
        <v>920</v>
      </c>
      <c r="F261" s="118" t="s">
        <v>1147</v>
      </c>
      <c r="H261" s="321" t="s">
        <v>1319</v>
      </c>
      <c r="I261" s="321" t="s">
        <v>1147</v>
      </c>
    </row>
    <row r="262" spans="5:9" x14ac:dyDescent="0.2">
      <c r="E262" s="115" t="s">
        <v>924</v>
      </c>
      <c r="F262" s="118" t="s">
        <v>1147</v>
      </c>
      <c r="H262" s="321" t="s">
        <v>1320</v>
      </c>
      <c r="I262" s="321" t="s">
        <v>1147</v>
      </c>
    </row>
    <row r="263" spans="5:9" x14ac:dyDescent="0.2">
      <c r="E263" s="115" t="s">
        <v>922</v>
      </c>
      <c r="F263" s="118" t="s">
        <v>1147</v>
      </c>
      <c r="H263" s="321" t="s">
        <v>1321</v>
      </c>
      <c r="I263" s="321" t="s">
        <v>1147</v>
      </c>
    </row>
    <row r="264" spans="5:9" x14ac:dyDescent="0.2">
      <c r="E264" s="115" t="s">
        <v>965</v>
      </c>
      <c r="F264" s="118" t="s">
        <v>1147</v>
      </c>
      <c r="H264" s="321" t="s">
        <v>1322</v>
      </c>
      <c r="I264" s="321" t="s">
        <v>1147</v>
      </c>
    </row>
    <row r="265" spans="5:9" x14ac:dyDescent="0.2">
      <c r="E265" s="115" t="s">
        <v>890</v>
      </c>
      <c r="F265" s="118" t="s">
        <v>1147</v>
      </c>
      <c r="H265" s="321" t="s">
        <v>1323</v>
      </c>
      <c r="I265" s="321" t="s">
        <v>1147</v>
      </c>
    </row>
    <row r="266" spans="5:9" x14ac:dyDescent="0.2">
      <c r="E266" s="115" t="s">
        <v>971</v>
      </c>
      <c r="F266" s="118" t="s">
        <v>1147</v>
      </c>
      <c r="H266" s="321" t="s">
        <v>1324</v>
      </c>
      <c r="I266" s="321" t="s">
        <v>1147</v>
      </c>
    </row>
    <row r="267" spans="5:9" x14ac:dyDescent="0.2">
      <c r="E267" s="115" t="s">
        <v>968</v>
      </c>
      <c r="F267" s="118" t="s">
        <v>1147</v>
      </c>
      <c r="H267" s="321" t="s">
        <v>1325</v>
      </c>
      <c r="I267" s="321" t="s">
        <v>1147</v>
      </c>
    </row>
    <row r="268" spans="5:9" x14ac:dyDescent="0.2">
      <c r="E268" s="115" t="s">
        <v>975</v>
      </c>
      <c r="F268" s="118" t="s">
        <v>1147</v>
      </c>
      <c r="H268" s="321" t="s">
        <v>1326</v>
      </c>
      <c r="I268" s="321" t="s">
        <v>1147</v>
      </c>
    </row>
    <row r="269" spans="5:9" x14ac:dyDescent="0.2">
      <c r="E269" s="115" t="s">
        <v>1010</v>
      </c>
      <c r="F269" s="118" t="s">
        <v>1148</v>
      </c>
      <c r="H269" s="321" t="s">
        <v>1327</v>
      </c>
      <c r="I269" s="321" t="s">
        <v>1147</v>
      </c>
    </row>
    <row r="270" spans="5:9" x14ac:dyDescent="0.2">
      <c r="E270" s="115" t="s">
        <v>1008</v>
      </c>
      <c r="F270" s="118" t="s">
        <v>1148</v>
      </c>
      <c r="H270" s="321" t="s">
        <v>1328</v>
      </c>
      <c r="I270" s="321" t="s">
        <v>1148</v>
      </c>
    </row>
    <row r="271" spans="5:9" x14ac:dyDescent="0.2">
      <c r="E271" s="115" t="s">
        <v>1003</v>
      </c>
      <c r="F271" s="118" t="s">
        <v>1148</v>
      </c>
      <c r="H271" s="321" t="s">
        <v>624</v>
      </c>
      <c r="I271" s="321" t="s">
        <v>1147</v>
      </c>
    </row>
    <row r="272" spans="5:9" x14ac:dyDescent="0.2">
      <c r="E272" s="115" t="s">
        <v>1006</v>
      </c>
      <c r="F272" s="118" t="s">
        <v>1148</v>
      </c>
      <c r="H272" s="321" t="s">
        <v>618</v>
      </c>
      <c r="I272" s="321" t="s">
        <v>1147</v>
      </c>
    </row>
    <row r="273" spans="5:9" x14ac:dyDescent="0.2">
      <c r="E273" s="115" t="s">
        <v>988</v>
      </c>
      <c r="F273" s="118" t="s">
        <v>1147</v>
      </c>
      <c r="H273" s="321" t="s">
        <v>621</v>
      </c>
      <c r="I273" s="321" t="s">
        <v>1147</v>
      </c>
    </row>
    <row r="274" spans="5:9" x14ac:dyDescent="0.2">
      <c r="E274" s="115" t="s">
        <v>985</v>
      </c>
      <c r="F274" s="118" t="s">
        <v>1147</v>
      </c>
      <c r="H274" s="321" t="s">
        <v>633</v>
      </c>
      <c r="I274" s="321" t="s">
        <v>1147</v>
      </c>
    </row>
    <row r="275" spans="5:9" x14ac:dyDescent="0.2">
      <c r="E275" s="115" t="s">
        <v>979</v>
      </c>
      <c r="F275" s="118" t="s">
        <v>1147</v>
      </c>
      <c r="H275" s="321" t="s">
        <v>638</v>
      </c>
      <c r="I275" s="321" t="s">
        <v>1147</v>
      </c>
    </row>
    <row r="276" spans="5:9" x14ac:dyDescent="0.2">
      <c r="E276" s="115" t="s">
        <v>981</v>
      </c>
      <c r="F276" s="118" t="s">
        <v>1147</v>
      </c>
      <c r="H276" s="321" t="s">
        <v>636</v>
      </c>
      <c r="I276" s="321" t="s">
        <v>1147</v>
      </c>
    </row>
    <row r="277" spans="5:9" x14ac:dyDescent="0.2">
      <c r="E277" s="115" t="s">
        <v>990</v>
      </c>
      <c r="F277" s="118" t="s">
        <v>1147</v>
      </c>
      <c r="H277" s="321" t="s">
        <v>1138</v>
      </c>
      <c r="I277" s="321" t="s">
        <v>1147</v>
      </c>
    </row>
    <row r="278" spans="5:9" x14ac:dyDescent="0.2">
      <c r="E278" s="115" t="s">
        <v>983</v>
      </c>
      <c r="F278" s="118" t="s">
        <v>1147</v>
      </c>
      <c r="H278" s="321" t="s">
        <v>628</v>
      </c>
      <c r="I278" s="321" t="s">
        <v>1147</v>
      </c>
    </row>
    <row r="279" spans="5:9" x14ac:dyDescent="0.2">
      <c r="E279" s="115" t="s">
        <v>995</v>
      </c>
      <c r="F279" s="118" t="s">
        <v>1147</v>
      </c>
      <c r="H279" s="321" t="s">
        <v>630</v>
      </c>
      <c r="I279" s="321" t="s">
        <v>1147</v>
      </c>
    </row>
    <row r="280" spans="5:9" x14ac:dyDescent="0.2">
      <c r="E280" s="115" t="s">
        <v>998</v>
      </c>
      <c r="F280" s="118" t="s">
        <v>1147</v>
      </c>
      <c r="H280" s="321" t="s">
        <v>626</v>
      </c>
      <c r="I280" s="321" t="s">
        <v>1147</v>
      </c>
    </row>
    <row r="281" spans="5:9" x14ac:dyDescent="0.2">
      <c r="E281" s="115" t="s">
        <v>1001</v>
      </c>
      <c r="F281" s="118" t="s">
        <v>1147</v>
      </c>
      <c r="H281" s="321" t="s">
        <v>1329</v>
      </c>
      <c r="I281" s="321" t="s">
        <v>1147</v>
      </c>
    </row>
    <row r="282" spans="5:9" x14ac:dyDescent="0.2">
      <c r="E282" s="115" t="s">
        <v>1013</v>
      </c>
      <c r="F282" s="118" t="s">
        <v>1149</v>
      </c>
      <c r="H282" s="321" t="s">
        <v>1330</v>
      </c>
      <c r="I282" s="321" t="s">
        <v>1147</v>
      </c>
    </row>
    <row r="283" spans="5:9" x14ac:dyDescent="0.2">
      <c r="E283" s="115" t="s">
        <v>1034</v>
      </c>
      <c r="F283" s="118" t="s">
        <v>1147</v>
      </c>
      <c r="H283" s="321" t="s">
        <v>1331</v>
      </c>
      <c r="I283" s="321" t="s">
        <v>1147</v>
      </c>
    </row>
    <row r="284" spans="5:9" x14ac:dyDescent="0.2">
      <c r="E284" s="115" t="s">
        <v>1126</v>
      </c>
      <c r="F284" s="118" t="s">
        <v>1147</v>
      </c>
      <c r="H284" s="321" t="s">
        <v>1332</v>
      </c>
      <c r="I284" s="321" t="s">
        <v>1147</v>
      </c>
    </row>
    <row r="285" spans="5:9" x14ac:dyDescent="0.2">
      <c r="E285" s="115" t="s">
        <v>1020</v>
      </c>
      <c r="F285" s="118" t="s">
        <v>1147</v>
      </c>
      <c r="H285" s="321" t="s">
        <v>1333</v>
      </c>
      <c r="I285" s="321" t="s">
        <v>1147</v>
      </c>
    </row>
    <row r="286" spans="5:9" x14ac:dyDescent="0.2">
      <c r="E286" s="115" t="s">
        <v>1028</v>
      </c>
      <c r="F286" s="118" t="s">
        <v>1147</v>
      </c>
      <c r="H286" s="321" t="s">
        <v>1334</v>
      </c>
      <c r="I286" s="321" t="s">
        <v>1147</v>
      </c>
    </row>
    <row r="287" spans="5:9" x14ac:dyDescent="0.2">
      <c r="E287" s="115" t="s">
        <v>1031</v>
      </c>
      <c r="F287" s="118" t="s">
        <v>1147</v>
      </c>
      <c r="H287" s="321" t="s">
        <v>1335</v>
      </c>
      <c r="I287" s="321" t="s">
        <v>1147</v>
      </c>
    </row>
    <row r="288" spans="5:9" x14ac:dyDescent="0.2">
      <c r="E288" s="115" t="s">
        <v>1025</v>
      </c>
      <c r="F288" s="118" t="s">
        <v>1147</v>
      </c>
      <c r="H288" s="321" t="s">
        <v>1336</v>
      </c>
      <c r="I288" s="321" t="s">
        <v>1147</v>
      </c>
    </row>
    <row r="289" spans="5:9" x14ac:dyDescent="0.2">
      <c r="E289" s="115" t="s">
        <v>1023</v>
      </c>
      <c r="F289" s="118" t="s">
        <v>1147</v>
      </c>
      <c r="H289" s="321" t="s">
        <v>1337</v>
      </c>
      <c r="I289" s="321" t="s">
        <v>1147</v>
      </c>
    </row>
    <row r="290" spans="5:9" x14ac:dyDescent="0.2">
      <c r="E290" s="115" t="s">
        <v>1037</v>
      </c>
      <c r="F290" s="118" t="s">
        <v>1147</v>
      </c>
      <c r="H290" s="321" t="s">
        <v>1338</v>
      </c>
      <c r="I290" s="321" t="s">
        <v>1147</v>
      </c>
    </row>
    <row r="291" spans="5:9" x14ac:dyDescent="0.2">
      <c r="E291" s="115" t="s">
        <v>1045</v>
      </c>
      <c r="F291" s="118" t="s">
        <v>1147</v>
      </c>
      <c r="H291" s="321" t="s">
        <v>1339</v>
      </c>
      <c r="I291" s="321" t="s">
        <v>1147</v>
      </c>
    </row>
    <row r="292" spans="5:9" x14ac:dyDescent="0.2">
      <c r="E292" s="115" t="s">
        <v>1039</v>
      </c>
      <c r="F292" s="118" t="s">
        <v>1147</v>
      </c>
      <c r="H292" s="321" t="s">
        <v>1340</v>
      </c>
      <c r="I292" s="321" t="s">
        <v>1147</v>
      </c>
    </row>
    <row r="293" spans="5:9" x14ac:dyDescent="0.2">
      <c r="E293" s="115" t="s">
        <v>1041</v>
      </c>
      <c r="F293" s="118" t="s">
        <v>1147</v>
      </c>
      <c r="H293" s="321" t="s">
        <v>1341</v>
      </c>
      <c r="I293" s="321" t="s">
        <v>1147</v>
      </c>
    </row>
    <row r="294" spans="5:9" x14ac:dyDescent="0.2">
      <c r="E294" s="115" t="s">
        <v>1043</v>
      </c>
      <c r="F294" s="118" t="s">
        <v>1147</v>
      </c>
      <c r="H294" s="321" t="s">
        <v>1342</v>
      </c>
      <c r="I294" s="321" t="s">
        <v>1147</v>
      </c>
    </row>
    <row r="295" spans="5:9" x14ac:dyDescent="0.2">
      <c r="E295" s="115" t="s">
        <v>1018</v>
      </c>
      <c r="F295" s="118" t="s">
        <v>1148</v>
      </c>
      <c r="H295" s="321" t="s">
        <v>1343</v>
      </c>
      <c r="I295" s="321" t="s">
        <v>1147</v>
      </c>
    </row>
    <row r="296" spans="5:9" x14ac:dyDescent="0.2">
      <c r="E296" s="115" t="s">
        <v>1129</v>
      </c>
      <c r="F296" s="118" t="s">
        <v>1150</v>
      </c>
      <c r="H296" s="321" t="s">
        <v>1344</v>
      </c>
      <c r="I296" s="321" t="s">
        <v>1147</v>
      </c>
    </row>
    <row r="297" spans="5:9" x14ac:dyDescent="0.2">
      <c r="E297" s="115" t="s">
        <v>1129</v>
      </c>
      <c r="F297" s="118" t="s">
        <v>1150</v>
      </c>
      <c r="H297" s="321" t="s">
        <v>1345</v>
      </c>
      <c r="I297" s="321" t="s">
        <v>1158</v>
      </c>
    </row>
    <row r="298" spans="5:9" x14ac:dyDescent="0.2">
      <c r="E298" s="115" t="s">
        <v>1066</v>
      </c>
      <c r="F298" s="118" t="s">
        <v>1147</v>
      </c>
      <c r="H298" s="321" t="s">
        <v>606</v>
      </c>
      <c r="I298" s="321" t="s">
        <v>1147</v>
      </c>
    </row>
    <row r="299" spans="5:9" x14ac:dyDescent="0.2">
      <c r="E299" s="115" t="s">
        <v>1054</v>
      </c>
      <c r="F299" s="118" t="s">
        <v>1147</v>
      </c>
      <c r="H299" s="321" t="s">
        <v>666</v>
      </c>
      <c r="I299" s="321" t="s">
        <v>1148</v>
      </c>
    </row>
    <row r="300" spans="5:9" x14ac:dyDescent="0.2">
      <c r="E300" s="115" t="s">
        <v>1062</v>
      </c>
      <c r="F300" s="118" t="s">
        <v>1147</v>
      </c>
      <c r="I300" s="321" t="s">
        <v>1148</v>
      </c>
    </row>
    <row r="301" spans="5:9" x14ac:dyDescent="0.2">
      <c r="E301" s="115" t="s">
        <v>1058</v>
      </c>
      <c r="F301" s="118" t="s">
        <v>1147</v>
      </c>
      <c r="H301" s="321" t="s">
        <v>667</v>
      </c>
      <c r="I301" s="321" t="s">
        <v>1148</v>
      </c>
    </row>
    <row r="302" spans="5:9" x14ac:dyDescent="0.2">
      <c r="E302" s="115" t="s">
        <v>1060</v>
      </c>
      <c r="F302" s="118" t="s">
        <v>1147</v>
      </c>
      <c r="H302" s="321" t="s">
        <v>668</v>
      </c>
      <c r="I302" s="321" t="s">
        <v>1148</v>
      </c>
    </row>
    <row r="303" spans="5:9" x14ac:dyDescent="0.2">
      <c r="E303" s="115" t="s">
        <v>1064</v>
      </c>
      <c r="F303" s="118" t="s">
        <v>1147</v>
      </c>
      <c r="I303" s="321" t="s">
        <v>1148</v>
      </c>
    </row>
    <row r="304" spans="5:9" x14ac:dyDescent="0.2">
      <c r="E304" s="115" t="s">
        <v>1047</v>
      </c>
      <c r="F304" s="118" t="s">
        <v>1147</v>
      </c>
      <c r="H304" s="321" t="s">
        <v>640</v>
      </c>
      <c r="I304" s="321" t="s">
        <v>1147</v>
      </c>
    </row>
    <row r="305" spans="5:9" x14ac:dyDescent="0.2">
      <c r="E305" s="115" t="s">
        <v>1051</v>
      </c>
      <c r="F305" s="118" t="s">
        <v>1147</v>
      </c>
      <c r="H305" s="321" t="s">
        <v>642</v>
      </c>
      <c r="I305" s="321" t="s">
        <v>1147</v>
      </c>
    </row>
    <row r="306" spans="5:9" x14ac:dyDescent="0.2">
      <c r="E306" s="115" t="s">
        <v>1068</v>
      </c>
      <c r="F306" s="118" t="s">
        <v>1147</v>
      </c>
      <c r="H306" s="321" t="s">
        <v>658</v>
      </c>
      <c r="I306" s="321" t="s">
        <v>1147</v>
      </c>
    </row>
    <row r="307" spans="5:9" x14ac:dyDescent="0.2">
      <c r="E307" s="115" t="s">
        <v>1071</v>
      </c>
      <c r="F307" s="118" t="s">
        <v>1147</v>
      </c>
      <c r="H307" s="321" t="s">
        <v>654</v>
      </c>
      <c r="I307" s="321" t="s">
        <v>1147</v>
      </c>
    </row>
    <row r="308" spans="5:9" x14ac:dyDescent="0.2">
      <c r="E308" s="115" t="s">
        <v>1075</v>
      </c>
      <c r="F308" s="118" t="s">
        <v>1147</v>
      </c>
      <c r="H308" s="321" t="s">
        <v>660</v>
      </c>
      <c r="I308" s="321" t="s">
        <v>1147</v>
      </c>
    </row>
    <row r="309" spans="5:9" x14ac:dyDescent="0.2">
      <c r="E309" s="115" t="s">
        <v>1081</v>
      </c>
      <c r="F309" s="118" t="s">
        <v>1147</v>
      </c>
      <c r="H309" s="321" t="s">
        <v>656</v>
      </c>
      <c r="I309" s="321" t="s">
        <v>1147</v>
      </c>
    </row>
    <row r="310" spans="5:9" x14ac:dyDescent="0.2">
      <c r="E310" s="115" t="s">
        <v>1073</v>
      </c>
      <c r="F310" s="118" t="s">
        <v>1147</v>
      </c>
      <c r="H310" s="321" t="s">
        <v>648</v>
      </c>
      <c r="I310" s="321" t="s">
        <v>1147</v>
      </c>
    </row>
    <row r="311" spans="5:9" x14ac:dyDescent="0.2">
      <c r="E311" s="115" t="s">
        <v>1079</v>
      </c>
      <c r="F311" s="118" t="s">
        <v>1147</v>
      </c>
      <c r="H311" s="321" t="s">
        <v>650</v>
      </c>
      <c r="I311" s="321" t="s">
        <v>1147</v>
      </c>
    </row>
    <row r="312" spans="5:9" x14ac:dyDescent="0.2">
      <c r="E312" s="115" t="s">
        <v>1077</v>
      </c>
      <c r="F312" s="118" t="s">
        <v>1147</v>
      </c>
      <c r="H312" s="321" t="s">
        <v>652</v>
      </c>
      <c r="I312" s="321" t="s">
        <v>1147</v>
      </c>
    </row>
    <row r="313" spans="5:9" x14ac:dyDescent="0.2">
      <c r="E313" s="115" t="s">
        <v>1084</v>
      </c>
      <c r="F313" s="118" t="s">
        <v>1147</v>
      </c>
      <c r="H313" s="321" t="s">
        <v>640</v>
      </c>
      <c r="I313" s="321" t="s">
        <v>1147</v>
      </c>
    </row>
    <row r="314" spans="5:9" x14ac:dyDescent="0.2">
      <c r="E314" s="115" t="s">
        <v>1087</v>
      </c>
      <c r="F314" s="118" t="s">
        <v>1147</v>
      </c>
      <c r="H314" s="321" t="s">
        <v>642</v>
      </c>
      <c r="I314" s="321" t="s">
        <v>1148</v>
      </c>
    </row>
    <row r="315" spans="5:9" x14ac:dyDescent="0.2">
      <c r="E315" s="115" t="s">
        <v>1105</v>
      </c>
      <c r="F315" s="118" t="s">
        <v>1147</v>
      </c>
      <c r="H315" s="321" t="s">
        <v>644</v>
      </c>
      <c r="I315" s="321" t="s">
        <v>1148</v>
      </c>
    </row>
    <row r="316" spans="5:9" x14ac:dyDescent="0.2">
      <c r="E316" s="115" t="s">
        <v>1103</v>
      </c>
      <c r="F316" s="118" t="s">
        <v>1147</v>
      </c>
      <c r="H316" s="321" t="s">
        <v>1346</v>
      </c>
      <c r="I316" s="321" t="s">
        <v>1148</v>
      </c>
    </row>
    <row r="317" spans="5:9" x14ac:dyDescent="0.2">
      <c r="E317" s="115" t="s">
        <v>1097</v>
      </c>
      <c r="F317" s="118" t="s">
        <v>1147</v>
      </c>
      <c r="H317" s="321" t="s">
        <v>1347</v>
      </c>
      <c r="I317" s="321" t="s">
        <v>1148</v>
      </c>
    </row>
    <row r="318" spans="5:9" x14ac:dyDescent="0.2">
      <c r="E318" s="115" t="s">
        <v>1095</v>
      </c>
      <c r="F318" s="118" t="s">
        <v>1147</v>
      </c>
      <c r="H318" s="321" t="s">
        <v>1348</v>
      </c>
      <c r="I318" s="321" t="s">
        <v>1147</v>
      </c>
    </row>
    <row r="319" spans="5:9" x14ac:dyDescent="0.2">
      <c r="E319" s="115" t="s">
        <v>1099</v>
      </c>
      <c r="F319" s="118" t="s">
        <v>1147</v>
      </c>
      <c r="H319" s="321" t="s">
        <v>1349</v>
      </c>
      <c r="I319" s="321" t="s">
        <v>1147</v>
      </c>
    </row>
    <row r="320" spans="5:9" x14ac:dyDescent="0.2">
      <c r="E320" s="115" t="s">
        <v>1101</v>
      </c>
      <c r="F320" s="118" t="s">
        <v>1147</v>
      </c>
      <c r="H320" s="321" t="s">
        <v>1350</v>
      </c>
      <c r="I320" s="321" t="s">
        <v>1147</v>
      </c>
    </row>
    <row r="321" spans="5:9" x14ac:dyDescent="0.2">
      <c r="E321" s="115" t="s">
        <v>1090</v>
      </c>
      <c r="F321" s="118" t="s">
        <v>1147</v>
      </c>
      <c r="H321" s="321" t="s">
        <v>1351</v>
      </c>
      <c r="I321" s="321" t="s">
        <v>1147</v>
      </c>
    </row>
    <row r="322" spans="5:9" x14ac:dyDescent="0.2">
      <c r="E322" s="115" t="s">
        <v>1092</v>
      </c>
      <c r="F322" s="118" t="s">
        <v>1147</v>
      </c>
      <c r="H322" s="321" t="s">
        <v>1352</v>
      </c>
      <c r="I322" s="321" t="s">
        <v>1147</v>
      </c>
    </row>
    <row r="323" spans="5:9" x14ac:dyDescent="0.2">
      <c r="E323" s="115" t="s">
        <v>1130</v>
      </c>
      <c r="F323" s="118" t="s">
        <v>1147</v>
      </c>
      <c r="H323" s="321" t="s">
        <v>1353</v>
      </c>
      <c r="I323" s="321" t="s">
        <v>1147</v>
      </c>
    </row>
    <row r="324" spans="5:9" x14ac:dyDescent="0.2">
      <c r="E324" s="115" t="s">
        <v>1108</v>
      </c>
      <c r="F324" s="118" t="s">
        <v>1147</v>
      </c>
      <c r="H324" s="321" t="s">
        <v>1354</v>
      </c>
      <c r="I324" s="321" t="s">
        <v>1147</v>
      </c>
    </row>
    <row r="325" spans="5:9" x14ac:dyDescent="0.2">
      <c r="E325" s="115" t="s">
        <v>1111</v>
      </c>
      <c r="F325" s="118" t="s">
        <v>1147</v>
      </c>
      <c r="H325" s="321" t="s">
        <v>1355</v>
      </c>
      <c r="I325" s="321" t="s">
        <v>1147</v>
      </c>
    </row>
    <row r="326" spans="5:9" x14ac:dyDescent="0.2">
      <c r="E326" s="115" t="s">
        <v>1113</v>
      </c>
      <c r="F326" s="118" t="s">
        <v>1147</v>
      </c>
      <c r="H326" s="321" t="s">
        <v>1356</v>
      </c>
      <c r="I326" s="321" t="s">
        <v>1147</v>
      </c>
    </row>
    <row r="327" spans="5:9" x14ac:dyDescent="0.2">
      <c r="E327" s="115" t="s">
        <v>1131</v>
      </c>
      <c r="F327" s="118" t="s">
        <v>1147</v>
      </c>
      <c r="H327" s="321" t="s">
        <v>1357</v>
      </c>
      <c r="I327" s="321" t="s">
        <v>1147</v>
      </c>
    </row>
    <row r="328" spans="5:9" x14ac:dyDescent="0.2">
      <c r="E328" s="115" t="s">
        <v>1132</v>
      </c>
      <c r="F328" s="118" t="s">
        <v>1147</v>
      </c>
      <c r="H328" s="321" t="s">
        <v>1358</v>
      </c>
      <c r="I328" s="321" t="s">
        <v>1147</v>
      </c>
    </row>
    <row r="329" spans="5:9" x14ac:dyDescent="0.2">
      <c r="H329" s="321" t="s">
        <v>1359</v>
      </c>
      <c r="I329" s="321" t="s">
        <v>1147</v>
      </c>
    </row>
    <row r="330" spans="5:9" x14ac:dyDescent="0.2">
      <c r="H330" s="321" t="s">
        <v>1360</v>
      </c>
      <c r="I330" s="321" t="s">
        <v>1147</v>
      </c>
    </row>
    <row r="331" spans="5:9" x14ac:dyDescent="0.2">
      <c r="H331" s="321" t="s">
        <v>1361</v>
      </c>
      <c r="I331" s="321" t="s">
        <v>1147</v>
      </c>
    </row>
    <row r="332" spans="5:9" x14ac:dyDescent="0.2">
      <c r="H332" s="321" t="s">
        <v>1362</v>
      </c>
      <c r="I332" s="321" t="s">
        <v>1214</v>
      </c>
    </row>
    <row r="333" spans="5:9" x14ac:dyDescent="0.2">
      <c r="H333" s="321" t="s">
        <v>1363</v>
      </c>
      <c r="I333" s="321" t="s">
        <v>1158</v>
      </c>
    </row>
    <row r="334" spans="5:9" x14ac:dyDescent="0.2">
      <c r="H334" s="321" t="s">
        <v>1364</v>
      </c>
      <c r="I334" s="321" t="s">
        <v>1147</v>
      </c>
    </row>
    <row r="335" spans="5:9" x14ac:dyDescent="0.2">
      <c r="H335" s="321" t="s">
        <v>1365</v>
      </c>
      <c r="I335" s="321" t="s">
        <v>1147</v>
      </c>
    </row>
    <row r="336" spans="5:9" x14ac:dyDescent="0.2">
      <c r="H336" s="321" t="s">
        <v>1366</v>
      </c>
      <c r="I336" s="321" t="s">
        <v>1147</v>
      </c>
    </row>
    <row r="337" spans="8:9" x14ac:dyDescent="0.2">
      <c r="H337" s="321" t="s">
        <v>689</v>
      </c>
      <c r="I337" s="321" t="s">
        <v>1147</v>
      </c>
    </row>
    <row r="338" spans="8:9" x14ac:dyDescent="0.2">
      <c r="H338" s="321" t="s">
        <v>690</v>
      </c>
      <c r="I338" s="321" t="s">
        <v>1147</v>
      </c>
    </row>
    <row r="339" spans="8:9" x14ac:dyDescent="0.2">
      <c r="H339" s="321" t="s">
        <v>687</v>
      </c>
      <c r="I339" s="321" t="s">
        <v>1147</v>
      </c>
    </row>
    <row r="340" spans="8:9" x14ac:dyDescent="0.2">
      <c r="H340" s="321" t="s">
        <v>682</v>
      </c>
      <c r="I340" s="321" t="s">
        <v>1147</v>
      </c>
    </row>
    <row r="341" spans="8:9" x14ac:dyDescent="0.2">
      <c r="H341" s="321" t="s">
        <v>684</v>
      </c>
      <c r="I341" s="321" t="s">
        <v>1147</v>
      </c>
    </row>
    <row r="342" spans="8:9" x14ac:dyDescent="0.2">
      <c r="H342" s="321" t="s">
        <v>686</v>
      </c>
      <c r="I342" s="321" t="s">
        <v>1147</v>
      </c>
    </row>
    <row r="343" spans="8:9" x14ac:dyDescent="0.2">
      <c r="H343" s="321" t="s">
        <v>691</v>
      </c>
      <c r="I343" s="321" t="s">
        <v>1147</v>
      </c>
    </row>
    <row r="344" spans="8:9" x14ac:dyDescent="0.2">
      <c r="H344" s="321" t="s">
        <v>685</v>
      </c>
      <c r="I344" s="321" t="s">
        <v>1147</v>
      </c>
    </row>
    <row r="345" spans="8:9" x14ac:dyDescent="0.2">
      <c r="H345" s="321" t="s">
        <v>675</v>
      </c>
      <c r="I345" s="321" t="s">
        <v>1147</v>
      </c>
    </row>
    <row r="346" spans="8:9" x14ac:dyDescent="0.2">
      <c r="H346" s="321" t="s">
        <v>671</v>
      </c>
      <c r="I346" s="321" t="s">
        <v>1147</v>
      </c>
    </row>
    <row r="347" spans="8:9" x14ac:dyDescent="0.2">
      <c r="H347" s="321" t="s">
        <v>669</v>
      </c>
      <c r="I347" s="321" t="s">
        <v>1147</v>
      </c>
    </row>
    <row r="348" spans="8:9" x14ac:dyDescent="0.2">
      <c r="H348" s="321" t="s">
        <v>677</v>
      </c>
      <c r="I348" s="321" t="s">
        <v>1148</v>
      </c>
    </row>
    <row r="349" spans="8:9" x14ac:dyDescent="0.2">
      <c r="H349" s="321" t="s">
        <v>673</v>
      </c>
      <c r="I349" s="321" t="s">
        <v>1148</v>
      </c>
    </row>
    <row r="350" spans="8:9" x14ac:dyDescent="0.2">
      <c r="H350" s="321" t="s">
        <v>675</v>
      </c>
      <c r="I350" s="321" t="s">
        <v>1148</v>
      </c>
    </row>
    <row r="351" spans="8:9" x14ac:dyDescent="0.2">
      <c r="H351" s="321" t="s">
        <v>671</v>
      </c>
      <c r="I351" s="321" t="s">
        <v>1148</v>
      </c>
    </row>
    <row r="352" spans="8:9" x14ac:dyDescent="0.2">
      <c r="H352" s="321" t="s">
        <v>669</v>
      </c>
      <c r="I352" s="321" t="s">
        <v>1148</v>
      </c>
    </row>
    <row r="353" spans="8:9" x14ac:dyDescent="0.2">
      <c r="H353" s="321" t="s">
        <v>677</v>
      </c>
      <c r="I353" s="321" t="s">
        <v>1147</v>
      </c>
    </row>
    <row r="354" spans="8:9" x14ac:dyDescent="0.2">
      <c r="H354" s="321" t="s">
        <v>673</v>
      </c>
      <c r="I354" s="321" t="s">
        <v>1147</v>
      </c>
    </row>
    <row r="355" spans="8:9" x14ac:dyDescent="0.2">
      <c r="H355" s="321" t="s">
        <v>1367</v>
      </c>
      <c r="I355" s="321" t="s">
        <v>1147</v>
      </c>
    </row>
    <row r="356" spans="8:9" x14ac:dyDescent="0.2">
      <c r="H356" s="321" t="s">
        <v>1368</v>
      </c>
      <c r="I356" s="321" t="s">
        <v>1148</v>
      </c>
    </row>
    <row r="357" spans="8:9" x14ac:dyDescent="0.2">
      <c r="H357" s="321" t="s">
        <v>1369</v>
      </c>
      <c r="I357" s="321" t="s">
        <v>1148</v>
      </c>
    </row>
    <row r="358" spans="8:9" x14ac:dyDescent="0.2">
      <c r="H358" s="321" t="s">
        <v>1370</v>
      </c>
      <c r="I358" s="321" t="s">
        <v>1148</v>
      </c>
    </row>
    <row r="359" spans="8:9" x14ac:dyDescent="0.2">
      <c r="H359" s="321" t="s">
        <v>1371</v>
      </c>
      <c r="I359" s="321" t="s">
        <v>1148</v>
      </c>
    </row>
    <row r="360" spans="8:9" x14ac:dyDescent="0.2">
      <c r="H360" s="321" t="s">
        <v>1372</v>
      </c>
      <c r="I360" s="321" t="s">
        <v>1148</v>
      </c>
    </row>
    <row r="361" spans="8:9" x14ac:dyDescent="0.2">
      <c r="H361" s="321" t="s">
        <v>1373</v>
      </c>
      <c r="I361" s="321" t="s">
        <v>1147</v>
      </c>
    </row>
    <row r="362" spans="8:9" x14ac:dyDescent="0.2">
      <c r="H362" s="321" t="s">
        <v>1374</v>
      </c>
      <c r="I362" s="321" t="s">
        <v>1147</v>
      </c>
    </row>
    <row r="363" spans="8:9" x14ac:dyDescent="0.2">
      <c r="H363" s="321" t="s">
        <v>1375</v>
      </c>
      <c r="I363" s="321" t="s">
        <v>1147</v>
      </c>
    </row>
    <row r="364" spans="8:9" x14ac:dyDescent="0.2">
      <c r="H364" s="321" t="s">
        <v>1376</v>
      </c>
      <c r="I364" s="321" t="s">
        <v>1147</v>
      </c>
    </row>
    <row r="365" spans="8:9" x14ac:dyDescent="0.2">
      <c r="H365" s="321" t="s">
        <v>1377</v>
      </c>
      <c r="I365" s="321" t="s">
        <v>1147</v>
      </c>
    </row>
    <row r="366" spans="8:9" x14ac:dyDescent="0.2">
      <c r="H366" s="321" t="s">
        <v>1378</v>
      </c>
      <c r="I366" s="321" t="s">
        <v>1147</v>
      </c>
    </row>
    <row r="367" spans="8:9" x14ac:dyDescent="0.2">
      <c r="H367" s="321" t="s">
        <v>1379</v>
      </c>
      <c r="I367" s="321" t="s">
        <v>1147</v>
      </c>
    </row>
    <row r="368" spans="8:9" x14ac:dyDescent="0.2">
      <c r="H368" s="321" t="s">
        <v>1380</v>
      </c>
      <c r="I368" s="321" t="s">
        <v>1147</v>
      </c>
    </row>
    <row r="369" spans="8:9" x14ac:dyDescent="0.2">
      <c r="H369" s="321" t="s">
        <v>1381</v>
      </c>
      <c r="I369" s="321" t="s">
        <v>1147</v>
      </c>
    </row>
    <row r="370" spans="8:9" x14ac:dyDescent="0.2">
      <c r="H370" s="321" t="s">
        <v>1382</v>
      </c>
      <c r="I370" s="321" t="s">
        <v>1147</v>
      </c>
    </row>
    <row r="371" spans="8:9" x14ac:dyDescent="0.2">
      <c r="H371" s="321" t="s">
        <v>1383</v>
      </c>
      <c r="I371" s="321" t="s">
        <v>1147</v>
      </c>
    </row>
    <row r="372" spans="8:9" x14ac:dyDescent="0.2">
      <c r="H372" s="321" t="s">
        <v>1384</v>
      </c>
      <c r="I372" s="321" t="s">
        <v>1147</v>
      </c>
    </row>
    <row r="373" spans="8:9" x14ac:dyDescent="0.2">
      <c r="H373" s="321" t="s">
        <v>1385</v>
      </c>
      <c r="I373" s="321" t="s">
        <v>1147</v>
      </c>
    </row>
    <row r="374" spans="8:9" x14ac:dyDescent="0.2">
      <c r="H374" s="321" t="s">
        <v>1386</v>
      </c>
      <c r="I374" s="321" t="s">
        <v>1147</v>
      </c>
    </row>
    <row r="375" spans="8:9" x14ac:dyDescent="0.2">
      <c r="H375" s="321" t="s">
        <v>1387</v>
      </c>
      <c r="I375" s="321" t="s">
        <v>1147</v>
      </c>
    </row>
    <row r="376" spans="8:9" x14ac:dyDescent="0.2">
      <c r="H376" s="321" t="s">
        <v>1388</v>
      </c>
      <c r="I376" s="321" t="s">
        <v>1147</v>
      </c>
    </row>
    <row r="377" spans="8:9" x14ac:dyDescent="0.2">
      <c r="H377" s="321" t="s">
        <v>1389</v>
      </c>
      <c r="I377" s="321" t="s">
        <v>1147</v>
      </c>
    </row>
    <row r="378" spans="8:9" x14ac:dyDescent="0.2">
      <c r="H378" s="321" t="s">
        <v>693</v>
      </c>
      <c r="I378" s="321" t="s">
        <v>1147</v>
      </c>
    </row>
    <row r="379" spans="8:9" x14ac:dyDescent="0.2">
      <c r="H379" s="321" t="s">
        <v>696</v>
      </c>
      <c r="I379" s="321" t="s">
        <v>1147</v>
      </c>
    </row>
    <row r="380" spans="8:9" x14ac:dyDescent="0.2">
      <c r="H380" s="321" t="s">
        <v>699</v>
      </c>
      <c r="I380" s="321" t="s">
        <v>1147</v>
      </c>
    </row>
    <row r="381" spans="8:9" x14ac:dyDescent="0.2">
      <c r="H381" s="321" t="s">
        <v>703</v>
      </c>
      <c r="I381" s="321" t="s">
        <v>1147</v>
      </c>
    </row>
    <row r="382" spans="8:9" x14ac:dyDescent="0.2">
      <c r="H382" s="321" t="s">
        <v>705</v>
      </c>
      <c r="I382" s="321" t="s">
        <v>1147</v>
      </c>
    </row>
    <row r="383" spans="8:9" x14ac:dyDescent="0.2">
      <c r="H383" s="321" t="s">
        <v>701</v>
      </c>
      <c r="I383" s="321" t="s">
        <v>1147</v>
      </c>
    </row>
    <row r="384" spans="8:9" x14ac:dyDescent="0.2">
      <c r="H384" s="321" t="s">
        <v>725</v>
      </c>
      <c r="I384" s="321" t="s">
        <v>1148</v>
      </c>
    </row>
    <row r="385" spans="8:9" x14ac:dyDescent="0.2">
      <c r="H385" s="321" t="s">
        <v>727</v>
      </c>
      <c r="I385" s="321" t="s">
        <v>1148</v>
      </c>
    </row>
    <row r="386" spans="8:9" x14ac:dyDescent="0.2">
      <c r="H386" s="321" t="s">
        <v>708</v>
      </c>
      <c r="I386" s="321" t="s">
        <v>1148</v>
      </c>
    </row>
    <row r="387" spans="8:9" x14ac:dyDescent="0.2">
      <c r="H387" s="321" t="s">
        <v>706</v>
      </c>
      <c r="I387" s="321" t="s">
        <v>1147</v>
      </c>
    </row>
    <row r="388" spans="8:9" x14ac:dyDescent="0.2">
      <c r="H388" s="321" t="s">
        <v>1390</v>
      </c>
      <c r="I388" s="321" t="s">
        <v>1147</v>
      </c>
    </row>
    <row r="389" spans="8:9" x14ac:dyDescent="0.2">
      <c r="H389" s="321" t="s">
        <v>1391</v>
      </c>
      <c r="I389" s="321" t="s">
        <v>1147</v>
      </c>
    </row>
    <row r="390" spans="8:9" x14ac:dyDescent="0.2">
      <c r="H390" s="321" t="s">
        <v>1392</v>
      </c>
      <c r="I390" s="321" t="s">
        <v>1147</v>
      </c>
    </row>
    <row r="391" spans="8:9" x14ac:dyDescent="0.2">
      <c r="H391" s="321" t="s">
        <v>1393</v>
      </c>
      <c r="I391" s="321" t="s">
        <v>1147</v>
      </c>
    </row>
    <row r="392" spans="8:9" x14ac:dyDescent="0.2">
      <c r="H392" s="321" t="s">
        <v>1394</v>
      </c>
      <c r="I392" s="321" t="s">
        <v>1147</v>
      </c>
    </row>
    <row r="393" spans="8:9" x14ac:dyDescent="0.2">
      <c r="H393" s="321" t="s">
        <v>1395</v>
      </c>
      <c r="I393" s="321" t="s">
        <v>1147</v>
      </c>
    </row>
    <row r="394" spans="8:9" x14ac:dyDescent="0.2">
      <c r="H394" s="321" t="s">
        <v>1396</v>
      </c>
      <c r="I394" s="321" t="s">
        <v>1147</v>
      </c>
    </row>
    <row r="395" spans="8:9" x14ac:dyDescent="0.2">
      <c r="H395" s="321" t="s">
        <v>1397</v>
      </c>
      <c r="I395" s="321" t="s">
        <v>1147</v>
      </c>
    </row>
    <row r="396" spans="8:9" x14ac:dyDescent="0.2">
      <c r="H396" s="321" t="s">
        <v>1398</v>
      </c>
      <c r="I396" s="321" t="s">
        <v>1147</v>
      </c>
    </row>
    <row r="397" spans="8:9" x14ac:dyDescent="0.2">
      <c r="H397" s="321" t="s">
        <v>1399</v>
      </c>
      <c r="I397" s="321" t="s">
        <v>1147</v>
      </c>
    </row>
    <row r="398" spans="8:9" x14ac:dyDescent="0.2">
      <c r="H398" s="321" t="s">
        <v>1400</v>
      </c>
      <c r="I398" s="321" t="s">
        <v>1147</v>
      </c>
    </row>
    <row r="399" spans="8:9" x14ac:dyDescent="0.2">
      <c r="H399" s="321" t="s">
        <v>1401</v>
      </c>
      <c r="I399" s="321" t="s">
        <v>1147</v>
      </c>
    </row>
    <row r="400" spans="8:9" x14ac:dyDescent="0.2">
      <c r="H400" s="321" t="s">
        <v>1402</v>
      </c>
      <c r="I400" s="321" t="s">
        <v>1147</v>
      </c>
    </row>
    <row r="401" spans="8:9" x14ac:dyDescent="0.2">
      <c r="H401" s="321" t="s">
        <v>1403</v>
      </c>
      <c r="I401" s="321" t="s">
        <v>1147</v>
      </c>
    </row>
    <row r="402" spans="8:9" x14ac:dyDescent="0.2">
      <c r="H402" s="321" t="s">
        <v>1404</v>
      </c>
      <c r="I402" s="321" t="s">
        <v>1147</v>
      </c>
    </row>
    <row r="403" spans="8:9" x14ac:dyDescent="0.2">
      <c r="H403" s="321" t="s">
        <v>1405</v>
      </c>
      <c r="I403" s="321" t="s">
        <v>1147</v>
      </c>
    </row>
    <row r="404" spans="8:9" x14ac:dyDescent="0.2">
      <c r="H404" s="321" t="s">
        <v>711</v>
      </c>
      <c r="I404" s="321" t="s">
        <v>1147</v>
      </c>
    </row>
    <row r="405" spans="8:9" x14ac:dyDescent="0.2">
      <c r="H405" s="321" t="s">
        <v>713</v>
      </c>
      <c r="I405" s="321" t="s">
        <v>1147</v>
      </c>
    </row>
    <row r="406" spans="8:9" x14ac:dyDescent="0.2">
      <c r="H406" s="321" t="s">
        <v>709</v>
      </c>
      <c r="I406" s="321" t="s">
        <v>1147</v>
      </c>
    </row>
    <row r="407" spans="8:9" x14ac:dyDescent="0.2">
      <c r="H407" s="321" t="s">
        <v>1406</v>
      </c>
      <c r="I407" s="321" t="s">
        <v>1147</v>
      </c>
    </row>
    <row r="408" spans="8:9" x14ac:dyDescent="0.2">
      <c r="H408" s="321" t="s">
        <v>1407</v>
      </c>
      <c r="I408" s="321" t="s">
        <v>1148</v>
      </c>
    </row>
    <row r="409" spans="8:9" x14ac:dyDescent="0.2">
      <c r="H409" s="321" t="s">
        <v>1408</v>
      </c>
      <c r="I409" s="321" t="s">
        <v>1148</v>
      </c>
    </row>
    <row r="410" spans="8:9" x14ac:dyDescent="0.2">
      <c r="H410" s="321" t="s">
        <v>711</v>
      </c>
      <c r="I410" s="321" t="s">
        <v>1147</v>
      </c>
    </row>
    <row r="411" spans="8:9" x14ac:dyDescent="0.2">
      <c r="H411" s="321" t="s">
        <v>709</v>
      </c>
      <c r="I411" s="321" t="s">
        <v>1147</v>
      </c>
    </row>
    <row r="412" spans="8:9" x14ac:dyDescent="0.2">
      <c r="H412" s="321" t="s">
        <v>1409</v>
      </c>
      <c r="I412" s="321" t="s">
        <v>1147</v>
      </c>
    </row>
    <row r="413" spans="8:9" x14ac:dyDescent="0.2">
      <c r="H413" s="321" t="s">
        <v>1410</v>
      </c>
      <c r="I413" s="321" t="s">
        <v>1147</v>
      </c>
    </row>
    <row r="414" spans="8:9" x14ac:dyDescent="0.2">
      <c r="H414" s="321" t="s">
        <v>1411</v>
      </c>
      <c r="I414" s="321" t="s">
        <v>1147</v>
      </c>
    </row>
    <row r="415" spans="8:9" x14ac:dyDescent="0.2">
      <c r="H415" s="321" t="s">
        <v>1412</v>
      </c>
      <c r="I415" s="321" t="s">
        <v>1147</v>
      </c>
    </row>
    <row r="416" spans="8:9" x14ac:dyDescent="0.2">
      <c r="H416" s="321" t="s">
        <v>1413</v>
      </c>
      <c r="I416" s="321" t="s">
        <v>1147</v>
      </c>
    </row>
    <row r="417" spans="8:9" x14ac:dyDescent="0.2">
      <c r="H417" s="321" t="s">
        <v>718</v>
      </c>
      <c r="I417" s="321" t="s">
        <v>1148</v>
      </c>
    </row>
    <row r="418" spans="8:9" x14ac:dyDescent="0.2">
      <c r="H418" s="321" t="s">
        <v>722</v>
      </c>
      <c r="I418" s="321" t="s">
        <v>1416</v>
      </c>
    </row>
    <row r="419" spans="8:9" x14ac:dyDescent="0.2">
      <c r="H419" s="321" t="s">
        <v>1414</v>
      </c>
      <c r="I419" s="321" t="s">
        <v>1416</v>
      </c>
    </row>
    <row r="420" spans="8:9" x14ac:dyDescent="0.2">
      <c r="H420" s="321" t="s">
        <v>1415</v>
      </c>
      <c r="I420" s="321" t="s">
        <v>1416</v>
      </c>
    </row>
    <row r="421" spans="8:9" x14ac:dyDescent="0.2">
      <c r="H421" s="321" t="s">
        <v>1417</v>
      </c>
      <c r="I421" s="321" t="s">
        <v>1148</v>
      </c>
    </row>
    <row r="422" spans="8:9" x14ac:dyDescent="0.2">
      <c r="H422" s="321" t="s">
        <v>1418</v>
      </c>
      <c r="I422" s="321" t="s">
        <v>1147</v>
      </c>
    </row>
    <row r="423" spans="8:9" x14ac:dyDescent="0.2">
      <c r="H423" s="321" t="s">
        <v>525</v>
      </c>
      <c r="I423" s="321" t="s">
        <v>1147</v>
      </c>
    </row>
    <row r="424" spans="8:9" x14ac:dyDescent="0.2">
      <c r="H424" s="321" t="s">
        <v>1419</v>
      </c>
      <c r="I424" s="321" t="s">
        <v>1147</v>
      </c>
    </row>
    <row r="425" spans="8:9" x14ac:dyDescent="0.2">
      <c r="H425" s="321" t="s">
        <v>1420</v>
      </c>
      <c r="I425" s="321" t="s">
        <v>1147</v>
      </c>
    </row>
    <row r="426" spans="8:9" x14ac:dyDescent="0.2">
      <c r="H426" s="321" t="s">
        <v>1421</v>
      </c>
      <c r="I426" s="321" t="s">
        <v>1147</v>
      </c>
    </row>
    <row r="427" spans="8:9" x14ac:dyDescent="0.2">
      <c r="H427" s="321" t="s">
        <v>738</v>
      </c>
      <c r="I427" s="321" t="s">
        <v>1147</v>
      </c>
    </row>
    <row r="428" spans="8:9" x14ac:dyDescent="0.2">
      <c r="H428" s="321" t="s">
        <v>731</v>
      </c>
      <c r="I428" s="321" t="s">
        <v>1147</v>
      </c>
    </row>
    <row r="429" spans="8:9" x14ac:dyDescent="0.2">
      <c r="H429" s="321" t="s">
        <v>736</v>
      </c>
      <c r="I429" s="321" t="s">
        <v>1147</v>
      </c>
    </row>
    <row r="430" spans="8:9" x14ac:dyDescent="0.2">
      <c r="H430" s="321" t="s">
        <v>735</v>
      </c>
      <c r="I430" s="321" t="s">
        <v>1147</v>
      </c>
    </row>
    <row r="431" spans="8:9" x14ac:dyDescent="0.2">
      <c r="H431" s="321" t="s">
        <v>734</v>
      </c>
      <c r="I431" s="321" t="s">
        <v>1147</v>
      </c>
    </row>
    <row r="432" spans="8:9" x14ac:dyDescent="0.2">
      <c r="H432" s="321" t="s">
        <v>737</v>
      </c>
      <c r="I432" s="321" t="s">
        <v>1147</v>
      </c>
    </row>
    <row r="433" spans="8:9" x14ac:dyDescent="0.2">
      <c r="H433" s="321" t="s">
        <v>1141</v>
      </c>
      <c r="I433" s="321" t="s">
        <v>1147</v>
      </c>
    </row>
    <row r="434" spans="8:9" x14ac:dyDescent="0.2">
      <c r="H434" s="321" t="s">
        <v>1142</v>
      </c>
      <c r="I434" s="321" t="s">
        <v>1147</v>
      </c>
    </row>
    <row r="435" spans="8:9" x14ac:dyDescent="0.2">
      <c r="H435" s="321" t="s">
        <v>1143</v>
      </c>
      <c r="I435" s="321" t="s">
        <v>1147</v>
      </c>
    </row>
    <row r="436" spans="8:9" x14ac:dyDescent="0.2">
      <c r="H436" s="321" t="s">
        <v>743</v>
      </c>
      <c r="I436" s="321" t="s">
        <v>1147</v>
      </c>
    </row>
    <row r="437" spans="8:9" x14ac:dyDescent="0.2">
      <c r="H437" s="321" t="s">
        <v>741</v>
      </c>
      <c r="I437" s="321" t="s">
        <v>1147</v>
      </c>
    </row>
    <row r="438" spans="8:9" x14ac:dyDescent="0.2">
      <c r="H438" s="321" t="s">
        <v>752</v>
      </c>
      <c r="I438" s="321" t="s">
        <v>1147</v>
      </c>
    </row>
    <row r="439" spans="8:9" x14ac:dyDescent="0.2">
      <c r="H439" s="321" t="s">
        <v>749</v>
      </c>
      <c r="I439" s="321" t="s">
        <v>1147</v>
      </c>
    </row>
    <row r="440" spans="8:9" x14ac:dyDescent="0.2">
      <c r="H440" s="321" t="s">
        <v>747</v>
      </c>
      <c r="I440" s="321" t="s">
        <v>1147</v>
      </c>
    </row>
    <row r="441" spans="8:9" x14ac:dyDescent="0.2">
      <c r="H441" s="321" t="s">
        <v>754</v>
      </c>
      <c r="I441" s="321" t="s">
        <v>1147</v>
      </c>
    </row>
    <row r="442" spans="8:9" x14ac:dyDescent="0.2">
      <c r="H442" s="321" t="s">
        <v>1422</v>
      </c>
      <c r="I442" s="321" t="s">
        <v>1147</v>
      </c>
    </row>
    <row r="443" spans="8:9" x14ac:dyDescent="0.2">
      <c r="H443" s="321" t="s">
        <v>1423</v>
      </c>
      <c r="I443" s="321" t="s">
        <v>1147</v>
      </c>
    </row>
    <row r="444" spans="8:9" x14ac:dyDescent="0.2">
      <c r="H444" s="321" t="s">
        <v>1424</v>
      </c>
      <c r="I444" s="321" t="s">
        <v>1147</v>
      </c>
    </row>
    <row r="445" spans="8:9" x14ac:dyDescent="0.2">
      <c r="H445" s="321" t="s">
        <v>767</v>
      </c>
      <c r="I445" s="321" t="s">
        <v>1147</v>
      </c>
    </row>
    <row r="446" spans="8:9" x14ac:dyDescent="0.2">
      <c r="H446" s="321" t="s">
        <v>759</v>
      </c>
      <c r="I446" s="321" t="s">
        <v>1147</v>
      </c>
    </row>
    <row r="447" spans="8:9" x14ac:dyDescent="0.2">
      <c r="H447" s="321" t="s">
        <v>762</v>
      </c>
      <c r="I447" s="321" t="s">
        <v>1147</v>
      </c>
    </row>
    <row r="448" spans="8:9" x14ac:dyDescent="0.2">
      <c r="H448" s="321" t="s">
        <v>757</v>
      </c>
      <c r="I448" s="321" t="s">
        <v>1147</v>
      </c>
    </row>
    <row r="449" spans="8:9" x14ac:dyDescent="0.2">
      <c r="H449" s="321" t="s">
        <v>764</v>
      </c>
      <c r="I449" s="321" t="s">
        <v>1147</v>
      </c>
    </row>
    <row r="450" spans="8:9" x14ac:dyDescent="0.2">
      <c r="H450" s="321" t="s">
        <v>1425</v>
      </c>
      <c r="I450" s="321" t="s">
        <v>1147</v>
      </c>
    </row>
    <row r="451" spans="8:9" x14ac:dyDescent="0.2">
      <c r="H451" s="321" t="s">
        <v>1426</v>
      </c>
      <c r="I451" s="321" t="s">
        <v>1147</v>
      </c>
    </row>
    <row r="452" spans="8:9" x14ac:dyDescent="0.2">
      <c r="H452" s="321" t="s">
        <v>1427</v>
      </c>
      <c r="I452" s="321" t="s">
        <v>1147</v>
      </c>
    </row>
    <row r="453" spans="8:9" x14ac:dyDescent="0.2">
      <c r="H453" s="321" t="s">
        <v>1428</v>
      </c>
      <c r="I453" s="321" t="s">
        <v>1147</v>
      </c>
    </row>
    <row r="454" spans="8:9" x14ac:dyDescent="0.2">
      <c r="H454" s="321" t="s">
        <v>1429</v>
      </c>
      <c r="I454" s="321" t="s">
        <v>1147</v>
      </c>
    </row>
    <row r="455" spans="8:9" x14ac:dyDescent="0.2">
      <c r="H455" s="321" t="s">
        <v>1430</v>
      </c>
      <c r="I455" s="321" t="s">
        <v>1147</v>
      </c>
    </row>
    <row r="456" spans="8:9" x14ac:dyDescent="0.2">
      <c r="H456" s="321" t="s">
        <v>787</v>
      </c>
      <c r="I456" s="321" t="s">
        <v>1147</v>
      </c>
    </row>
    <row r="457" spans="8:9" x14ac:dyDescent="0.2">
      <c r="H457" s="321" t="s">
        <v>798</v>
      </c>
      <c r="I457" s="321" t="s">
        <v>1147</v>
      </c>
    </row>
    <row r="458" spans="8:9" x14ac:dyDescent="0.2">
      <c r="H458" s="321" t="s">
        <v>795</v>
      </c>
      <c r="I458" s="321" t="s">
        <v>1147</v>
      </c>
    </row>
    <row r="459" spans="8:9" x14ac:dyDescent="0.2">
      <c r="H459" s="321" t="s">
        <v>792</v>
      </c>
      <c r="I459" s="321" t="s">
        <v>1147</v>
      </c>
    </row>
    <row r="460" spans="8:9" x14ac:dyDescent="0.2">
      <c r="H460" s="321" t="s">
        <v>789</v>
      </c>
      <c r="I460" s="321" t="s">
        <v>1147</v>
      </c>
    </row>
    <row r="461" spans="8:9" x14ac:dyDescent="0.2">
      <c r="H461" s="321" t="s">
        <v>1431</v>
      </c>
      <c r="I461" s="321" t="s">
        <v>1147</v>
      </c>
    </row>
    <row r="462" spans="8:9" x14ac:dyDescent="0.2">
      <c r="H462" s="321" t="s">
        <v>1432</v>
      </c>
      <c r="I462" s="321" t="s">
        <v>1147</v>
      </c>
    </row>
    <row r="463" spans="8:9" x14ac:dyDescent="0.2">
      <c r="H463" s="321" t="s">
        <v>1433</v>
      </c>
      <c r="I463" s="321" t="s">
        <v>1147</v>
      </c>
    </row>
    <row r="464" spans="8:9" x14ac:dyDescent="0.2">
      <c r="H464" s="321" t="s">
        <v>770</v>
      </c>
      <c r="I464" s="321" t="s">
        <v>1147</v>
      </c>
    </row>
    <row r="465" spans="8:9" x14ac:dyDescent="0.2">
      <c r="H465" s="321" t="s">
        <v>773</v>
      </c>
      <c r="I465" s="321" t="s">
        <v>1147</v>
      </c>
    </row>
    <row r="466" spans="8:9" x14ac:dyDescent="0.2">
      <c r="H466" s="321" t="s">
        <v>801</v>
      </c>
      <c r="I466" s="321" t="s">
        <v>1147</v>
      </c>
    </row>
    <row r="467" spans="8:9" x14ac:dyDescent="0.2">
      <c r="H467" s="321" t="s">
        <v>776</v>
      </c>
      <c r="I467" s="321" t="s">
        <v>1147</v>
      </c>
    </row>
    <row r="468" spans="8:9" x14ac:dyDescent="0.2">
      <c r="H468" s="321" t="s">
        <v>784</v>
      </c>
      <c r="I468" s="321" t="s">
        <v>1147</v>
      </c>
    </row>
    <row r="469" spans="8:9" x14ac:dyDescent="0.2">
      <c r="H469" s="321" t="s">
        <v>780</v>
      </c>
      <c r="I469" s="321" t="s">
        <v>1147</v>
      </c>
    </row>
    <row r="470" spans="8:9" x14ac:dyDescent="0.2">
      <c r="H470" s="321" t="s">
        <v>782</v>
      </c>
      <c r="I470" s="321" t="s">
        <v>1147</v>
      </c>
    </row>
    <row r="471" spans="8:9" x14ac:dyDescent="0.2">
      <c r="H471" s="321" t="s">
        <v>778</v>
      </c>
      <c r="I471" s="321" t="s">
        <v>1147</v>
      </c>
    </row>
    <row r="472" spans="8:9" x14ac:dyDescent="0.2">
      <c r="H472" s="321" t="s">
        <v>770</v>
      </c>
      <c r="I472" s="321" t="s">
        <v>1147</v>
      </c>
    </row>
    <row r="473" spans="8:9" x14ac:dyDescent="0.2">
      <c r="H473" s="321" t="s">
        <v>773</v>
      </c>
      <c r="I473" s="321" t="s">
        <v>1147</v>
      </c>
    </row>
    <row r="474" spans="8:9" x14ac:dyDescent="0.2">
      <c r="H474" s="321" t="s">
        <v>1434</v>
      </c>
      <c r="I474" s="321" t="s">
        <v>1147</v>
      </c>
    </row>
    <row r="475" spans="8:9" x14ac:dyDescent="0.2">
      <c r="H475" s="321" t="s">
        <v>1435</v>
      </c>
      <c r="I475" s="321" t="s">
        <v>1147</v>
      </c>
    </row>
    <row r="476" spans="8:9" x14ac:dyDescent="0.2">
      <c r="H476" s="321" t="s">
        <v>1436</v>
      </c>
      <c r="I476" s="321" t="s">
        <v>1147</v>
      </c>
    </row>
    <row r="477" spans="8:9" x14ac:dyDescent="0.2">
      <c r="H477" s="321" t="s">
        <v>1437</v>
      </c>
      <c r="I477" s="321" t="s">
        <v>1147</v>
      </c>
    </row>
    <row r="478" spans="8:9" x14ac:dyDescent="0.2">
      <c r="H478" s="321" t="s">
        <v>1438</v>
      </c>
      <c r="I478" s="321" t="s">
        <v>1147</v>
      </c>
    </row>
    <row r="479" spans="8:9" x14ac:dyDescent="0.2">
      <c r="H479" s="321" t="s">
        <v>1439</v>
      </c>
      <c r="I479" s="321" t="s">
        <v>1147</v>
      </c>
    </row>
    <row r="480" spans="8:9" x14ac:dyDescent="0.2">
      <c r="H480" s="321" t="s">
        <v>1440</v>
      </c>
      <c r="I480" s="321" t="s">
        <v>1147</v>
      </c>
    </row>
    <row r="481" spans="8:9" x14ac:dyDescent="0.2">
      <c r="H481" s="321" t="s">
        <v>1441</v>
      </c>
      <c r="I481" s="321" t="s">
        <v>1147</v>
      </c>
    </row>
    <row r="482" spans="8:9" x14ac:dyDescent="0.2">
      <c r="H482" s="321" t="s">
        <v>1442</v>
      </c>
      <c r="I482" s="321" t="s">
        <v>1147</v>
      </c>
    </row>
    <row r="483" spans="8:9" x14ac:dyDescent="0.2">
      <c r="H483" s="321" t="s">
        <v>1443</v>
      </c>
      <c r="I483" s="321" t="s">
        <v>1147</v>
      </c>
    </row>
    <row r="484" spans="8:9" x14ac:dyDescent="0.2">
      <c r="H484" s="321" t="s">
        <v>1444</v>
      </c>
      <c r="I484" s="321" t="s">
        <v>1147</v>
      </c>
    </row>
    <row r="485" spans="8:9" x14ac:dyDescent="0.2">
      <c r="H485" s="321" t="s">
        <v>1445</v>
      </c>
      <c r="I485" s="321" t="s">
        <v>1147</v>
      </c>
    </row>
    <row r="486" spans="8:9" x14ac:dyDescent="0.2">
      <c r="H486" s="321" t="s">
        <v>1446</v>
      </c>
      <c r="I486" s="321" t="s">
        <v>1147</v>
      </c>
    </row>
    <row r="487" spans="8:9" x14ac:dyDescent="0.2">
      <c r="H487" s="321" t="s">
        <v>1447</v>
      </c>
      <c r="I487" s="321" t="s">
        <v>1147</v>
      </c>
    </row>
    <row r="488" spans="8:9" x14ac:dyDescent="0.2">
      <c r="H488" s="321" t="s">
        <v>1448</v>
      </c>
      <c r="I488" s="321" t="s">
        <v>1147</v>
      </c>
    </row>
    <row r="489" spans="8:9" x14ac:dyDescent="0.2">
      <c r="H489" s="321" t="s">
        <v>812</v>
      </c>
      <c r="I489" s="321" t="s">
        <v>1147</v>
      </c>
    </row>
    <row r="490" spans="8:9" x14ac:dyDescent="0.2">
      <c r="H490" s="321" t="s">
        <v>814</v>
      </c>
      <c r="I490" s="321" t="s">
        <v>1147</v>
      </c>
    </row>
    <row r="491" spans="8:9" x14ac:dyDescent="0.2">
      <c r="H491" s="321" t="s">
        <v>816</v>
      </c>
      <c r="I491" s="321" t="s">
        <v>1147</v>
      </c>
    </row>
    <row r="492" spans="8:9" x14ac:dyDescent="0.2">
      <c r="H492" s="321" t="s">
        <v>807</v>
      </c>
      <c r="I492" s="321" t="s">
        <v>1147</v>
      </c>
    </row>
    <row r="493" spans="8:9" x14ac:dyDescent="0.2">
      <c r="H493" s="321" t="s">
        <v>1449</v>
      </c>
      <c r="I493" s="321" t="s">
        <v>1147</v>
      </c>
    </row>
    <row r="494" spans="8:9" x14ac:dyDescent="0.2">
      <c r="H494" s="321" t="s">
        <v>1450</v>
      </c>
      <c r="I494" s="321" t="s">
        <v>1147</v>
      </c>
    </row>
    <row r="495" spans="8:9" x14ac:dyDescent="0.2">
      <c r="H495" s="321" t="s">
        <v>1451</v>
      </c>
      <c r="I495" s="321" t="s">
        <v>1147</v>
      </c>
    </row>
    <row r="496" spans="8:9" x14ac:dyDescent="0.2">
      <c r="H496" s="321" t="s">
        <v>1452</v>
      </c>
      <c r="I496" s="321" t="s">
        <v>1147</v>
      </c>
    </row>
    <row r="497" spans="8:9" x14ac:dyDescent="0.2">
      <c r="H497" s="321" t="s">
        <v>1453</v>
      </c>
      <c r="I497" s="321" t="s">
        <v>1147</v>
      </c>
    </row>
    <row r="498" spans="8:9" x14ac:dyDescent="0.2">
      <c r="H498" s="321" t="s">
        <v>1454</v>
      </c>
      <c r="I498" s="321" t="s">
        <v>1147</v>
      </c>
    </row>
    <row r="499" spans="8:9" x14ac:dyDescent="0.2">
      <c r="H499" s="321" t="s">
        <v>1455</v>
      </c>
      <c r="I499" s="321" t="s">
        <v>1147</v>
      </c>
    </row>
    <row r="500" spans="8:9" x14ac:dyDescent="0.2">
      <c r="H500" s="321" t="s">
        <v>1456</v>
      </c>
      <c r="I500" s="321" t="s">
        <v>1148</v>
      </c>
    </row>
    <row r="501" spans="8:9" x14ac:dyDescent="0.2">
      <c r="H501" s="321" t="s">
        <v>1457</v>
      </c>
      <c r="I501" s="321" t="s">
        <v>1148</v>
      </c>
    </row>
    <row r="502" spans="8:9" x14ac:dyDescent="0.2">
      <c r="H502" s="321" t="s">
        <v>1458</v>
      </c>
      <c r="I502" s="321" t="s">
        <v>1148</v>
      </c>
    </row>
    <row r="503" spans="8:9" x14ac:dyDescent="0.2">
      <c r="H503" s="321" t="s">
        <v>1459</v>
      </c>
      <c r="I503" s="321" t="s">
        <v>1148</v>
      </c>
    </row>
    <row r="504" spans="8:9" x14ac:dyDescent="0.2">
      <c r="H504" s="321" t="s">
        <v>1460</v>
      </c>
      <c r="I504" s="321" t="s">
        <v>1148</v>
      </c>
    </row>
    <row r="505" spans="8:9" x14ac:dyDescent="0.2">
      <c r="H505" s="321" t="s">
        <v>836</v>
      </c>
      <c r="I505" s="321" t="s">
        <v>1148</v>
      </c>
    </row>
    <row r="506" spans="8:9" x14ac:dyDescent="0.2">
      <c r="H506" s="321" t="s">
        <v>838</v>
      </c>
      <c r="I506" s="321" t="s">
        <v>1148</v>
      </c>
    </row>
    <row r="507" spans="8:9" x14ac:dyDescent="0.2">
      <c r="H507" s="321" t="s">
        <v>1461</v>
      </c>
      <c r="I507" s="321" t="s">
        <v>1148</v>
      </c>
    </row>
    <row r="508" spans="8:9" x14ac:dyDescent="0.2">
      <c r="H508" s="321" t="s">
        <v>1462</v>
      </c>
      <c r="I508" s="321" t="s">
        <v>1147</v>
      </c>
    </row>
    <row r="509" spans="8:9" x14ac:dyDescent="0.2">
      <c r="H509" s="321" t="s">
        <v>1463</v>
      </c>
      <c r="I509" s="321" t="s">
        <v>1147</v>
      </c>
    </row>
    <row r="510" spans="8:9" x14ac:dyDescent="0.2">
      <c r="H510" s="321" t="s">
        <v>1464</v>
      </c>
      <c r="I510" s="321" t="s">
        <v>1147</v>
      </c>
    </row>
    <row r="511" spans="8:9" x14ac:dyDescent="0.2">
      <c r="H511" s="321" t="s">
        <v>1465</v>
      </c>
      <c r="I511" s="321" t="s">
        <v>1147</v>
      </c>
    </row>
    <row r="512" spans="8:9" x14ac:dyDescent="0.2">
      <c r="H512" s="321" t="s">
        <v>1466</v>
      </c>
      <c r="I512" s="321" t="s">
        <v>1147</v>
      </c>
    </row>
    <row r="513" spans="8:9" x14ac:dyDescent="0.2">
      <c r="H513" s="321" t="s">
        <v>1467</v>
      </c>
      <c r="I513" s="321" t="s">
        <v>1147</v>
      </c>
    </row>
    <row r="514" spans="8:9" x14ac:dyDescent="0.2">
      <c r="H514" s="321" t="s">
        <v>822</v>
      </c>
      <c r="I514" s="321" t="s">
        <v>1147</v>
      </c>
    </row>
    <row r="515" spans="8:9" x14ac:dyDescent="0.2">
      <c r="H515" s="321" t="s">
        <v>826</v>
      </c>
      <c r="I515" s="321" t="s">
        <v>1147</v>
      </c>
    </row>
    <row r="516" spans="8:9" x14ac:dyDescent="0.2">
      <c r="H516" s="321" t="s">
        <v>825</v>
      </c>
      <c r="I516" s="321" t="s">
        <v>1147</v>
      </c>
    </row>
    <row r="517" spans="8:9" x14ac:dyDescent="0.2">
      <c r="H517" s="321" t="s">
        <v>819</v>
      </c>
      <c r="I517" s="321" t="s">
        <v>1147</v>
      </c>
    </row>
    <row r="518" spans="8:9" x14ac:dyDescent="0.2">
      <c r="H518" s="321" t="s">
        <v>820</v>
      </c>
      <c r="I518" s="321" t="s">
        <v>1147</v>
      </c>
    </row>
    <row r="519" spans="8:9" x14ac:dyDescent="0.2">
      <c r="H519" s="321" t="s">
        <v>818</v>
      </c>
      <c r="I519" s="321" t="s">
        <v>1147</v>
      </c>
    </row>
    <row r="520" spans="8:9" x14ac:dyDescent="0.2">
      <c r="H520" s="321" t="s">
        <v>821</v>
      </c>
      <c r="I520" s="321" t="s">
        <v>1147</v>
      </c>
    </row>
    <row r="521" spans="8:9" x14ac:dyDescent="0.2">
      <c r="H521" s="321" t="s">
        <v>844</v>
      </c>
      <c r="I521" s="321" t="s">
        <v>1147</v>
      </c>
    </row>
    <row r="522" spans="8:9" x14ac:dyDescent="0.2">
      <c r="H522" s="321" t="s">
        <v>846</v>
      </c>
      <c r="I522" s="321" t="s">
        <v>1147</v>
      </c>
    </row>
    <row r="523" spans="8:9" x14ac:dyDescent="0.2">
      <c r="H523" s="321" t="s">
        <v>828</v>
      </c>
      <c r="I523" s="321" t="s">
        <v>1147</v>
      </c>
    </row>
    <row r="524" spans="8:9" x14ac:dyDescent="0.2">
      <c r="H524" s="321" t="s">
        <v>849</v>
      </c>
      <c r="I524" s="321" t="s">
        <v>1147</v>
      </c>
    </row>
    <row r="525" spans="8:9" x14ac:dyDescent="0.2">
      <c r="H525" s="321" t="s">
        <v>832</v>
      </c>
      <c r="I525" s="321" t="s">
        <v>1158</v>
      </c>
    </row>
    <row r="526" spans="8:9" x14ac:dyDescent="0.2">
      <c r="H526" s="321" t="s">
        <v>1468</v>
      </c>
      <c r="I526" s="321" t="s">
        <v>1214</v>
      </c>
    </row>
    <row r="527" spans="8:9" x14ac:dyDescent="0.2">
      <c r="H527" s="321" t="s">
        <v>1469</v>
      </c>
      <c r="I527" s="321" t="s">
        <v>1147</v>
      </c>
    </row>
    <row r="528" spans="8:9" x14ac:dyDescent="0.2">
      <c r="H528" s="321" t="s">
        <v>1470</v>
      </c>
      <c r="I528" s="321" t="s">
        <v>1147</v>
      </c>
    </row>
    <row r="529" spans="8:9" x14ac:dyDescent="0.2">
      <c r="H529" s="321" t="s">
        <v>861</v>
      </c>
      <c r="I529" s="321" t="s">
        <v>1147</v>
      </c>
    </row>
    <row r="530" spans="8:9" x14ac:dyDescent="0.2">
      <c r="H530" s="321" t="s">
        <v>863</v>
      </c>
      <c r="I530" s="321" t="s">
        <v>1147</v>
      </c>
    </row>
    <row r="531" spans="8:9" x14ac:dyDescent="0.2">
      <c r="H531" s="321" t="s">
        <v>865</v>
      </c>
      <c r="I531" s="321" t="s">
        <v>1147</v>
      </c>
    </row>
    <row r="532" spans="8:9" x14ac:dyDescent="0.2">
      <c r="H532" s="321" t="s">
        <v>858</v>
      </c>
      <c r="I532" s="321" t="s">
        <v>1147</v>
      </c>
    </row>
    <row r="533" spans="8:9" x14ac:dyDescent="0.2">
      <c r="H533" s="321" t="s">
        <v>852</v>
      </c>
      <c r="I533" s="321" t="s">
        <v>1147</v>
      </c>
    </row>
    <row r="534" spans="8:9" x14ac:dyDescent="0.2">
      <c r="H534" s="321" t="s">
        <v>855</v>
      </c>
      <c r="I534" s="321" t="s">
        <v>1147</v>
      </c>
    </row>
    <row r="535" spans="8:9" x14ac:dyDescent="0.2">
      <c r="H535" s="321" t="s">
        <v>857</v>
      </c>
      <c r="I535" s="321" t="s">
        <v>1147</v>
      </c>
    </row>
    <row r="536" spans="8:9" x14ac:dyDescent="0.2">
      <c r="H536" s="321" t="s">
        <v>856</v>
      </c>
      <c r="I536" s="321" t="s">
        <v>1147</v>
      </c>
    </row>
    <row r="537" spans="8:9" x14ac:dyDescent="0.2">
      <c r="H537" s="321" t="s">
        <v>854</v>
      </c>
      <c r="I537" s="321" t="s">
        <v>1472</v>
      </c>
    </row>
    <row r="538" spans="8:9" x14ac:dyDescent="0.2">
      <c r="H538" s="321" t="s">
        <v>841</v>
      </c>
      <c r="I538" s="321" t="s">
        <v>1472</v>
      </c>
    </row>
    <row r="539" spans="8:9" x14ac:dyDescent="0.2">
      <c r="H539" s="321" t="s">
        <v>1471</v>
      </c>
      <c r="I539" s="321" t="s">
        <v>1472</v>
      </c>
    </row>
    <row r="540" spans="8:9" x14ac:dyDescent="0.2">
      <c r="H540" s="321" t="s">
        <v>1473</v>
      </c>
      <c r="I540" s="321" t="s">
        <v>1472</v>
      </c>
    </row>
    <row r="541" spans="8:9" x14ac:dyDescent="0.2">
      <c r="H541" s="321" t="s">
        <v>1474</v>
      </c>
      <c r="I541" s="321" t="s">
        <v>1147</v>
      </c>
    </row>
    <row r="542" spans="8:9" x14ac:dyDescent="0.2">
      <c r="H542" s="321" t="s">
        <v>1475</v>
      </c>
      <c r="I542" s="321" t="s">
        <v>1147</v>
      </c>
    </row>
    <row r="543" spans="8:9" x14ac:dyDescent="0.2">
      <c r="H543" s="321" t="s">
        <v>1476</v>
      </c>
      <c r="I543" s="321" t="s">
        <v>1147</v>
      </c>
    </row>
    <row r="544" spans="8:9" x14ac:dyDescent="0.2">
      <c r="H544" s="321" t="s">
        <v>1476</v>
      </c>
      <c r="I544" s="321" t="s">
        <v>1147</v>
      </c>
    </row>
    <row r="545" spans="8:9" x14ac:dyDescent="0.2">
      <c r="H545" s="321" t="s">
        <v>872</v>
      </c>
      <c r="I545" s="321" t="s">
        <v>1147</v>
      </c>
    </row>
    <row r="546" spans="8:9" x14ac:dyDescent="0.2">
      <c r="H546" s="321" t="s">
        <v>869</v>
      </c>
      <c r="I546" s="321" t="s">
        <v>1147</v>
      </c>
    </row>
    <row r="547" spans="8:9" x14ac:dyDescent="0.2">
      <c r="H547" s="321" t="s">
        <v>878</v>
      </c>
      <c r="I547" s="321" t="s">
        <v>1147</v>
      </c>
    </row>
    <row r="548" spans="8:9" x14ac:dyDescent="0.2">
      <c r="H548" s="321" t="s">
        <v>1145</v>
      </c>
      <c r="I548" s="321" t="s">
        <v>1147</v>
      </c>
    </row>
    <row r="549" spans="8:9" x14ac:dyDescent="0.2">
      <c r="H549" s="321" t="s">
        <v>879</v>
      </c>
      <c r="I549" s="321" t="s">
        <v>1148</v>
      </c>
    </row>
    <row r="550" spans="8:9" x14ac:dyDescent="0.2">
      <c r="H550" s="321" t="s">
        <v>875</v>
      </c>
      <c r="I550" s="321" t="s">
        <v>1148</v>
      </c>
    </row>
    <row r="551" spans="8:9" x14ac:dyDescent="0.2">
      <c r="H551" s="321" t="s">
        <v>1477</v>
      </c>
      <c r="I551" s="321" t="s">
        <v>1148</v>
      </c>
    </row>
    <row r="552" spans="8:9" x14ac:dyDescent="0.2">
      <c r="H552" s="321" t="s">
        <v>882</v>
      </c>
      <c r="I552" s="321" t="s">
        <v>1147</v>
      </c>
    </row>
    <row r="553" spans="8:9" x14ac:dyDescent="0.2">
      <c r="H553" s="321" t="s">
        <v>880</v>
      </c>
      <c r="I553" s="321" t="s">
        <v>1147</v>
      </c>
    </row>
    <row r="554" spans="8:9" x14ac:dyDescent="0.2">
      <c r="H554" s="321" t="s">
        <v>888</v>
      </c>
      <c r="I554" s="321" t="s">
        <v>1147</v>
      </c>
    </row>
    <row r="555" spans="8:9" x14ac:dyDescent="0.2">
      <c r="H555" s="321" t="s">
        <v>890</v>
      </c>
      <c r="I555" s="321" t="s">
        <v>1147</v>
      </c>
    </row>
    <row r="556" spans="8:9" x14ac:dyDescent="0.2">
      <c r="H556" s="321" t="s">
        <v>895</v>
      </c>
      <c r="I556" s="321" t="s">
        <v>1147</v>
      </c>
    </row>
    <row r="557" spans="8:9" x14ac:dyDescent="0.2">
      <c r="H557" s="321" t="s">
        <v>898</v>
      </c>
      <c r="I557" s="321" t="s">
        <v>1147</v>
      </c>
    </row>
    <row r="558" spans="8:9" x14ac:dyDescent="0.2">
      <c r="H558" s="321" t="s">
        <v>880</v>
      </c>
      <c r="I558" s="321" t="s">
        <v>1147</v>
      </c>
    </row>
    <row r="559" spans="8:9" x14ac:dyDescent="0.2">
      <c r="H559" s="321" t="s">
        <v>892</v>
      </c>
      <c r="I559" s="321" t="s">
        <v>1147</v>
      </c>
    </row>
    <row r="560" spans="8:9" x14ac:dyDescent="0.2">
      <c r="H560" s="321" t="s">
        <v>885</v>
      </c>
      <c r="I560" s="321" t="s">
        <v>1147</v>
      </c>
    </row>
    <row r="561" spans="8:9" x14ac:dyDescent="0.2">
      <c r="H561" s="321" t="s">
        <v>901</v>
      </c>
      <c r="I561" s="321" t="s">
        <v>1147</v>
      </c>
    </row>
    <row r="562" spans="8:9" x14ac:dyDescent="0.2">
      <c r="H562" s="321" t="s">
        <v>903</v>
      </c>
      <c r="I562" s="321" t="s">
        <v>1147</v>
      </c>
    </row>
    <row r="563" spans="8:9" x14ac:dyDescent="0.2">
      <c r="H563" s="321" t="s">
        <v>1478</v>
      </c>
      <c r="I563" s="321" t="s">
        <v>1147</v>
      </c>
    </row>
    <row r="564" spans="8:9" x14ac:dyDescent="0.2">
      <c r="H564" s="321" t="s">
        <v>1479</v>
      </c>
      <c r="I564" s="321" t="s">
        <v>1147</v>
      </c>
    </row>
    <row r="565" spans="8:9" x14ac:dyDescent="0.2">
      <c r="H565" s="321" t="s">
        <v>1480</v>
      </c>
      <c r="I565" s="321" t="s">
        <v>1147</v>
      </c>
    </row>
    <row r="566" spans="8:9" x14ac:dyDescent="0.2">
      <c r="H566" s="321" t="s">
        <v>1481</v>
      </c>
      <c r="I566" s="321" t="s">
        <v>1147</v>
      </c>
    </row>
    <row r="567" spans="8:9" x14ac:dyDescent="0.2">
      <c r="H567" s="321" t="s">
        <v>1482</v>
      </c>
      <c r="I567" s="321" t="s">
        <v>1147</v>
      </c>
    </row>
    <row r="568" spans="8:9" x14ac:dyDescent="0.2">
      <c r="H568" s="321" t="s">
        <v>915</v>
      </c>
      <c r="I568" s="321" t="s">
        <v>1147</v>
      </c>
    </row>
    <row r="569" spans="8:9" x14ac:dyDescent="0.2">
      <c r="H569" s="321" t="s">
        <v>917</v>
      </c>
      <c r="I569" s="321" t="s">
        <v>1147</v>
      </c>
    </row>
    <row r="570" spans="8:9" x14ac:dyDescent="0.2">
      <c r="H570" s="321" t="s">
        <v>910</v>
      </c>
      <c r="I570" s="321" t="s">
        <v>1147</v>
      </c>
    </row>
    <row r="571" spans="8:9" x14ac:dyDescent="0.2">
      <c r="H571" s="321" t="s">
        <v>912</v>
      </c>
      <c r="I571" s="321" t="s">
        <v>1147</v>
      </c>
    </row>
    <row r="572" spans="8:9" x14ac:dyDescent="0.2">
      <c r="H572" s="321" t="s">
        <v>1483</v>
      </c>
      <c r="I572" s="321" t="s">
        <v>1147</v>
      </c>
    </row>
    <row r="573" spans="8:9" x14ac:dyDescent="0.2">
      <c r="H573" s="321" t="s">
        <v>906</v>
      </c>
      <c r="I573" s="321" t="s">
        <v>1147</v>
      </c>
    </row>
    <row r="574" spans="8:9" x14ac:dyDescent="0.2">
      <c r="H574" s="321" t="s">
        <v>1484</v>
      </c>
      <c r="I574" s="321" t="s">
        <v>1147</v>
      </c>
    </row>
    <row r="575" spans="8:9" x14ac:dyDescent="0.2">
      <c r="H575" s="321" t="s">
        <v>1485</v>
      </c>
      <c r="I575" s="321" t="s">
        <v>1148</v>
      </c>
    </row>
    <row r="576" spans="8:9" x14ac:dyDescent="0.2">
      <c r="H576" s="321" t="s">
        <v>1486</v>
      </c>
      <c r="I576" s="321" t="s">
        <v>1147</v>
      </c>
    </row>
    <row r="577" spans="8:9" x14ac:dyDescent="0.2">
      <c r="H577" s="321" t="s">
        <v>1487</v>
      </c>
      <c r="I577" s="321" t="s">
        <v>1147</v>
      </c>
    </row>
    <row r="578" spans="8:9" x14ac:dyDescent="0.2">
      <c r="H578" s="321" t="s">
        <v>1488</v>
      </c>
      <c r="I578" s="321" t="s">
        <v>1147</v>
      </c>
    </row>
    <row r="579" spans="8:9" x14ac:dyDescent="0.2">
      <c r="H579" s="321" t="s">
        <v>1489</v>
      </c>
      <c r="I579" s="321" t="s">
        <v>1148</v>
      </c>
    </row>
    <row r="580" spans="8:9" x14ac:dyDescent="0.2">
      <c r="H580" s="321" t="s">
        <v>1490</v>
      </c>
      <c r="I580" s="321" t="s">
        <v>1148</v>
      </c>
    </row>
    <row r="581" spans="8:9" x14ac:dyDescent="0.2">
      <c r="H581" s="321" t="s">
        <v>933</v>
      </c>
      <c r="I581" s="321" t="s">
        <v>1148</v>
      </c>
    </row>
    <row r="582" spans="8:9" x14ac:dyDescent="0.2">
      <c r="H582" s="321" t="s">
        <v>935</v>
      </c>
      <c r="I582" s="321" t="s">
        <v>1148</v>
      </c>
    </row>
    <row r="583" spans="8:9" x14ac:dyDescent="0.2">
      <c r="H583" s="321" t="s">
        <v>931</v>
      </c>
      <c r="I583" s="321" t="s">
        <v>1148</v>
      </c>
    </row>
    <row r="584" spans="8:9" x14ac:dyDescent="0.2">
      <c r="H584" s="321" t="s">
        <v>926</v>
      </c>
      <c r="I584" s="321" t="s">
        <v>1147</v>
      </c>
    </row>
    <row r="585" spans="8:9" x14ac:dyDescent="0.2">
      <c r="H585" s="321" t="s">
        <v>892</v>
      </c>
      <c r="I585" s="321" t="s">
        <v>1147</v>
      </c>
    </row>
    <row r="586" spans="8:9" x14ac:dyDescent="0.2">
      <c r="H586" s="321" t="s">
        <v>939</v>
      </c>
      <c r="I586" s="321" t="s">
        <v>1147</v>
      </c>
    </row>
    <row r="587" spans="8:9" x14ac:dyDescent="0.2">
      <c r="H587" s="321" t="s">
        <v>942</v>
      </c>
      <c r="I587" s="321" t="s">
        <v>1147</v>
      </c>
    </row>
    <row r="588" spans="8:9" x14ac:dyDescent="0.2">
      <c r="H588" s="321" t="s">
        <v>945</v>
      </c>
      <c r="I588" s="321" t="s">
        <v>1147</v>
      </c>
    </row>
    <row r="589" spans="8:9" x14ac:dyDescent="0.2">
      <c r="H589" s="321" t="s">
        <v>947</v>
      </c>
      <c r="I589" s="321" t="s">
        <v>1147</v>
      </c>
    </row>
    <row r="590" spans="8:9" x14ac:dyDescent="0.2">
      <c r="H590" s="321" t="s">
        <v>1146</v>
      </c>
      <c r="I590" s="321" t="s">
        <v>1147</v>
      </c>
    </row>
    <row r="591" spans="8:9" x14ac:dyDescent="0.2">
      <c r="H591" s="321" t="s">
        <v>949</v>
      </c>
      <c r="I591" s="321" t="s">
        <v>1147</v>
      </c>
    </row>
    <row r="592" spans="8:9" x14ac:dyDescent="0.2">
      <c r="H592" s="321" t="s">
        <v>960</v>
      </c>
      <c r="I592" s="321" t="s">
        <v>1147</v>
      </c>
    </row>
    <row r="593" spans="8:9" x14ac:dyDescent="0.2">
      <c r="H593" s="321" t="s">
        <v>953</v>
      </c>
      <c r="I593" s="321" t="s">
        <v>1147</v>
      </c>
    </row>
    <row r="594" spans="8:9" x14ac:dyDescent="0.2">
      <c r="H594" s="321" t="s">
        <v>963</v>
      </c>
      <c r="I594" s="321" t="s">
        <v>1147</v>
      </c>
    </row>
    <row r="595" spans="8:9" x14ac:dyDescent="0.2">
      <c r="H595" s="321" t="s">
        <v>958</v>
      </c>
      <c r="I595" s="321" t="s">
        <v>1147</v>
      </c>
    </row>
    <row r="596" spans="8:9" x14ac:dyDescent="0.2">
      <c r="H596" s="321" t="s">
        <v>955</v>
      </c>
      <c r="I596" s="321" t="s">
        <v>1147</v>
      </c>
    </row>
    <row r="597" spans="8:9" x14ac:dyDescent="0.2">
      <c r="H597" s="321" t="s">
        <v>937</v>
      </c>
      <c r="I597" s="321" t="s">
        <v>1147</v>
      </c>
    </row>
    <row r="598" spans="8:9" x14ac:dyDescent="0.2">
      <c r="H598" s="321" t="s">
        <v>920</v>
      </c>
      <c r="I598" s="321" t="s">
        <v>1147</v>
      </c>
    </row>
    <row r="599" spans="8:9" x14ac:dyDescent="0.2">
      <c r="H599" s="321" t="s">
        <v>924</v>
      </c>
      <c r="I599" s="321" t="s">
        <v>1147</v>
      </c>
    </row>
    <row r="600" spans="8:9" x14ac:dyDescent="0.2">
      <c r="H600" s="321" t="s">
        <v>922</v>
      </c>
      <c r="I600" s="321" t="s">
        <v>1147</v>
      </c>
    </row>
    <row r="601" spans="8:9" x14ac:dyDescent="0.2">
      <c r="H601" s="321" t="s">
        <v>965</v>
      </c>
      <c r="I601" s="321" t="s">
        <v>1147</v>
      </c>
    </row>
    <row r="602" spans="8:9" x14ac:dyDescent="0.2">
      <c r="H602" s="321" t="s">
        <v>1491</v>
      </c>
      <c r="I602" s="321" t="s">
        <v>1147</v>
      </c>
    </row>
    <row r="603" spans="8:9" x14ac:dyDescent="0.2">
      <c r="H603" s="321" t="s">
        <v>1492</v>
      </c>
      <c r="I603" s="321" t="s">
        <v>1147</v>
      </c>
    </row>
    <row r="604" spans="8:9" x14ac:dyDescent="0.2">
      <c r="H604" s="321" t="s">
        <v>1493</v>
      </c>
      <c r="I604" s="321" t="s">
        <v>1147</v>
      </c>
    </row>
    <row r="605" spans="8:9" x14ac:dyDescent="0.2">
      <c r="H605" s="321" t="s">
        <v>1494</v>
      </c>
      <c r="I605" s="321" t="s">
        <v>1147</v>
      </c>
    </row>
    <row r="606" spans="8:9" x14ac:dyDescent="0.2">
      <c r="H606" s="321" t="s">
        <v>1495</v>
      </c>
      <c r="I606" s="321" t="s">
        <v>1147</v>
      </c>
    </row>
    <row r="607" spans="8:9" x14ac:dyDescent="0.2">
      <c r="H607" s="321" t="s">
        <v>1496</v>
      </c>
      <c r="I607" s="321" t="s">
        <v>1147</v>
      </c>
    </row>
    <row r="608" spans="8:9" x14ac:dyDescent="0.2">
      <c r="H608" s="321" t="s">
        <v>1497</v>
      </c>
      <c r="I608" s="321" t="s">
        <v>1147</v>
      </c>
    </row>
    <row r="609" spans="8:9" x14ac:dyDescent="0.2">
      <c r="H609" s="321" t="s">
        <v>1498</v>
      </c>
      <c r="I609" s="321" t="s">
        <v>1147</v>
      </c>
    </row>
    <row r="610" spans="8:9" x14ac:dyDescent="0.2">
      <c r="H610" s="321" t="s">
        <v>1499</v>
      </c>
      <c r="I610" s="321" t="s">
        <v>1147</v>
      </c>
    </row>
    <row r="611" spans="8:9" x14ac:dyDescent="0.2">
      <c r="H611" s="321" t="s">
        <v>1500</v>
      </c>
      <c r="I611" s="321" t="s">
        <v>1147</v>
      </c>
    </row>
    <row r="612" spans="8:9" x14ac:dyDescent="0.2">
      <c r="H612" s="321" t="s">
        <v>1501</v>
      </c>
      <c r="I612" s="321" t="s">
        <v>1147</v>
      </c>
    </row>
    <row r="613" spans="8:9" x14ac:dyDescent="0.2">
      <c r="H613" s="321" t="s">
        <v>1502</v>
      </c>
      <c r="I613" s="321" t="s">
        <v>1147</v>
      </c>
    </row>
    <row r="614" spans="8:9" x14ac:dyDescent="0.2">
      <c r="H614" s="321" t="s">
        <v>1503</v>
      </c>
      <c r="I614" s="321" t="s">
        <v>1147</v>
      </c>
    </row>
    <row r="615" spans="8:9" x14ac:dyDescent="0.2">
      <c r="H615" s="321" t="s">
        <v>1504</v>
      </c>
      <c r="I615" s="321" t="s">
        <v>1147</v>
      </c>
    </row>
    <row r="616" spans="8:9" x14ac:dyDescent="0.2">
      <c r="H616" s="321" t="s">
        <v>1505</v>
      </c>
      <c r="I616" s="321" t="s">
        <v>1147</v>
      </c>
    </row>
    <row r="617" spans="8:9" x14ac:dyDescent="0.2">
      <c r="H617" s="321" t="s">
        <v>1506</v>
      </c>
      <c r="I617" s="321" t="s">
        <v>1147</v>
      </c>
    </row>
    <row r="618" spans="8:9" x14ac:dyDescent="0.2">
      <c r="H618" s="321" t="s">
        <v>1507</v>
      </c>
      <c r="I618" s="321" t="s">
        <v>1147</v>
      </c>
    </row>
    <row r="619" spans="8:9" x14ac:dyDescent="0.2">
      <c r="H619" s="321" t="s">
        <v>1508</v>
      </c>
      <c r="I619" s="321" t="s">
        <v>1147</v>
      </c>
    </row>
    <row r="620" spans="8:9" x14ac:dyDescent="0.2">
      <c r="H620" s="321" t="s">
        <v>1509</v>
      </c>
      <c r="I620" s="321" t="s">
        <v>1147</v>
      </c>
    </row>
    <row r="621" spans="8:9" x14ac:dyDescent="0.2">
      <c r="H621" s="321" t="s">
        <v>1510</v>
      </c>
      <c r="I621" s="321" t="s">
        <v>1147</v>
      </c>
    </row>
    <row r="622" spans="8:9" x14ac:dyDescent="0.2">
      <c r="H622" s="321" t="s">
        <v>1511</v>
      </c>
      <c r="I622" s="321" t="s">
        <v>1147</v>
      </c>
    </row>
    <row r="623" spans="8:9" x14ac:dyDescent="0.2">
      <c r="H623" s="321" t="s">
        <v>1512</v>
      </c>
      <c r="I623" s="321" t="s">
        <v>1147</v>
      </c>
    </row>
    <row r="624" spans="8:9" x14ac:dyDescent="0.2">
      <c r="H624" s="321" t="s">
        <v>1513</v>
      </c>
      <c r="I624" s="321" t="s">
        <v>1147</v>
      </c>
    </row>
    <row r="625" spans="8:9" x14ac:dyDescent="0.2">
      <c r="H625" s="321" t="s">
        <v>1514</v>
      </c>
      <c r="I625" s="321" t="s">
        <v>1147</v>
      </c>
    </row>
    <row r="626" spans="8:9" x14ac:dyDescent="0.2">
      <c r="H626" s="321" t="s">
        <v>1515</v>
      </c>
      <c r="I626" s="321" t="s">
        <v>1147</v>
      </c>
    </row>
    <row r="627" spans="8:9" x14ac:dyDescent="0.2">
      <c r="H627" s="321" t="s">
        <v>1516</v>
      </c>
      <c r="I627" s="321" t="s">
        <v>1147</v>
      </c>
    </row>
    <row r="628" spans="8:9" x14ac:dyDescent="0.2">
      <c r="H628" s="321" t="s">
        <v>1517</v>
      </c>
      <c r="I628" s="321" t="s">
        <v>1147</v>
      </c>
    </row>
    <row r="629" spans="8:9" x14ac:dyDescent="0.2">
      <c r="H629" s="321" t="s">
        <v>1518</v>
      </c>
      <c r="I629" s="321" t="s">
        <v>1147</v>
      </c>
    </row>
    <row r="630" spans="8:9" x14ac:dyDescent="0.2">
      <c r="H630" s="321" t="s">
        <v>1519</v>
      </c>
      <c r="I630" s="321" t="s">
        <v>1147</v>
      </c>
    </row>
    <row r="631" spans="8:9" x14ac:dyDescent="0.2">
      <c r="H631" s="321" t="s">
        <v>1520</v>
      </c>
      <c r="I631" s="321" t="s">
        <v>1147</v>
      </c>
    </row>
    <row r="632" spans="8:9" x14ac:dyDescent="0.2">
      <c r="H632" s="321" t="s">
        <v>1521</v>
      </c>
      <c r="I632" s="321" t="s">
        <v>1147</v>
      </c>
    </row>
    <row r="633" spans="8:9" x14ac:dyDescent="0.2">
      <c r="H633" s="321" t="s">
        <v>1522</v>
      </c>
      <c r="I633" s="321" t="s">
        <v>1147</v>
      </c>
    </row>
    <row r="634" spans="8:9" x14ac:dyDescent="0.2">
      <c r="H634" s="321" t="s">
        <v>1523</v>
      </c>
      <c r="I634" s="321" t="s">
        <v>1147</v>
      </c>
    </row>
    <row r="635" spans="8:9" x14ac:dyDescent="0.2">
      <c r="H635" s="321" t="s">
        <v>1524</v>
      </c>
      <c r="I635" s="321" t="s">
        <v>1147</v>
      </c>
    </row>
    <row r="636" spans="8:9" x14ac:dyDescent="0.2">
      <c r="H636" s="321" t="s">
        <v>1525</v>
      </c>
      <c r="I636" s="321" t="s">
        <v>1147</v>
      </c>
    </row>
    <row r="637" spans="8:9" x14ac:dyDescent="0.2">
      <c r="H637" s="321" t="s">
        <v>1526</v>
      </c>
      <c r="I637" s="321" t="s">
        <v>1147</v>
      </c>
    </row>
    <row r="638" spans="8:9" x14ac:dyDescent="0.2">
      <c r="H638" s="321" t="s">
        <v>1527</v>
      </c>
      <c r="I638" s="321" t="s">
        <v>1147</v>
      </c>
    </row>
    <row r="639" spans="8:9" x14ac:dyDescent="0.2">
      <c r="H639" s="321" t="s">
        <v>1528</v>
      </c>
      <c r="I639" s="321" t="s">
        <v>1147</v>
      </c>
    </row>
    <row r="640" spans="8:9" x14ac:dyDescent="0.2">
      <c r="H640" s="321" t="s">
        <v>890</v>
      </c>
      <c r="I640" s="321" t="s">
        <v>1147</v>
      </c>
    </row>
    <row r="641" spans="8:9" x14ac:dyDescent="0.2">
      <c r="H641" s="321" t="s">
        <v>971</v>
      </c>
      <c r="I641" s="321" t="s">
        <v>1147</v>
      </c>
    </row>
    <row r="642" spans="8:9" x14ac:dyDescent="0.2">
      <c r="H642" s="321" t="s">
        <v>968</v>
      </c>
      <c r="I642" s="321" t="s">
        <v>1147</v>
      </c>
    </row>
    <row r="643" spans="8:9" x14ac:dyDescent="0.2">
      <c r="H643" s="321" t="s">
        <v>1529</v>
      </c>
      <c r="I643" s="321" t="s">
        <v>1147</v>
      </c>
    </row>
    <row r="644" spans="8:9" x14ac:dyDescent="0.2">
      <c r="H644" s="321" t="s">
        <v>1530</v>
      </c>
      <c r="I644" s="321" t="s">
        <v>1147</v>
      </c>
    </row>
    <row r="645" spans="8:9" x14ac:dyDescent="0.2">
      <c r="H645" s="321" t="s">
        <v>1531</v>
      </c>
      <c r="I645" s="321" t="s">
        <v>1147</v>
      </c>
    </row>
    <row r="646" spans="8:9" x14ac:dyDescent="0.2">
      <c r="H646" s="321" t="s">
        <v>1532</v>
      </c>
      <c r="I646" s="321" t="s">
        <v>1147</v>
      </c>
    </row>
    <row r="647" spans="8:9" x14ac:dyDescent="0.2">
      <c r="H647" s="321" t="s">
        <v>1533</v>
      </c>
      <c r="I647" s="321" t="s">
        <v>1147</v>
      </c>
    </row>
    <row r="648" spans="8:9" x14ac:dyDescent="0.2">
      <c r="H648" s="321" t="s">
        <v>1534</v>
      </c>
      <c r="I648" s="321" t="s">
        <v>1147</v>
      </c>
    </row>
    <row r="649" spans="8:9" x14ac:dyDescent="0.2">
      <c r="H649" s="321" t="s">
        <v>1535</v>
      </c>
      <c r="I649" s="321" t="s">
        <v>1147</v>
      </c>
    </row>
    <row r="650" spans="8:9" x14ac:dyDescent="0.2">
      <c r="H650" s="321" t="s">
        <v>1536</v>
      </c>
      <c r="I650" s="321" t="s">
        <v>1147</v>
      </c>
    </row>
    <row r="651" spans="8:9" x14ac:dyDescent="0.2">
      <c r="H651" s="321" t="s">
        <v>1537</v>
      </c>
      <c r="I651" s="321" t="s">
        <v>1147</v>
      </c>
    </row>
    <row r="652" spans="8:9" x14ac:dyDescent="0.2">
      <c r="H652" s="321" t="s">
        <v>1538</v>
      </c>
      <c r="I652" s="321" t="s">
        <v>1541</v>
      </c>
    </row>
    <row r="653" spans="8:9" x14ac:dyDescent="0.2">
      <c r="H653" s="321" t="s">
        <v>1539</v>
      </c>
      <c r="I653" s="321" t="s">
        <v>1147</v>
      </c>
    </row>
    <row r="654" spans="8:9" x14ac:dyDescent="0.2">
      <c r="H654" s="321" t="s">
        <v>1540</v>
      </c>
      <c r="I654" s="321" t="s">
        <v>1147</v>
      </c>
    </row>
    <row r="655" spans="8:9" x14ac:dyDescent="0.2">
      <c r="H655" s="321" t="s">
        <v>1542</v>
      </c>
      <c r="I655" s="321" t="s">
        <v>1147</v>
      </c>
    </row>
    <row r="656" spans="8:9" x14ac:dyDescent="0.2">
      <c r="H656" s="321" t="s">
        <v>1543</v>
      </c>
      <c r="I656" s="321" t="s">
        <v>1147</v>
      </c>
    </row>
    <row r="657" spans="8:9" x14ac:dyDescent="0.2">
      <c r="H657" s="321" t="s">
        <v>1544</v>
      </c>
      <c r="I657" s="321" t="s">
        <v>1147</v>
      </c>
    </row>
    <row r="658" spans="8:9" x14ac:dyDescent="0.2">
      <c r="H658" s="321" t="s">
        <v>1545</v>
      </c>
      <c r="I658" s="321" t="s">
        <v>1147</v>
      </c>
    </row>
    <row r="659" spans="8:9" x14ac:dyDescent="0.2">
      <c r="H659" s="321" t="s">
        <v>1546</v>
      </c>
      <c r="I659" s="321" t="s">
        <v>1147</v>
      </c>
    </row>
    <row r="660" spans="8:9" x14ac:dyDescent="0.2">
      <c r="H660" s="321" t="s">
        <v>1547</v>
      </c>
      <c r="I660" s="321" t="s">
        <v>1148</v>
      </c>
    </row>
    <row r="661" spans="8:9" x14ac:dyDescent="0.2">
      <c r="H661" s="321" t="s">
        <v>975</v>
      </c>
      <c r="I661" s="321" t="s">
        <v>1148</v>
      </c>
    </row>
    <row r="662" spans="8:9" x14ac:dyDescent="0.2">
      <c r="H662" s="321" t="s">
        <v>1548</v>
      </c>
      <c r="I662" s="321" t="s">
        <v>1148</v>
      </c>
    </row>
    <row r="663" spans="8:9" x14ac:dyDescent="0.2">
      <c r="H663" s="321" t="s">
        <v>1010</v>
      </c>
      <c r="I663" s="321" t="s">
        <v>1148</v>
      </c>
    </row>
    <row r="664" spans="8:9" x14ac:dyDescent="0.2">
      <c r="H664" s="321" t="s">
        <v>1008</v>
      </c>
      <c r="I664" s="321" t="s">
        <v>1148</v>
      </c>
    </row>
    <row r="665" spans="8:9" x14ac:dyDescent="0.2">
      <c r="H665" s="321" t="s">
        <v>1003</v>
      </c>
      <c r="I665" s="321" t="s">
        <v>1147</v>
      </c>
    </row>
    <row r="666" spans="8:9" x14ac:dyDescent="0.2">
      <c r="H666" s="321" t="s">
        <v>1006</v>
      </c>
      <c r="I666" s="321" t="s">
        <v>1147</v>
      </c>
    </row>
    <row r="667" spans="8:9" x14ac:dyDescent="0.2">
      <c r="H667" s="321" t="s">
        <v>988</v>
      </c>
      <c r="I667" s="321" t="s">
        <v>1147</v>
      </c>
    </row>
    <row r="668" spans="8:9" x14ac:dyDescent="0.2">
      <c r="H668" s="321" t="s">
        <v>985</v>
      </c>
      <c r="I668" s="321" t="s">
        <v>1147</v>
      </c>
    </row>
    <row r="669" spans="8:9" x14ac:dyDescent="0.2">
      <c r="H669" s="321" t="s">
        <v>979</v>
      </c>
      <c r="I669" s="321" t="s">
        <v>1147</v>
      </c>
    </row>
    <row r="670" spans="8:9" x14ac:dyDescent="0.2">
      <c r="H670" s="321" t="s">
        <v>981</v>
      </c>
      <c r="I670" s="321" t="s">
        <v>1147</v>
      </c>
    </row>
    <row r="671" spans="8:9" x14ac:dyDescent="0.2">
      <c r="H671" s="321" t="s">
        <v>990</v>
      </c>
      <c r="I671" s="321" t="s">
        <v>1147</v>
      </c>
    </row>
    <row r="672" spans="8:9" x14ac:dyDescent="0.2">
      <c r="H672" s="321" t="s">
        <v>983</v>
      </c>
      <c r="I672" s="321" t="s">
        <v>1147</v>
      </c>
    </row>
    <row r="673" spans="8:9" x14ac:dyDescent="0.2">
      <c r="H673" s="321" t="s">
        <v>995</v>
      </c>
      <c r="I673" s="321" t="s">
        <v>1147</v>
      </c>
    </row>
    <row r="674" spans="8:9" x14ac:dyDescent="0.2">
      <c r="H674" s="321" t="s">
        <v>998</v>
      </c>
      <c r="I674" s="321" t="s">
        <v>1549</v>
      </c>
    </row>
    <row r="675" spans="8:9" x14ac:dyDescent="0.2">
      <c r="H675" s="321" t="s">
        <v>1001</v>
      </c>
      <c r="I675" s="321" t="s">
        <v>1549</v>
      </c>
    </row>
    <row r="676" spans="8:9" x14ac:dyDescent="0.2">
      <c r="H676" s="321" t="s">
        <v>1013</v>
      </c>
      <c r="I676" s="321" t="s">
        <v>1549</v>
      </c>
    </row>
    <row r="677" spans="8:9" x14ac:dyDescent="0.2">
      <c r="H677" s="321" t="s">
        <v>1550</v>
      </c>
      <c r="I677" s="321" t="s">
        <v>1549</v>
      </c>
    </row>
    <row r="678" spans="8:9" x14ac:dyDescent="0.2">
      <c r="H678" s="321" t="s">
        <v>1551</v>
      </c>
      <c r="I678" s="321" t="s">
        <v>1549</v>
      </c>
    </row>
    <row r="679" spans="8:9" x14ac:dyDescent="0.2">
      <c r="H679" s="321" t="s">
        <v>1552</v>
      </c>
      <c r="I679" s="321" t="s">
        <v>1549</v>
      </c>
    </row>
    <row r="680" spans="8:9" x14ac:dyDescent="0.2">
      <c r="H680" s="321" t="s">
        <v>1553</v>
      </c>
      <c r="I680" s="321" t="s">
        <v>1549</v>
      </c>
    </row>
    <row r="681" spans="8:9" x14ac:dyDescent="0.2">
      <c r="H681" s="321" t="s">
        <v>1554</v>
      </c>
      <c r="I681" s="321" t="s">
        <v>1549</v>
      </c>
    </row>
    <row r="682" spans="8:9" x14ac:dyDescent="0.2">
      <c r="H682" s="321" t="s">
        <v>1555</v>
      </c>
      <c r="I682" s="321" t="s">
        <v>1148</v>
      </c>
    </row>
    <row r="683" spans="8:9" x14ac:dyDescent="0.2">
      <c r="H683" s="321" t="s">
        <v>1556</v>
      </c>
      <c r="I683" s="321" t="s">
        <v>1148</v>
      </c>
    </row>
    <row r="684" spans="8:9" x14ac:dyDescent="0.2">
      <c r="H684" s="321" t="s">
        <v>1550</v>
      </c>
      <c r="I684" s="321" t="s">
        <v>1148</v>
      </c>
    </row>
    <row r="685" spans="8:9" x14ac:dyDescent="0.2">
      <c r="H685" s="321" t="s">
        <v>1551</v>
      </c>
      <c r="I685" s="321" t="s">
        <v>1148</v>
      </c>
    </row>
    <row r="686" spans="8:9" x14ac:dyDescent="0.2">
      <c r="H686" s="321" t="s">
        <v>1552</v>
      </c>
      <c r="I686" s="321" t="s">
        <v>1147</v>
      </c>
    </row>
    <row r="687" spans="8:9" x14ac:dyDescent="0.2">
      <c r="H687" s="321" t="s">
        <v>1554</v>
      </c>
      <c r="I687" s="321" t="s">
        <v>1147</v>
      </c>
    </row>
    <row r="688" spans="8:9" x14ac:dyDescent="0.2">
      <c r="H688" s="321" t="s">
        <v>1557</v>
      </c>
      <c r="I688" s="321" t="s">
        <v>1147</v>
      </c>
    </row>
    <row r="689" spans="8:9" x14ac:dyDescent="0.2">
      <c r="H689" s="321" t="s">
        <v>1034</v>
      </c>
      <c r="I689" s="321" t="s">
        <v>1147</v>
      </c>
    </row>
    <row r="690" spans="8:9" x14ac:dyDescent="0.2">
      <c r="H690" s="321" t="s">
        <v>1558</v>
      </c>
      <c r="I690" s="321" t="s">
        <v>1147</v>
      </c>
    </row>
    <row r="691" spans="8:9" x14ac:dyDescent="0.2">
      <c r="H691" s="321" t="s">
        <v>1559</v>
      </c>
      <c r="I691" s="321" t="s">
        <v>1147</v>
      </c>
    </row>
    <row r="692" spans="8:9" x14ac:dyDescent="0.2">
      <c r="H692" s="321" t="s">
        <v>1560</v>
      </c>
      <c r="I692" s="321" t="s">
        <v>1147</v>
      </c>
    </row>
    <row r="693" spans="8:9" x14ac:dyDescent="0.2">
      <c r="H693" s="321" t="s">
        <v>1561</v>
      </c>
      <c r="I693" s="321" t="s">
        <v>1147</v>
      </c>
    </row>
    <row r="694" spans="8:9" x14ac:dyDescent="0.2">
      <c r="H694" s="321" t="s">
        <v>1562</v>
      </c>
      <c r="I694" s="321" t="s">
        <v>1147</v>
      </c>
    </row>
    <row r="695" spans="8:9" x14ac:dyDescent="0.2">
      <c r="H695" s="321" t="s">
        <v>1563</v>
      </c>
      <c r="I695" s="321" t="s">
        <v>1147</v>
      </c>
    </row>
    <row r="696" spans="8:9" x14ac:dyDescent="0.2">
      <c r="H696" s="321" t="s">
        <v>1564</v>
      </c>
      <c r="I696" s="321" t="s">
        <v>1147</v>
      </c>
    </row>
    <row r="697" spans="8:9" x14ac:dyDescent="0.2">
      <c r="H697" s="321" t="s">
        <v>1565</v>
      </c>
      <c r="I697" s="321" t="s">
        <v>1147</v>
      </c>
    </row>
    <row r="698" spans="8:9" x14ac:dyDescent="0.2">
      <c r="H698" s="321" t="s">
        <v>1566</v>
      </c>
      <c r="I698" s="321" t="s">
        <v>1147</v>
      </c>
    </row>
    <row r="699" spans="8:9" x14ac:dyDescent="0.2">
      <c r="H699" s="321" t="s">
        <v>1567</v>
      </c>
      <c r="I699" s="321" t="s">
        <v>1147</v>
      </c>
    </row>
    <row r="700" spans="8:9" x14ac:dyDescent="0.2">
      <c r="H700" s="321" t="s">
        <v>1126</v>
      </c>
      <c r="I700" s="321" t="s">
        <v>1147</v>
      </c>
    </row>
    <row r="701" spans="8:9" x14ac:dyDescent="0.2">
      <c r="H701" s="321" t="s">
        <v>1020</v>
      </c>
      <c r="I701" s="321" t="s">
        <v>1147</v>
      </c>
    </row>
    <row r="702" spans="8:9" x14ac:dyDescent="0.2">
      <c r="H702" s="321" t="s">
        <v>1028</v>
      </c>
      <c r="I702" s="321" t="s">
        <v>1147</v>
      </c>
    </row>
    <row r="703" spans="8:9" x14ac:dyDescent="0.2">
      <c r="H703" s="321" t="s">
        <v>1031</v>
      </c>
      <c r="I703" s="321" t="s">
        <v>1147</v>
      </c>
    </row>
    <row r="704" spans="8:9" x14ac:dyDescent="0.2">
      <c r="H704" s="321" t="s">
        <v>1025</v>
      </c>
      <c r="I704" s="321" t="s">
        <v>1147</v>
      </c>
    </row>
    <row r="705" spans="8:9" x14ac:dyDescent="0.2">
      <c r="H705" s="321" t="s">
        <v>1023</v>
      </c>
      <c r="I705" s="321" t="s">
        <v>1147</v>
      </c>
    </row>
    <row r="706" spans="8:9" x14ac:dyDescent="0.2">
      <c r="H706" s="321" t="s">
        <v>1037</v>
      </c>
      <c r="I706" s="321" t="s">
        <v>1147</v>
      </c>
    </row>
    <row r="707" spans="8:9" x14ac:dyDescent="0.2">
      <c r="H707" s="321" t="s">
        <v>1045</v>
      </c>
      <c r="I707" s="321" t="s">
        <v>1147</v>
      </c>
    </row>
    <row r="708" spans="8:9" x14ac:dyDescent="0.2">
      <c r="H708" s="321" t="s">
        <v>1039</v>
      </c>
      <c r="I708" s="321" t="s">
        <v>1147</v>
      </c>
    </row>
    <row r="709" spans="8:9" x14ac:dyDescent="0.2">
      <c r="H709" s="321" t="s">
        <v>1041</v>
      </c>
      <c r="I709" s="321" t="s">
        <v>1148</v>
      </c>
    </row>
    <row r="710" spans="8:9" x14ac:dyDescent="0.2">
      <c r="H710" s="321" t="s">
        <v>1043</v>
      </c>
      <c r="I710" s="321" t="s">
        <v>1147</v>
      </c>
    </row>
    <row r="711" spans="8:9" x14ac:dyDescent="0.2">
      <c r="H711" s="321" t="s">
        <v>1018</v>
      </c>
      <c r="I711" s="321" t="s">
        <v>1147</v>
      </c>
    </row>
    <row r="712" spans="8:9" x14ac:dyDescent="0.2">
      <c r="H712" s="321" t="s">
        <v>1568</v>
      </c>
      <c r="I712" s="321" t="s">
        <v>1147</v>
      </c>
    </row>
    <row r="713" spans="8:9" x14ac:dyDescent="0.2">
      <c r="H713" s="321" t="s">
        <v>1569</v>
      </c>
      <c r="I713" s="321" t="s">
        <v>1147</v>
      </c>
    </row>
    <row r="714" spans="8:9" x14ac:dyDescent="0.2">
      <c r="H714" s="321" t="s">
        <v>1570</v>
      </c>
      <c r="I714" s="321" t="s">
        <v>1147</v>
      </c>
    </row>
    <row r="715" spans="8:9" x14ac:dyDescent="0.2">
      <c r="H715" s="321" t="s">
        <v>1571</v>
      </c>
      <c r="I715" s="321" t="s">
        <v>1147</v>
      </c>
    </row>
    <row r="716" spans="8:9" x14ac:dyDescent="0.2">
      <c r="H716" s="321" t="s">
        <v>1572</v>
      </c>
      <c r="I716" s="321" t="s">
        <v>1147</v>
      </c>
    </row>
    <row r="717" spans="8:9" x14ac:dyDescent="0.2">
      <c r="H717" s="321" t="s">
        <v>1573</v>
      </c>
      <c r="I717" s="321" t="s">
        <v>1147</v>
      </c>
    </row>
    <row r="718" spans="8:9" x14ac:dyDescent="0.2">
      <c r="H718" s="321" t="s">
        <v>1574</v>
      </c>
      <c r="I718" s="321" t="s">
        <v>1147</v>
      </c>
    </row>
    <row r="719" spans="8:9" x14ac:dyDescent="0.2">
      <c r="H719" s="321" t="s">
        <v>1575</v>
      </c>
      <c r="I719" s="321" t="s">
        <v>1147</v>
      </c>
    </row>
    <row r="720" spans="8:9" x14ac:dyDescent="0.2">
      <c r="H720" s="321" t="s">
        <v>1576</v>
      </c>
      <c r="I720" s="321" t="s">
        <v>1578</v>
      </c>
    </row>
    <row r="721" spans="8:9" x14ac:dyDescent="0.2">
      <c r="H721" s="321" t="s">
        <v>1577</v>
      </c>
      <c r="I721" s="321" t="s">
        <v>1578</v>
      </c>
    </row>
    <row r="722" spans="8:9" x14ac:dyDescent="0.2">
      <c r="H722" s="321" t="s">
        <v>1476</v>
      </c>
      <c r="I722" s="321" t="s">
        <v>1147</v>
      </c>
    </row>
    <row r="723" spans="8:9" x14ac:dyDescent="0.2">
      <c r="H723" s="321" t="s">
        <v>1476</v>
      </c>
      <c r="I723" s="321" t="s">
        <v>1147</v>
      </c>
    </row>
    <row r="724" spans="8:9" x14ac:dyDescent="0.2">
      <c r="H724" s="321" t="s">
        <v>1066</v>
      </c>
      <c r="I724" s="321" t="s">
        <v>1147</v>
      </c>
    </row>
    <row r="725" spans="8:9" x14ac:dyDescent="0.2">
      <c r="H725" s="321" t="s">
        <v>1054</v>
      </c>
      <c r="I725" s="321" t="s">
        <v>1147</v>
      </c>
    </row>
    <row r="726" spans="8:9" x14ac:dyDescent="0.2">
      <c r="H726" s="321" t="s">
        <v>1062</v>
      </c>
      <c r="I726" s="321" t="s">
        <v>1147</v>
      </c>
    </row>
    <row r="727" spans="8:9" x14ac:dyDescent="0.2">
      <c r="H727" s="321" t="s">
        <v>1058</v>
      </c>
      <c r="I727" s="321" t="s">
        <v>1147</v>
      </c>
    </row>
    <row r="728" spans="8:9" x14ac:dyDescent="0.2">
      <c r="H728" s="321" t="s">
        <v>1060</v>
      </c>
      <c r="I728" s="321" t="s">
        <v>1147</v>
      </c>
    </row>
    <row r="729" spans="8:9" x14ac:dyDescent="0.2">
      <c r="H729" s="321" t="s">
        <v>1064</v>
      </c>
      <c r="I729" s="321" t="s">
        <v>1147</v>
      </c>
    </row>
    <row r="730" spans="8:9" x14ac:dyDescent="0.2">
      <c r="H730" s="321" t="s">
        <v>1047</v>
      </c>
      <c r="I730" s="321" t="s">
        <v>1147</v>
      </c>
    </row>
    <row r="731" spans="8:9" x14ac:dyDescent="0.2">
      <c r="H731" s="321" t="s">
        <v>1051</v>
      </c>
      <c r="I731" s="321" t="s">
        <v>1147</v>
      </c>
    </row>
    <row r="732" spans="8:9" x14ac:dyDescent="0.2">
      <c r="H732" s="321" t="s">
        <v>1579</v>
      </c>
      <c r="I732" s="321" t="s">
        <v>1147</v>
      </c>
    </row>
    <row r="733" spans="8:9" x14ac:dyDescent="0.2">
      <c r="H733" s="321" t="s">
        <v>1580</v>
      </c>
      <c r="I733" s="321" t="s">
        <v>1147</v>
      </c>
    </row>
    <row r="734" spans="8:9" x14ac:dyDescent="0.2">
      <c r="H734" s="321" t="s">
        <v>1581</v>
      </c>
      <c r="I734" s="321" t="s">
        <v>1147</v>
      </c>
    </row>
    <row r="735" spans="8:9" x14ac:dyDescent="0.2">
      <c r="H735" s="321" t="s">
        <v>1582</v>
      </c>
      <c r="I735" s="321" t="s">
        <v>1147</v>
      </c>
    </row>
    <row r="736" spans="8:9" x14ac:dyDescent="0.2">
      <c r="H736" s="321" t="s">
        <v>1583</v>
      </c>
      <c r="I736" s="321" t="s">
        <v>1147</v>
      </c>
    </row>
    <row r="737" spans="8:9" x14ac:dyDescent="0.2">
      <c r="H737" s="321" t="s">
        <v>1068</v>
      </c>
      <c r="I737" s="321" t="s">
        <v>1147</v>
      </c>
    </row>
    <row r="738" spans="8:9" x14ac:dyDescent="0.2">
      <c r="H738" s="321" t="s">
        <v>1071</v>
      </c>
      <c r="I738" s="321" t="s">
        <v>1147</v>
      </c>
    </row>
    <row r="739" spans="8:9" x14ac:dyDescent="0.2">
      <c r="H739" s="321" t="s">
        <v>1075</v>
      </c>
      <c r="I739" s="321" t="s">
        <v>1147</v>
      </c>
    </row>
    <row r="740" spans="8:9" x14ac:dyDescent="0.2">
      <c r="H740" s="321" t="s">
        <v>1081</v>
      </c>
      <c r="I740" s="321" t="s">
        <v>1147</v>
      </c>
    </row>
    <row r="741" spans="8:9" x14ac:dyDescent="0.2">
      <c r="H741" s="321" t="s">
        <v>1073</v>
      </c>
      <c r="I741" s="321" t="s">
        <v>1147</v>
      </c>
    </row>
    <row r="742" spans="8:9" x14ac:dyDescent="0.2">
      <c r="H742" s="321" t="s">
        <v>1079</v>
      </c>
      <c r="I742" s="321" t="s">
        <v>1147</v>
      </c>
    </row>
    <row r="743" spans="8:9" x14ac:dyDescent="0.2">
      <c r="H743" s="321" t="s">
        <v>1077</v>
      </c>
      <c r="I743" s="321" t="s">
        <v>1147</v>
      </c>
    </row>
    <row r="744" spans="8:9" x14ac:dyDescent="0.2">
      <c r="H744" s="321" t="s">
        <v>1084</v>
      </c>
      <c r="I744" s="321" t="s">
        <v>1147</v>
      </c>
    </row>
    <row r="745" spans="8:9" x14ac:dyDescent="0.2">
      <c r="H745" s="321" t="s">
        <v>1087</v>
      </c>
      <c r="I745" s="321" t="s">
        <v>1147</v>
      </c>
    </row>
    <row r="746" spans="8:9" x14ac:dyDescent="0.2">
      <c r="H746" s="321" t="s">
        <v>1584</v>
      </c>
      <c r="I746" s="321" t="s">
        <v>1147</v>
      </c>
    </row>
    <row r="747" spans="8:9" x14ac:dyDescent="0.2">
      <c r="H747" s="321" t="s">
        <v>1585</v>
      </c>
      <c r="I747" s="321" t="s">
        <v>1147</v>
      </c>
    </row>
    <row r="748" spans="8:9" x14ac:dyDescent="0.2">
      <c r="H748" s="321" t="s">
        <v>1586</v>
      </c>
      <c r="I748" s="321" t="s">
        <v>1147</v>
      </c>
    </row>
    <row r="749" spans="8:9" x14ac:dyDescent="0.2">
      <c r="H749" s="321" t="s">
        <v>1587</v>
      </c>
      <c r="I749" s="321" t="s">
        <v>1147</v>
      </c>
    </row>
    <row r="750" spans="8:9" x14ac:dyDescent="0.2">
      <c r="H750" s="321" t="s">
        <v>1588</v>
      </c>
      <c r="I750" s="321" t="s">
        <v>1147</v>
      </c>
    </row>
    <row r="751" spans="8:9" x14ac:dyDescent="0.2">
      <c r="H751" s="321" t="s">
        <v>1589</v>
      </c>
      <c r="I751" s="321" t="s">
        <v>1416</v>
      </c>
    </row>
    <row r="752" spans="8:9" x14ac:dyDescent="0.2">
      <c r="H752" s="321" t="s">
        <v>1590</v>
      </c>
      <c r="I752" s="321" t="s">
        <v>1416</v>
      </c>
    </row>
    <row r="753" spans="8:9" x14ac:dyDescent="0.2">
      <c r="H753" s="321" t="s">
        <v>1591</v>
      </c>
      <c r="I753" s="321" t="s">
        <v>1416</v>
      </c>
    </row>
    <row r="754" spans="8:9" x14ac:dyDescent="0.2">
      <c r="H754" s="321" t="s">
        <v>1592</v>
      </c>
      <c r="I754" s="321" t="s">
        <v>1549</v>
      </c>
    </row>
    <row r="755" spans="8:9" x14ac:dyDescent="0.2">
      <c r="H755" s="321" t="s">
        <v>1593</v>
      </c>
      <c r="I755" s="321" t="s">
        <v>1147</v>
      </c>
    </row>
    <row r="756" spans="8:9" x14ac:dyDescent="0.2">
      <c r="I756" s="321" t="s">
        <v>1147</v>
      </c>
    </row>
    <row r="757" spans="8:9" x14ac:dyDescent="0.2">
      <c r="H757" s="321" t="s">
        <v>1105</v>
      </c>
      <c r="I757" s="321" t="s">
        <v>1147</v>
      </c>
    </row>
    <row r="758" spans="8:9" x14ac:dyDescent="0.2">
      <c r="H758" s="321" t="s">
        <v>1103</v>
      </c>
      <c r="I758" s="321" t="s">
        <v>1147</v>
      </c>
    </row>
    <row r="759" spans="8:9" x14ac:dyDescent="0.2">
      <c r="H759" s="321" t="s">
        <v>1097</v>
      </c>
      <c r="I759" s="321" t="s">
        <v>1147</v>
      </c>
    </row>
    <row r="760" spans="8:9" x14ac:dyDescent="0.2">
      <c r="H760" s="321" t="s">
        <v>1095</v>
      </c>
      <c r="I760" s="321" t="s">
        <v>1147</v>
      </c>
    </row>
    <row r="761" spans="8:9" x14ac:dyDescent="0.2">
      <c r="H761" s="321" t="s">
        <v>1099</v>
      </c>
      <c r="I761" s="321" t="s">
        <v>1147</v>
      </c>
    </row>
    <row r="762" spans="8:9" x14ac:dyDescent="0.2">
      <c r="H762" s="321" t="s">
        <v>1101</v>
      </c>
      <c r="I762" s="321" t="s">
        <v>1147</v>
      </c>
    </row>
    <row r="763" spans="8:9" x14ac:dyDescent="0.2">
      <c r="H763" s="321" t="s">
        <v>1090</v>
      </c>
      <c r="I763" s="321" t="s">
        <v>1147</v>
      </c>
    </row>
    <row r="764" spans="8:9" x14ac:dyDescent="0.2">
      <c r="H764" s="321" t="s">
        <v>1092</v>
      </c>
      <c r="I764" s="321" t="s">
        <v>1147</v>
      </c>
    </row>
    <row r="765" spans="8:9" x14ac:dyDescent="0.2">
      <c r="H765" s="322" t="s">
        <v>1130</v>
      </c>
      <c r="I765" s="321" t="s">
        <v>1147</v>
      </c>
    </row>
    <row r="766" spans="8:9" x14ac:dyDescent="0.2">
      <c r="H766" s="321" t="s">
        <v>1108</v>
      </c>
      <c r="I766" s="321" t="s">
        <v>1147</v>
      </c>
    </row>
    <row r="767" spans="8:9" x14ac:dyDescent="0.2">
      <c r="H767" s="321" t="s">
        <v>1111</v>
      </c>
      <c r="I767" s="321" t="s">
        <v>1147</v>
      </c>
    </row>
    <row r="768" spans="8:9" x14ac:dyDescent="0.2">
      <c r="H768" s="321" t="s">
        <v>1113</v>
      </c>
      <c r="I768" s="321" t="s">
        <v>1147</v>
      </c>
    </row>
    <row r="769" spans="8:9" x14ac:dyDescent="0.2">
      <c r="H769" s="321" t="s">
        <v>1131</v>
      </c>
      <c r="I769" s="321" t="s">
        <v>1147</v>
      </c>
    </row>
    <row r="770" spans="8:9" x14ac:dyDescent="0.2">
      <c r="H770" s="321" t="s">
        <v>1594</v>
      </c>
      <c r="I770" s="321" t="s">
        <v>1147</v>
      </c>
    </row>
    <row r="771" spans="8:9" x14ac:dyDescent="0.2">
      <c r="H771" s="321" t="s">
        <v>1595</v>
      </c>
      <c r="I771" s="321" t="s">
        <v>1147</v>
      </c>
    </row>
    <row r="772" spans="8:9" x14ac:dyDescent="0.2">
      <c r="H772" s="321" t="s">
        <v>1596</v>
      </c>
      <c r="I772" s="321" t="s">
        <v>1147</v>
      </c>
    </row>
    <row r="773" spans="8:9" x14ac:dyDescent="0.2">
      <c r="H773" s="321" t="s">
        <v>1597</v>
      </c>
      <c r="I773" s="321" t="s">
        <v>1147</v>
      </c>
    </row>
    <row r="774" spans="8:9" x14ac:dyDescent="0.2">
      <c r="H774" s="321" t="s">
        <v>1598</v>
      </c>
      <c r="I774" s="321" t="s">
        <v>1148</v>
      </c>
    </row>
    <row r="775" spans="8:9" x14ac:dyDescent="0.2">
      <c r="H775" s="321" t="s">
        <v>1599</v>
      </c>
    </row>
    <row r="776" spans="8:9" x14ac:dyDescent="0.2">
      <c r="H776" s="321" t="s">
        <v>525</v>
      </c>
    </row>
    <row r="777" spans="8:9" x14ac:dyDescent="0.2">
      <c r="H777" s="321" t="s">
        <v>1120</v>
      </c>
      <c r="I777" s="321" t="s">
        <v>1147</v>
      </c>
    </row>
    <row r="778" spans="8:9" x14ac:dyDescent="0.2">
      <c r="H778" s="321" t="s">
        <v>1124</v>
      </c>
      <c r="I778" s="321" t="s">
        <v>1147</v>
      </c>
    </row>
    <row r="779" spans="8:9" x14ac:dyDescent="0.2">
      <c r="H779" s="321" t="s">
        <v>1122</v>
      </c>
      <c r="I779" s="321" t="s">
        <v>1147</v>
      </c>
    </row>
    <row r="780" spans="8:9" x14ac:dyDescent="0.2">
      <c r="H780" s="321" t="s">
        <v>1118</v>
      </c>
      <c r="I780" s="321" t="s">
        <v>1147</v>
      </c>
    </row>
    <row r="781" spans="8:9" x14ac:dyDescent="0.2">
      <c r="H781" s="321" t="s">
        <v>1116</v>
      </c>
      <c r="I781" s="321" t="s">
        <v>1147</v>
      </c>
    </row>
  </sheetData>
  <conditionalFormatting sqref="E1:E328">
    <cfRule type="expression" dxfId="18" priority="2">
      <formula>COUNTIF($G$1:$G$711,F1&gt;1)</formula>
    </cfRule>
  </conditionalFormatting>
  <conditionalFormatting sqref="F1:F328">
    <cfRule type="containsText" dxfId="17" priority="1" operator="containsText" text="ATSG LOG">
      <formula>NOT(ISERROR(SEARCH("ATSG LOG",F1)))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0CAD-ABCF-4D86-80B1-27B88E7F48D6}">
  <sheetPr>
    <tabColor rgb="FF00B050"/>
    <pageSetUpPr fitToPage="1"/>
  </sheetPr>
  <dimension ref="A1:V479"/>
  <sheetViews>
    <sheetView topLeftCell="A10" zoomScale="80" zoomScaleNormal="80" zoomScaleSheetLayoutView="85" workbookViewId="0">
      <pane ySplit="7" topLeftCell="A53" activePane="bottomLeft" state="frozen"/>
      <selection pane="bottomLeft" activeCell="F101" sqref="F17:F101"/>
    </sheetView>
  </sheetViews>
  <sheetFormatPr baseColWidth="10" defaultColWidth="9" defaultRowHeight="60" customHeight="1" x14ac:dyDescent="0.2"/>
  <cols>
    <col min="1" max="1" width="7.33203125" style="126" customWidth="1"/>
    <col min="2" max="2" width="17.33203125" style="249" customWidth="1"/>
    <col min="3" max="3" width="32" style="126" customWidth="1"/>
    <col min="4" max="5" width="4.83203125" style="126" customWidth="1"/>
    <col min="6" max="6" width="20.1640625" style="245" customWidth="1"/>
    <col min="7" max="7" width="20.1640625" style="236" hidden="1" customWidth="1"/>
    <col min="8" max="8" width="23.1640625" style="253" hidden="1" customWidth="1"/>
    <col min="9" max="9" width="46.1640625" style="126" hidden="1" customWidth="1"/>
    <col min="10" max="10" width="30.5" style="126" hidden="1" customWidth="1"/>
    <col min="11" max="11" width="39" style="126" hidden="1" customWidth="1"/>
    <col min="12" max="12" width="17.5" style="252" customWidth="1"/>
    <col min="13" max="13" width="19.5" style="125" customWidth="1"/>
    <col min="14" max="14" width="21.1640625" style="125" customWidth="1"/>
    <col min="15" max="15" width="27.33203125" style="126" customWidth="1"/>
    <col min="16" max="16" width="30.5" style="126" customWidth="1"/>
    <col min="17" max="17" width="16.5" style="126" customWidth="1"/>
    <col min="18" max="18" width="15.83203125" style="125" customWidth="1"/>
    <col min="19" max="19" width="20.33203125" style="126" customWidth="1"/>
    <col min="20" max="20" width="19.6640625" style="126" customWidth="1"/>
    <col min="21" max="21" width="12.6640625" style="126" customWidth="1"/>
    <col min="22" max="22" width="131.5" style="126" customWidth="1"/>
    <col min="23" max="16384" width="9" style="126"/>
  </cols>
  <sheetData>
    <row r="1" spans="1:21" ht="23.25" customHeight="1" x14ac:dyDescent="0.2">
      <c r="A1" s="119"/>
      <c r="B1" s="120"/>
      <c r="C1" s="121"/>
      <c r="D1" s="119"/>
      <c r="E1" s="119"/>
      <c r="F1" s="119"/>
      <c r="G1" s="119"/>
      <c r="H1" s="122"/>
      <c r="I1" s="123"/>
      <c r="J1" s="121"/>
      <c r="K1" s="123"/>
      <c r="L1" s="124"/>
      <c r="O1" s="123"/>
      <c r="P1" s="123"/>
      <c r="Q1" s="123"/>
      <c r="S1" s="123"/>
      <c r="T1" s="123"/>
    </row>
    <row r="2" spans="1:21" ht="23.25" customHeight="1" x14ac:dyDescent="0.2">
      <c r="A2" s="770" t="s">
        <v>157</v>
      </c>
      <c r="B2" s="770"/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</row>
    <row r="3" spans="1:21" ht="23.25" customHeight="1" x14ac:dyDescent="0.2">
      <c r="A3" s="771" t="s">
        <v>158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</row>
    <row r="4" spans="1:21" ht="23.25" customHeight="1" x14ac:dyDescent="0.2">
      <c r="A4" s="771" t="s">
        <v>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</row>
    <row r="5" spans="1:21" ht="23.25" customHeight="1" x14ac:dyDescent="0.2">
      <c r="A5" s="119"/>
      <c r="B5" s="127"/>
      <c r="C5" s="119"/>
      <c r="D5" s="119"/>
      <c r="E5" s="119"/>
      <c r="F5" s="119"/>
      <c r="G5" s="119"/>
      <c r="H5" s="122"/>
      <c r="I5" s="119"/>
      <c r="J5" s="119"/>
      <c r="K5" s="119"/>
      <c r="L5" s="128"/>
      <c r="M5" s="129"/>
      <c r="N5" s="129"/>
      <c r="O5" s="119"/>
      <c r="P5" s="119"/>
      <c r="Q5" s="119"/>
      <c r="R5" s="129"/>
      <c r="S5" s="119"/>
      <c r="T5" s="119"/>
    </row>
    <row r="6" spans="1:21" ht="23.25" customHeight="1" x14ac:dyDescent="0.2">
      <c r="A6" s="772" t="s">
        <v>159</v>
      </c>
      <c r="B6" s="772"/>
      <c r="C6" s="772"/>
      <c r="D6" s="772"/>
      <c r="E6" s="772"/>
      <c r="F6" s="773"/>
      <c r="G6" s="772"/>
      <c r="H6" s="772"/>
      <c r="I6" s="130"/>
      <c r="J6" s="131"/>
      <c r="K6" s="130"/>
      <c r="L6" s="132"/>
      <c r="M6" s="133"/>
      <c r="N6" s="133"/>
      <c r="O6" s="130"/>
      <c r="P6" s="134"/>
      <c r="Q6" s="130"/>
      <c r="R6" s="133"/>
      <c r="S6" s="130"/>
      <c r="T6" s="130"/>
    </row>
    <row r="7" spans="1:21" ht="23.25" customHeight="1" x14ac:dyDescent="0.2">
      <c r="A7" s="774" t="s">
        <v>160</v>
      </c>
      <c r="B7" s="774"/>
      <c r="C7" s="774"/>
      <c r="D7" s="774"/>
      <c r="E7" s="774"/>
      <c r="F7" s="775"/>
      <c r="G7" s="774"/>
      <c r="H7" s="774"/>
      <c r="I7" s="774"/>
      <c r="J7" s="774"/>
      <c r="K7" s="774"/>
      <c r="L7" s="135"/>
      <c r="M7" s="136"/>
      <c r="N7" s="136"/>
      <c r="O7" s="130"/>
      <c r="P7" s="130"/>
      <c r="Q7" s="130"/>
      <c r="R7" s="133"/>
      <c r="S7" s="130"/>
      <c r="T7" s="130"/>
    </row>
    <row r="8" spans="1:21" ht="23.25" customHeight="1" x14ac:dyDescent="0.2">
      <c r="A8" s="774" t="s">
        <v>161</v>
      </c>
      <c r="B8" s="774"/>
      <c r="C8" s="774"/>
      <c r="D8" s="774"/>
      <c r="E8" s="774"/>
      <c r="F8" s="775"/>
      <c r="G8" s="137"/>
      <c r="H8" s="138"/>
      <c r="I8" s="139"/>
      <c r="J8" s="140"/>
      <c r="K8" s="139"/>
      <c r="L8" s="135"/>
      <c r="M8" s="136"/>
      <c r="N8" s="136"/>
      <c r="O8" s="130"/>
      <c r="P8" s="130"/>
      <c r="Q8" s="130"/>
      <c r="R8" s="133"/>
      <c r="S8" s="130"/>
      <c r="T8" s="130"/>
    </row>
    <row r="9" spans="1:21" ht="23.25" customHeight="1" x14ac:dyDescent="0.2">
      <c r="A9" s="776" t="s">
        <v>162</v>
      </c>
      <c r="B9" s="776"/>
      <c r="C9" s="776"/>
      <c r="D9" s="776"/>
      <c r="E9" s="776"/>
      <c r="F9" s="777"/>
      <c r="G9" s="776"/>
      <c r="H9" s="776"/>
      <c r="I9" s="776"/>
      <c r="J9" s="140"/>
      <c r="K9" s="139"/>
      <c r="L9" s="135"/>
      <c r="M9" s="136"/>
      <c r="N9" s="136"/>
      <c r="O9" s="130"/>
      <c r="P9" s="130"/>
      <c r="Q9" s="130"/>
      <c r="R9" s="133"/>
      <c r="S9" s="130"/>
      <c r="T9" s="130"/>
    </row>
    <row r="10" spans="1:21" ht="23.25" customHeight="1" x14ac:dyDescent="0.2">
      <c r="A10" s="141"/>
      <c r="B10" s="142"/>
      <c r="C10" s="141"/>
      <c r="E10" s="130"/>
      <c r="F10" s="119"/>
      <c r="G10" s="137"/>
      <c r="H10" s="138"/>
      <c r="I10" s="139"/>
      <c r="J10" s="140"/>
      <c r="K10" s="139"/>
      <c r="L10" s="135"/>
      <c r="M10" s="136"/>
      <c r="N10" s="136"/>
      <c r="O10" s="130"/>
      <c r="P10" s="130"/>
      <c r="Q10" s="130"/>
      <c r="R10" s="133"/>
      <c r="S10" s="130"/>
      <c r="T10" s="130"/>
    </row>
    <row r="11" spans="1:21" ht="23.25" customHeight="1" x14ac:dyDescent="0.2">
      <c r="A11" s="772" t="s">
        <v>163</v>
      </c>
      <c r="B11" s="772"/>
      <c r="C11" s="772"/>
      <c r="D11" s="772"/>
      <c r="E11" s="772"/>
      <c r="F11" s="773"/>
      <c r="G11" s="772"/>
      <c r="H11" s="772"/>
      <c r="I11" s="130"/>
      <c r="J11" s="131"/>
      <c r="K11" s="130"/>
      <c r="L11" s="132"/>
      <c r="M11" s="133"/>
      <c r="N11" s="133"/>
      <c r="O11" s="130"/>
      <c r="P11" s="134"/>
      <c r="Q11" s="130"/>
      <c r="R11" s="133"/>
      <c r="S11" s="130"/>
      <c r="T11" s="130"/>
    </row>
    <row r="12" spans="1:21" ht="23.25" customHeight="1" x14ac:dyDescent="0.2">
      <c r="A12" s="774" t="s">
        <v>164</v>
      </c>
      <c r="B12" s="774"/>
      <c r="C12" s="774"/>
      <c r="D12" s="774"/>
      <c r="E12" s="774"/>
      <c r="F12" s="775"/>
      <c r="G12" s="774"/>
      <c r="H12" s="774"/>
      <c r="I12" s="774"/>
      <c r="J12" s="774"/>
      <c r="K12" s="774"/>
      <c r="L12" s="135"/>
      <c r="M12" s="136"/>
      <c r="N12" s="136"/>
      <c r="O12" s="130"/>
      <c r="P12" s="130"/>
      <c r="Q12" s="130"/>
      <c r="R12" s="133"/>
      <c r="S12" s="130"/>
      <c r="T12" s="130"/>
    </row>
    <row r="13" spans="1:21" ht="23.25" customHeight="1" x14ac:dyDescent="0.2">
      <c r="A13" s="774" t="s">
        <v>165</v>
      </c>
      <c r="B13" s="774"/>
      <c r="C13" s="774"/>
      <c r="D13" s="774"/>
      <c r="E13" s="774"/>
      <c r="F13" s="775"/>
      <c r="G13" s="137"/>
      <c r="H13" s="138"/>
      <c r="I13" s="140"/>
      <c r="J13" s="140"/>
      <c r="K13" s="139"/>
      <c r="L13" s="135"/>
      <c r="M13" s="136"/>
      <c r="N13" s="136"/>
      <c r="O13" s="137"/>
      <c r="P13" s="137"/>
      <c r="Q13" s="137"/>
      <c r="R13" s="136"/>
      <c r="S13" s="137"/>
      <c r="T13" s="137"/>
    </row>
    <row r="14" spans="1:21" ht="23.25" customHeight="1" x14ac:dyDescent="0.2">
      <c r="A14" s="143"/>
      <c r="B14" s="144"/>
      <c r="C14" s="143"/>
      <c r="D14" s="143"/>
      <c r="E14" s="143"/>
      <c r="F14" s="119"/>
      <c r="G14" s="143"/>
      <c r="H14" s="122"/>
      <c r="I14" s="143"/>
      <c r="J14" s="119"/>
      <c r="K14" s="143"/>
      <c r="L14" s="145"/>
      <c r="M14" s="146"/>
      <c r="N14" s="146"/>
      <c r="O14" s="143"/>
      <c r="P14" s="147"/>
      <c r="Q14" s="143"/>
      <c r="R14" s="146"/>
      <c r="S14" s="143"/>
      <c r="T14" s="143"/>
    </row>
    <row r="15" spans="1:21" s="153" customFormat="1" ht="16" x14ac:dyDescent="0.2">
      <c r="A15" s="764" t="s">
        <v>15</v>
      </c>
      <c r="B15" s="766" t="s">
        <v>16</v>
      </c>
      <c r="C15" s="764" t="s">
        <v>17</v>
      </c>
      <c r="D15" s="764" t="s">
        <v>18</v>
      </c>
      <c r="E15" s="764"/>
      <c r="F15" s="764" t="s">
        <v>19</v>
      </c>
      <c r="G15" s="764" t="s">
        <v>166</v>
      </c>
      <c r="H15" s="764" t="s">
        <v>20</v>
      </c>
      <c r="I15" s="764" t="s">
        <v>21</v>
      </c>
      <c r="J15" s="778" t="s">
        <v>22</v>
      </c>
      <c r="K15" s="778" t="s">
        <v>23</v>
      </c>
      <c r="L15" s="753" t="s">
        <v>167</v>
      </c>
      <c r="M15" s="754" t="s">
        <v>168</v>
      </c>
      <c r="N15" s="754" t="s">
        <v>26</v>
      </c>
      <c r="O15" s="778" t="s">
        <v>147</v>
      </c>
      <c r="P15" s="778"/>
      <c r="Q15" s="778"/>
      <c r="R15" s="778"/>
      <c r="S15" s="778"/>
      <c r="T15" s="778" t="s">
        <v>28</v>
      </c>
      <c r="U15" s="152"/>
    </row>
    <row r="16" spans="1:21" s="153" customFormat="1" ht="34" x14ac:dyDescent="0.2">
      <c r="A16" s="765"/>
      <c r="B16" s="767"/>
      <c r="C16" s="768"/>
      <c r="D16" s="148">
        <v>20</v>
      </c>
      <c r="E16" s="148">
        <v>40</v>
      </c>
      <c r="F16" s="769"/>
      <c r="G16" s="768"/>
      <c r="H16" s="768"/>
      <c r="I16" s="769"/>
      <c r="J16" s="769"/>
      <c r="K16" s="769"/>
      <c r="L16" s="753"/>
      <c r="M16" s="754"/>
      <c r="N16" s="754"/>
      <c r="O16" s="149" t="s">
        <v>29</v>
      </c>
      <c r="P16" s="149" t="s">
        <v>169</v>
      </c>
      <c r="Q16" s="149" t="s">
        <v>32</v>
      </c>
      <c r="R16" s="154" t="s">
        <v>33</v>
      </c>
      <c r="S16" s="149" t="s">
        <v>30</v>
      </c>
      <c r="T16" s="765"/>
      <c r="U16" s="152"/>
    </row>
    <row r="17" spans="1:22" s="266" customFormat="1" ht="32.25" customHeight="1" x14ac:dyDescent="0.2">
      <c r="A17" s="254">
        <f>ROW()-16</f>
        <v>1</v>
      </c>
      <c r="B17" s="255">
        <v>45956</v>
      </c>
      <c r="C17" s="256">
        <v>7263043630</v>
      </c>
      <c r="D17" s="256"/>
      <c r="E17" s="256">
        <v>1</v>
      </c>
      <c r="F17" s="257" t="s">
        <v>170</v>
      </c>
      <c r="G17" s="258" t="s">
        <v>171</v>
      </c>
      <c r="H17" s="256" t="s">
        <v>172</v>
      </c>
      <c r="I17" s="256" t="s">
        <v>173</v>
      </c>
      <c r="J17" s="257" t="s">
        <v>174</v>
      </c>
      <c r="K17" s="254" t="s">
        <v>39</v>
      </c>
      <c r="L17" s="259" t="s">
        <v>175</v>
      </c>
      <c r="M17" s="260">
        <v>1500000</v>
      </c>
      <c r="N17" s="260"/>
      <c r="O17" s="261">
        <v>2700000</v>
      </c>
      <c r="P17" s="262"/>
      <c r="Q17" s="262"/>
      <c r="R17" s="263"/>
      <c r="S17" s="261">
        <f>O17*0.08</f>
        <v>216000</v>
      </c>
      <c r="T17" s="264">
        <f>S17+P17+O17+N17+M17</f>
        <v>4416000</v>
      </c>
      <c r="U17" s="258" t="s">
        <v>176</v>
      </c>
      <c r="V17" s="265" t="str">
        <f t="shared" ref="V17:V48" si="0">"Cước vận chuyển Cát Lái - "&amp;I17&amp;" cont: "&amp;F17&amp;" xe: "&amp;G17</f>
        <v>Cước vận chuyển Cát Lái - THỦ DẦU MỘT, BÌNH DƯƠNG cont: OOCU9433379 xe: 50E-32702</v>
      </c>
    </row>
    <row r="18" spans="1:22" s="266" customFormat="1" ht="32.25" customHeight="1" x14ac:dyDescent="0.2">
      <c r="A18" s="254">
        <f t="shared" ref="A18:A81" si="1">ROW()-16</f>
        <v>2</v>
      </c>
      <c r="B18" s="267">
        <v>45956</v>
      </c>
      <c r="C18" s="268" t="s">
        <v>177</v>
      </c>
      <c r="D18" s="268"/>
      <c r="E18" s="268">
        <v>1</v>
      </c>
      <c r="F18" s="258" t="s">
        <v>178</v>
      </c>
      <c r="G18" s="258" t="s">
        <v>179</v>
      </c>
      <c r="H18" s="258" t="s">
        <v>180</v>
      </c>
      <c r="I18" s="256" t="s">
        <v>181</v>
      </c>
      <c r="J18" s="256" t="s">
        <v>39</v>
      </c>
      <c r="K18" s="256" t="s">
        <v>182</v>
      </c>
      <c r="L18" s="269" t="s">
        <v>183</v>
      </c>
      <c r="M18" s="270">
        <v>1500000</v>
      </c>
      <c r="N18" s="270"/>
      <c r="O18" s="261">
        <v>4500000</v>
      </c>
      <c r="P18" s="261"/>
      <c r="Q18" s="261"/>
      <c r="R18" s="270"/>
      <c r="S18" s="261">
        <f t="shared" ref="S18:S81" si="2">O18*0.08</f>
        <v>360000</v>
      </c>
      <c r="T18" s="264">
        <f>S18+P18+O18+N18+M18</f>
        <v>6360000</v>
      </c>
      <c r="U18" s="258" t="s">
        <v>176</v>
      </c>
      <c r="V18" s="265" t="str">
        <f t="shared" si="0"/>
        <v>Cước vận chuyển Cát Lái - CHƠN THÀNH, BÌNH PHƯỚC cont: YMMU6226693 xe: 50H-09623</v>
      </c>
    </row>
    <row r="19" spans="1:22" s="266" customFormat="1" ht="32.25" customHeight="1" x14ac:dyDescent="0.2">
      <c r="A19" s="254">
        <f t="shared" si="1"/>
        <v>3</v>
      </c>
      <c r="B19" s="267">
        <v>45956</v>
      </c>
      <c r="C19" s="268" t="s">
        <v>177</v>
      </c>
      <c r="D19" s="271"/>
      <c r="E19" s="268">
        <v>1</v>
      </c>
      <c r="F19" s="258" t="s">
        <v>184</v>
      </c>
      <c r="G19" s="258" t="s">
        <v>185</v>
      </c>
      <c r="H19" s="258" t="s">
        <v>180</v>
      </c>
      <c r="I19" s="256" t="s">
        <v>181</v>
      </c>
      <c r="J19" s="256" t="s">
        <v>39</v>
      </c>
      <c r="K19" s="256" t="s">
        <v>182</v>
      </c>
      <c r="L19" s="272" t="s">
        <v>186</v>
      </c>
      <c r="M19" s="270">
        <f>1500000+350000</f>
        <v>1850000</v>
      </c>
      <c r="N19" s="270">
        <v>2900000</v>
      </c>
      <c r="O19" s="261">
        <v>4500000</v>
      </c>
      <c r="P19" s="261"/>
      <c r="Q19" s="261"/>
      <c r="R19" s="270"/>
      <c r="S19" s="261">
        <f t="shared" si="2"/>
        <v>360000</v>
      </c>
      <c r="T19" s="264">
        <f>S19+P19+O19+N19+M19</f>
        <v>9610000</v>
      </c>
      <c r="U19" s="258" t="s">
        <v>176</v>
      </c>
      <c r="V19" s="265" t="str">
        <f t="shared" si="0"/>
        <v>Cước vận chuyển Cát Lái - CHƠN THÀNH, BÌNH PHƯỚC cont: YMMU6759136 xe: 51C-47877</v>
      </c>
    </row>
    <row r="20" spans="1:22" s="266" customFormat="1" ht="32.25" customHeight="1" x14ac:dyDescent="0.2">
      <c r="A20" s="254">
        <f t="shared" si="1"/>
        <v>4</v>
      </c>
      <c r="B20" s="267">
        <v>45956</v>
      </c>
      <c r="C20" s="268" t="s">
        <v>177</v>
      </c>
      <c r="D20" s="268"/>
      <c r="E20" s="268">
        <v>1</v>
      </c>
      <c r="F20" s="257" t="s">
        <v>187</v>
      </c>
      <c r="G20" s="258" t="s">
        <v>188</v>
      </c>
      <c r="H20" s="258" t="s">
        <v>180</v>
      </c>
      <c r="I20" s="256" t="s">
        <v>181</v>
      </c>
      <c r="J20" s="256" t="s">
        <v>39</v>
      </c>
      <c r="K20" s="256" t="s">
        <v>182</v>
      </c>
      <c r="L20" s="272" t="s">
        <v>189</v>
      </c>
      <c r="M20" s="270">
        <f>1500000+350000</f>
        <v>1850000</v>
      </c>
      <c r="N20" s="270"/>
      <c r="O20" s="261">
        <v>4500000</v>
      </c>
      <c r="P20" s="261"/>
      <c r="Q20" s="261"/>
      <c r="R20" s="270"/>
      <c r="S20" s="261">
        <f t="shared" si="2"/>
        <v>360000</v>
      </c>
      <c r="T20" s="264">
        <f t="shared" ref="T20:T83" si="3">S20+P20+O20+N20+M20</f>
        <v>6710000</v>
      </c>
      <c r="U20" s="258" t="s">
        <v>176</v>
      </c>
      <c r="V20" s="265" t="str">
        <f t="shared" si="0"/>
        <v>Cước vận chuyển Cát Lái - CHƠN THÀNH, BÌNH PHƯỚC cont: YMMU7045067 xe: 51D-11483</v>
      </c>
    </row>
    <row r="21" spans="1:22" s="266" customFormat="1" ht="32.25" customHeight="1" x14ac:dyDescent="0.2">
      <c r="A21" s="254">
        <f t="shared" si="1"/>
        <v>5</v>
      </c>
      <c r="B21" s="267">
        <v>45956</v>
      </c>
      <c r="C21" s="268" t="s">
        <v>177</v>
      </c>
      <c r="D21" s="271"/>
      <c r="E21" s="268">
        <v>1</v>
      </c>
      <c r="F21" s="258" t="s">
        <v>190</v>
      </c>
      <c r="G21" s="258" t="s">
        <v>191</v>
      </c>
      <c r="H21" s="258" t="s">
        <v>180</v>
      </c>
      <c r="I21" s="256" t="s">
        <v>181</v>
      </c>
      <c r="J21" s="256" t="s">
        <v>39</v>
      </c>
      <c r="K21" s="256" t="s">
        <v>182</v>
      </c>
      <c r="L21" s="272" t="s">
        <v>192</v>
      </c>
      <c r="M21" s="270">
        <f>1500000+350000</f>
        <v>1850000</v>
      </c>
      <c r="N21" s="270"/>
      <c r="O21" s="261">
        <v>4500000</v>
      </c>
      <c r="P21" s="261"/>
      <c r="Q21" s="261"/>
      <c r="R21" s="270"/>
      <c r="S21" s="261">
        <f t="shared" si="2"/>
        <v>360000</v>
      </c>
      <c r="T21" s="264">
        <f t="shared" si="3"/>
        <v>6710000</v>
      </c>
      <c r="U21" s="258" t="s">
        <v>176</v>
      </c>
      <c r="V21" s="265" t="str">
        <f t="shared" si="0"/>
        <v>Cước vận chuyển Cát Lái - CHƠN THÀNH, BÌNH PHƯỚC cont: YMLU8941341 xe: 51C-59687</v>
      </c>
    </row>
    <row r="22" spans="1:22" s="266" customFormat="1" ht="32.25" customHeight="1" x14ac:dyDescent="0.2">
      <c r="A22" s="254">
        <f t="shared" si="1"/>
        <v>6</v>
      </c>
      <c r="B22" s="273">
        <v>45956</v>
      </c>
      <c r="C22" s="274" t="s">
        <v>177</v>
      </c>
      <c r="D22" s="275"/>
      <c r="E22" s="274">
        <v>1</v>
      </c>
      <c r="F22" s="274" t="s">
        <v>193</v>
      </c>
      <c r="G22" s="258" t="s">
        <v>194</v>
      </c>
      <c r="H22" s="258" t="s">
        <v>180</v>
      </c>
      <c r="I22" s="256" t="s">
        <v>181</v>
      </c>
      <c r="J22" s="256" t="s">
        <v>39</v>
      </c>
      <c r="K22" s="256" t="s">
        <v>182</v>
      </c>
      <c r="L22" s="269" t="s">
        <v>195</v>
      </c>
      <c r="M22" s="270">
        <v>1500000</v>
      </c>
      <c r="N22" s="270"/>
      <c r="O22" s="261">
        <v>4500000</v>
      </c>
      <c r="P22" s="261"/>
      <c r="Q22" s="261"/>
      <c r="R22" s="270"/>
      <c r="S22" s="261">
        <f t="shared" si="2"/>
        <v>360000</v>
      </c>
      <c r="T22" s="264">
        <f t="shared" si="3"/>
        <v>6360000</v>
      </c>
      <c r="U22" s="258" t="s">
        <v>176</v>
      </c>
      <c r="V22" s="265" t="str">
        <f t="shared" si="0"/>
        <v>Cước vận chuyển Cát Lái - CHƠN THÀNH, BÌNH PHƯỚC cont: YMLU8851470 xe: 51D-14138</v>
      </c>
    </row>
    <row r="23" spans="1:22" s="266" customFormat="1" ht="32.25" customHeight="1" x14ac:dyDescent="0.2">
      <c r="A23" s="254">
        <f t="shared" si="1"/>
        <v>7</v>
      </c>
      <c r="B23" s="267">
        <v>45956</v>
      </c>
      <c r="C23" s="276" t="s">
        <v>196</v>
      </c>
      <c r="D23" s="276"/>
      <c r="E23" s="268">
        <v>1</v>
      </c>
      <c r="F23" s="257" t="s">
        <v>197</v>
      </c>
      <c r="G23" s="258" t="s">
        <v>198</v>
      </c>
      <c r="H23" s="257" t="s">
        <v>199</v>
      </c>
      <c r="I23" s="254" t="s">
        <v>200</v>
      </c>
      <c r="J23" s="256" t="s">
        <v>39</v>
      </c>
      <c r="K23" s="276" t="s">
        <v>201</v>
      </c>
      <c r="L23" s="269" t="s">
        <v>202</v>
      </c>
      <c r="M23" s="270">
        <v>1566000</v>
      </c>
      <c r="N23" s="270"/>
      <c r="O23" s="261">
        <v>4700000</v>
      </c>
      <c r="P23" s="261"/>
      <c r="Q23" s="261"/>
      <c r="R23" s="270"/>
      <c r="S23" s="261">
        <f t="shared" si="2"/>
        <v>376000</v>
      </c>
      <c r="T23" s="264">
        <f t="shared" si="3"/>
        <v>6642000</v>
      </c>
      <c r="U23" s="258" t="s">
        <v>176</v>
      </c>
      <c r="V23" s="265" t="str">
        <f t="shared" si="0"/>
        <v>Cước vận chuyển Cát Lái - HỚN QUẢN, BÌNH PHƯỚC cont: JXLU4717448 xe: 51D-14187</v>
      </c>
    </row>
    <row r="24" spans="1:22" s="266" customFormat="1" ht="32.25" customHeight="1" x14ac:dyDescent="0.2">
      <c r="A24" s="254">
        <f t="shared" si="1"/>
        <v>8</v>
      </c>
      <c r="B24" s="267">
        <v>45956</v>
      </c>
      <c r="C24" s="276" t="s">
        <v>196</v>
      </c>
      <c r="D24" s="271"/>
      <c r="E24" s="268">
        <v>1</v>
      </c>
      <c r="F24" s="257" t="s">
        <v>203</v>
      </c>
      <c r="G24" s="258" t="s">
        <v>204</v>
      </c>
      <c r="H24" s="257" t="s">
        <v>199</v>
      </c>
      <c r="I24" s="254" t="s">
        <v>200</v>
      </c>
      <c r="J24" s="256" t="s">
        <v>39</v>
      </c>
      <c r="K24" s="276" t="s">
        <v>201</v>
      </c>
      <c r="L24" s="269" t="s">
        <v>205</v>
      </c>
      <c r="M24" s="270">
        <v>1566000</v>
      </c>
      <c r="N24" s="270"/>
      <c r="O24" s="261">
        <v>4700000</v>
      </c>
      <c r="P24" s="261"/>
      <c r="Q24" s="261"/>
      <c r="R24" s="270"/>
      <c r="S24" s="261">
        <f t="shared" si="2"/>
        <v>376000</v>
      </c>
      <c r="T24" s="264">
        <f t="shared" si="3"/>
        <v>6642000</v>
      </c>
      <c r="U24" s="258" t="s">
        <v>176</v>
      </c>
      <c r="V24" s="265" t="str">
        <f t="shared" si="0"/>
        <v>Cước vận chuyển Cát Lái - HỚN QUẢN, BÌNH PHƯỚC cont: ZCSU6728821 xe: 50H-60825</v>
      </c>
    </row>
    <row r="25" spans="1:22" s="266" customFormat="1" ht="32.25" customHeight="1" x14ac:dyDescent="0.2">
      <c r="A25" s="254">
        <f t="shared" si="1"/>
        <v>9</v>
      </c>
      <c r="B25" s="267">
        <v>45956</v>
      </c>
      <c r="C25" s="276" t="s">
        <v>196</v>
      </c>
      <c r="D25" s="271"/>
      <c r="E25" s="268">
        <v>1</v>
      </c>
      <c r="F25" s="257" t="s">
        <v>206</v>
      </c>
      <c r="G25" s="258" t="s">
        <v>207</v>
      </c>
      <c r="H25" s="257" t="s">
        <v>199</v>
      </c>
      <c r="I25" s="254" t="s">
        <v>200</v>
      </c>
      <c r="J25" s="256" t="s">
        <v>39</v>
      </c>
      <c r="K25" s="276" t="s">
        <v>201</v>
      </c>
      <c r="L25" s="269" t="s">
        <v>208</v>
      </c>
      <c r="M25" s="270">
        <v>1566000</v>
      </c>
      <c r="N25" s="270"/>
      <c r="O25" s="261">
        <v>4700000</v>
      </c>
      <c r="P25" s="261"/>
      <c r="Q25" s="261"/>
      <c r="R25" s="270"/>
      <c r="S25" s="261">
        <f t="shared" si="2"/>
        <v>376000</v>
      </c>
      <c r="T25" s="264">
        <f t="shared" si="3"/>
        <v>6642000</v>
      </c>
      <c r="U25" s="258" t="s">
        <v>176</v>
      </c>
      <c r="V25" s="265" t="str">
        <f t="shared" si="0"/>
        <v>Cước vận chuyển Cát Lái - HỚN QUẢN, BÌNH PHƯỚC cont: JXLU4677860 xe: 50H-61485</v>
      </c>
    </row>
    <row r="26" spans="1:22" s="277" customFormat="1" ht="32.25" customHeight="1" x14ac:dyDescent="0.2">
      <c r="A26" s="254">
        <f t="shared" si="1"/>
        <v>10</v>
      </c>
      <c r="B26" s="267">
        <v>45956</v>
      </c>
      <c r="C26" s="276" t="s">
        <v>196</v>
      </c>
      <c r="D26" s="271"/>
      <c r="E26" s="268">
        <v>1</v>
      </c>
      <c r="F26" s="257" t="s">
        <v>209</v>
      </c>
      <c r="G26" s="258" t="s">
        <v>210</v>
      </c>
      <c r="H26" s="257" t="s">
        <v>199</v>
      </c>
      <c r="I26" s="254" t="s">
        <v>200</v>
      </c>
      <c r="J26" s="256" t="s">
        <v>39</v>
      </c>
      <c r="K26" s="276" t="s">
        <v>201</v>
      </c>
      <c r="L26" s="269" t="s">
        <v>211</v>
      </c>
      <c r="M26" s="270">
        <v>1566000</v>
      </c>
      <c r="N26" s="270">
        <v>10000000</v>
      </c>
      <c r="O26" s="261">
        <v>4700000</v>
      </c>
      <c r="P26" s="261"/>
      <c r="Q26" s="261"/>
      <c r="R26" s="270"/>
      <c r="S26" s="261">
        <f t="shared" si="2"/>
        <v>376000</v>
      </c>
      <c r="T26" s="264">
        <f t="shared" si="3"/>
        <v>16642000</v>
      </c>
      <c r="U26" s="258" t="s">
        <v>176</v>
      </c>
      <c r="V26" s="265" t="str">
        <f t="shared" si="0"/>
        <v>Cước vận chuyển Cát Lái - HỚN QUẢN, BÌNH PHƯỚC cont: TCNU5337176 xe: 51C-49237</v>
      </c>
    </row>
    <row r="27" spans="1:22" s="266" customFormat="1" ht="32.25" customHeight="1" x14ac:dyDescent="0.2">
      <c r="A27" s="254">
        <f t="shared" si="1"/>
        <v>11</v>
      </c>
      <c r="B27" s="267">
        <v>45956</v>
      </c>
      <c r="C27" s="276" t="s">
        <v>196</v>
      </c>
      <c r="D27" s="271"/>
      <c r="E27" s="268">
        <v>1</v>
      </c>
      <c r="F27" s="257" t="s">
        <v>212</v>
      </c>
      <c r="G27" s="258" t="s">
        <v>213</v>
      </c>
      <c r="H27" s="257" t="s">
        <v>199</v>
      </c>
      <c r="I27" s="254" t="s">
        <v>200</v>
      </c>
      <c r="J27" s="256" t="s">
        <v>39</v>
      </c>
      <c r="K27" s="276" t="s">
        <v>201</v>
      </c>
      <c r="L27" s="269" t="s">
        <v>214</v>
      </c>
      <c r="M27" s="270">
        <v>1566000</v>
      </c>
      <c r="N27" s="270"/>
      <c r="O27" s="261">
        <v>4700000</v>
      </c>
      <c r="P27" s="261"/>
      <c r="Q27" s="261"/>
      <c r="R27" s="270"/>
      <c r="S27" s="261">
        <f t="shared" si="2"/>
        <v>376000</v>
      </c>
      <c r="T27" s="264">
        <f t="shared" si="3"/>
        <v>6642000</v>
      </c>
      <c r="U27" s="258" t="s">
        <v>176</v>
      </c>
      <c r="V27" s="265" t="str">
        <f t="shared" si="0"/>
        <v>Cước vận chuyển Cát Lái - HỚN QUẢN, BÌNH PHƯỚC cont: JXLU4420423 xe: 50H-02426</v>
      </c>
    </row>
    <row r="28" spans="1:22" s="266" customFormat="1" ht="32.25" customHeight="1" x14ac:dyDescent="0.2">
      <c r="A28" s="254">
        <f t="shared" si="1"/>
        <v>12</v>
      </c>
      <c r="B28" s="267">
        <v>45956</v>
      </c>
      <c r="C28" s="276" t="s">
        <v>196</v>
      </c>
      <c r="D28" s="271"/>
      <c r="E28" s="268">
        <v>1</v>
      </c>
      <c r="F28" s="257" t="s">
        <v>215</v>
      </c>
      <c r="G28" s="258" t="s">
        <v>216</v>
      </c>
      <c r="H28" s="257" t="s">
        <v>199</v>
      </c>
      <c r="I28" s="254" t="s">
        <v>200</v>
      </c>
      <c r="J28" s="256" t="s">
        <v>39</v>
      </c>
      <c r="K28" s="276" t="s">
        <v>201</v>
      </c>
      <c r="L28" s="269" t="s">
        <v>217</v>
      </c>
      <c r="M28" s="270">
        <v>1566000</v>
      </c>
      <c r="N28" s="270"/>
      <c r="O28" s="261">
        <v>4700000</v>
      </c>
      <c r="P28" s="261"/>
      <c r="Q28" s="261"/>
      <c r="R28" s="270"/>
      <c r="S28" s="261">
        <f t="shared" si="2"/>
        <v>376000</v>
      </c>
      <c r="T28" s="264">
        <f t="shared" si="3"/>
        <v>6642000</v>
      </c>
      <c r="U28" s="258" t="s">
        <v>176</v>
      </c>
      <c r="V28" s="265" t="str">
        <f t="shared" si="0"/>
        <v>Cước vận chuyển Cát Lái - HỚN QUẢN, BÌNH PHƯỚC cont: TCLU5342914 xe: 50H-05239</v>
      </c>
    </row>
    <row r="29" spans="1:22" s="266" customFormat="1" ht="32.25" customHeight="1" x14ac:dyDescent="0.2">
      <c r="A29" s="254">
        <f t="shared" si="1"/>
        <v>13</v>
      </c>
      <c r="B29" s="267">
        <v>45956</v>
      </c>
      <c r="C29" s="268" t="s">
        <v>196</v>
      </c>
      <c r="D29" s="271"/>
      <c r="E29" s="268">
        <v>1</v>
      </c>
      <c r="F29" s="268" t="s">
        <v>218</v>
      </c>
      <c r="G29" s="258" t="s">
        <v>219</v>
      </c>
      <c r="H29" s="257" t="s">
        <v>199</v>
      </c>
      <c r="I29" s="254" t="s">
        <v>200</v>
      </c>
      <c r="J29" s="256" t="s">
        <v>39</v>
      </c>
      <c r="K29" s="276" t="s">
        <v>201</v>
      </c>
      <c r="L29" s="269" t="s">
        <v>220</v>
      </c>
      <c r="M29" s="270">
        <v>1566000</v>
      </c>
      <c r="N29" s="270"/>
      <c r="O29" s="261">
        <v>4700000</v>
      </c>
      <c r="P29" s="261"/>
      <c r="Q29" s="261"/>
      <c r="R29" s="270"/>
      <c r="S29" s="261">
        <f t="shared" si="2"/>
        <v>376000</v>
      </c>
      <c r="T29" s="264">
        <f t="shared" si="3"/>
        <v>6642000</v>
      </c>
      <c r="U29" s="258" t="s">
        <v>176</v>
      </c>
      <c r="V29" s="265" t="str">
        <f t="shared" si="0"/>
        <v>Cước vận chuyển Cát Lái - HỚN QUẢN, BÌNH PHƯỚC cont: GAOU7155216 xe: 51D-11470</v>
      </c>
    </row>
    <row r="30" spans="1:22" s="266" customFormat="1" ht="32.25" customHeight="1" x14ac:dyDescent="0.2">
      <c r="A30" s="254">
        <f t="shared" si="1"/>
        <v>14</v>
      </c>
      <c r="B30" s="267">
        <v>45956</v>
      </c>
      <c r="C30" s="268" t="s">
        <v>196</v>
      </c>
      <c r="D30" s="271"/>
      <c r="E30" s="268">
        <v>1</v>
      </c>
      <c r="F30" s="258" t="s">
        <v>221</v>
      </c>
      <c r="G30" s="258" t="s">
        <v>222</v>
      </c>
      <c r="H30" s="257" t="s">
        <v>199</v>
      </c>
      <c r="I30" s="254" t="s">
        <v>200</v>
      </c>
      <c r="J30" s="256" t="s">
        <v>39</v>
      </c>
      <c r="K30" s="276" t="s">
        <v>201</v>
      </c>
      <c r="L30" s="278" t="s">
        <v>223</v>
      </c>
      <c r="M30" s="270">
        <v>1566000</v>
      </c>
      <c r="N30" s="270"/>
      <c r="O30" s="261">
        <v>4700000</v>
      </c>
      <c r="P30" s="261"/>
      <c r="Q30" s="261"/>
      <c r="R30" s="270"/>
      <c r="S30" s="261">
        <f t="shared" si="2"/>
        <v>376000</v>
      </c>
      <c r="T30" s="264">
        <f t="shared" si="3"/>
        <v>6642000</v>
      </c>
      <c r="U30" s="258" t="s">
        <v>176</v>
      </c>
      <c r="V30" s="265" t="str">
        <f t="shared" si="0"/>
        <v>Cước vận chuyển Cát Lái - HỚN QUẢN, BÌNH PHƯỚC cont: TCNU4236833 xe: 50E-32983</v>
      </c>
    </row>
    <row r="31" spans="1:22" s="266" customFormat="1" ht="32.25" customHeight="1" x14ac:dyDescent="0.2">
      <c r="A31" s="254">
        <f t="shared" si="1"/>
        <v>15</v>
      </c>
      <c r="B31" s="267">
        <v>45956</v>
      </c>
      <c r="C31" s="268" t="s">
        <v>196</v>
      </c>
      <c r="D31" s="271"/>
      <c r="E31" s="268">
        <v>1</v>
      </c>
      <c r="F31" s="258" t="s">
        <v>224</v>
      </c>
      <c r="G31" s="258" t="s">
        <v>225</v>
      </c>
      <c r="H31" s="257" t="s">
        <v>199</v>
      </c>
      <c r="I31" s="254" t="s">
        <v>200</v>
      </c>
      <c r="J31" s="256" t="s">
        <v>39</v>
      </c>
      <c r="K31" s="276" t="s">
        <v>201</v>
      </c>
      <c r="L31" s="269" t="s">
        <v>226</v>
      </c>
      <c r="M31" s="270">
        <v>1566000</v>
      </c>
      <c r="N31" s="270"/>
      <c r="O31" s="261">
        <v>4700000</v>
      </c>
      <c r="P31" s="261"/>
      <c r="Q31" s="261"/>
      <c r="R31" s="270"/>
      <c r="S31" s="261">
        <f t="shared" si="2"/>
        <v>376000</v>
      </c>
      <c r="T31" s="264">
        <f t="shared" si="3"/>
        <v>6642000</v>
      </c>
      <c r="U31" s="258" t="s">
        <v>176</v>
      </c>
      <c r="V31" s="265" t="str">
        <f t="shared" si="0"/>
        <v>Cước vận chuyển Cát Lái - HỚN QUẢN, BÌNH PHƯỚC cont: ZCSU7277640 xe: 50H-61118</v>
      </c>
    </row>
    <row r="32" spans="1:22" s="266" customFormat="1" ht="32.25" customHeight="1" x14ac:dyDescent="0.2">
      <c r="A32" s="254">
        <f t="shared" si="1"/>
        <v>16</v>
      </c>
      <c r="B32" s="267">
        <v>45956</v>
      </c>
      <c r="C32" s="268" t="s">
        <v>196</v>
      </c>
      <c r="D32" s="271"/>
      <c r="E32" s="268">
        <v>1</v>
      </c>
      <c r="F32" s="257" t="s">
        <v>227</v>
      </c>
      <c r="G32" s="258" t="s">
        <v>228</v>
      </c>
      <c r="H32" s="257" t="s">
        <v>199</v>
      </c>
      <c r="I32" s="254" t="s">
        <v>200</v>
      </c>
      <c r="J32" s="256" t="s">
        <v>39</v>
      </c>
      <c r="K32" s="276" t="s">
        <v>201</v>
      </c>
      <c r="L32" s="269" t="s">
        <v>229</v>
      </c>
      <c r="M32" s="270">
        <v>1566000</v>
      </c>
      <c r="N32" s="270"/>
      <c r="O32" s="261">
        <v>4700000</v>
      </c>
      <c r="P32" s="261"/>
      <c r="Q32" s="261"/>
      <c r="R32" s="270"/>
      <c r="S32" s="261">
        <f t="shared" si="2"/>
        <v>376000</v>
      </c>
      <c r="T32" s="264">
        <f t="shared" si="3"/>
        <v>6642000</v>
      </c>
      <c r="U32" s="258" t="s">
        <v>176</v>
      </c>
      <c r="V32" s="265" t="str">
        <f t="shared" si="0"/>
        <v>Cước vận chuyển Cát Lái - HỚN QUẢN, BÌNH PHƯỚC cont: SEGU5807360 xe: 50E-33511</v>
      </c>
    </row>
    <row r="33" spans="1:22" s="266" customFormat="1" ht="32.25" customHeight="1" x14ac:dyDescent="0.2">
      <c r="A33" s="254">
        <f t="shared" si="1"/>
        <v>17</v>
      </c>
      <c r="B33" s="267">
        <v>45957</v>
      </c>
      <c r="C33" s="257" t="s">
        <v>230</v>
      </c>
      <c r="D33" s="271"/>
      <c r="E33" s="268">
        <v>1</v>
      </c>
      <c r="F33" s="257" t="s">
        <v>231</v>
      </c>
      <c r="G33" s="257" t="s">
        <v>232</v>
      </c>
      <c r="H33" s="257" t="s">
        <v>199</v>
      </c>
      <c r="I33" s="254" t="s">
        <v>200</v>
      </c>
      <c r="J33" s="256" t="s">
        <v>39</v>
      </c>
      <c r="K33" s="257" t="s">
        <v>233</v>
      </c>
      <c r="L33" s="269" t="s">
        <v>234</v>
      </c>
      <c r="M33" s="270">
        <v>1500000</v>
      </c>
      <c r="N33" s="270"/>
      <c r="O33" s="261">
        <v>4700000</v>
      </c>
      <c r="P33" s="261"/>
      <c r="Q33" s="261"/>
      <c r="R33" s="270"/>
      <c r="S33" s="261">
        <f t="shared" si="2"/>
        <v>376000</v>
      </c>
      <c r="T33" s="264">
        <f t="shared" si="3"/>
        <v>6576000</v>
      </c>
      <c r="U33" s="258" t="s">
        <v>176</v>
      </c>
      <c r="V33" s="265" t="str">
        <f t="shared" si="0"/>
        <v>Cước vận chuyển Cát Lái - HỚN QUẢN, BÌNH PHƯỚC cont: SEGU6905438 xe: 61H-08950</v>
      </c>
    </row>
    <row r="34" spans="1:22" s="266" customFormat="1" ht="32.25" customHeight="1" x14ac:dyDescent="0.2">
      <c r="A34" s="254">
        <f t="shared" si="1"/>
        <v>18</v>
      </c>
      <c r="B34" s="267">
        <v>45957</v>
      </c>
      <c r="C34" s="257" t="s">
        <v>230</v>
      </c>
      <c r="D34" s="271"/>
      <c r="E34" s="268">
        <v>1</v>
      </c>
      <c r="F34" s="257" t="s">
        <v>235</v>
      </c>
      <c r="G34" s="257" t="s">
        <v>236</v>
      </c>
      <c r="H34" s="257" t="s">
        <v>199</v>
      </c>
      <c r="I34" s="254" t="s">
        <v>200</v>
      </c>
      <c r="J34" s="256" t="s">
        <v>39</v>
      </c>
      <c r="K34" s="257" t="s">
        <v>233</v>
      </c>
      <c r="L34" s="269" t="s">
        <v>237</v>
      </c>
      <c r="M34" s="270">
        <v>1500000</v>
      </c>
      <c r="N34" s="270"/>
      <c r="O34" s="261">
        <v>4700000</v>
      </c>
      <c r="P34" s="261"/>
      <c r="Q34" s="261"/>
      <c r="R34" s="270"/>
      <c r="S34" s="261">
        <f t="shared" si="2"/>
        <v>376000</v>
      </c>
      <c r="T34" s="264">
        <f t="shared" si="3"/>
        <v>6576000</v>
      </c>
      <c r="U34" s="268" t="s">
        <v>238</v>
      </c>
      <c r="V34" s="265" t="str">
        <f t="shared" si="0"/>
        <v>Cước vận chuyển Cát Lái - HỚN QUẢN, BÌNH PHƯỚC cont: OOCU8804032 xe: 50H-60906</v>
      </c>
    </row>
    <row r="35" spans="1:22" s="266" customFormat="1" ht="32.25" customHeight="1" x14ac:dyDescent="0.2">
      <c r="A35" s="254">
        <f t="shared" si="1"/>
        <v>19</v>
      </c>
      <c r="B35" s="267">
        <v>45957</v>
      </c>
      <c r="C35" s="257" t="s">
        <v>230</v>
      </c>
      <c r="D35" s="271"/>
      <c r="E35" s="268">
        <v>1</v>
      </c>
      <c r="F35" s="257" t="s">
        <v>239</v>
      </c>
      <c r="G35" s="257" t="s">
        <v>240</v>
      </c>
      <c r="H35" s="257" t="s">
        <v>199</v>
      </c>
      <c r="I35" s="254" t="s">
        <v>200</v>
      </c>
      <c r="J35" s="256" t="s">
        <v>39</v>
      </c>
      <c r="K35" s="257" t="s">
        <v>233</v>
      </c>
      <c r="L35" s="269" t="s">
        <v>241</v>
      </c>
      <c r="M35" s="270">
        <v>1500000</v>
      </c>
      <c r="N35" s="270"/>
      <c r="O35" s="261">
        <v>4700000</v>
      </c>
      <c r="P35" s="261"/>
      <c r="Q35" s="261"/>
      <c r="R35" s="270"/>
      <c r="S35" s="261">
        <f t="shared" si="2"/>
        <v>376000</v>
      </c>
      <c r="T35" s="264">
        <f t="shared" si="3"/>
        <v>6576000</v>
      </c>
      <c r="U35" s="258" t="s">
        <v>176</v>
      </c>
      <c r="V35" s="265" t="str">
        <f t="shared" si="0"/>
        <v>Cước vận chuyển Cát Lái - HỚN QUẢN, BÌNH PHƯỚC cont: OOCU8236143 xe: 50H-18454</v>
      </c>
    </row>
    <row r="36" spans="1:22" s="266" customFormat="1" ht="32.25" customHeight="1" x14ac:dyDescent="0.2">
      <c r="A36" s="254">
        <f t="shared" si="1"/>
        <v>20</v>
      </c>
      <c r="B36" s="267">
        <v>45957</v>
      </c>
      <c r="C36" s="257" t="s">
        <v>230</v>
      </c>
      <c r="D36" s="271"/>
      <c r="E36" s="268">
        <v>1</v>
      </c>
      <c r="F36" s="257" t="s">
        <v>242</v>
      </c>
      <c r="G36" s="257" t="s">
        <v>243</v>
      </c>
      <c r="H36" s="257" t="s">
        <v>199</v>
      </c>
      <c r="I36" s="254" t="s">
        <v>200</v>
      </c>
      <c r="J36" s="256" t="s">
        <v>39</v>
      </c>
      <c r="K36" s="257" t="s">
        <v>233</v>
      </c>
      <c r="L36" s="269" t="s">
        <v>244</v>
      </c>
      <c r="M36" s="270">
        <v>1500000</v>
      </c>
      <c r="N36" s="270"/>
      <c r="O36" s="261">
        <v>4700000</v>
      </c>
      <c r="P36" s="261"/>
      <c r="Q36" s="261"/>
      <c r="R36" s="270"/>
      <c r="S36" s="261">
        <f t="shared" si="2"/>
        <v>376000</v>
      </c>
      <c r="T36" s="264">
        <f t="shared" si="3"/>
        <v>6576000</v>
      </c>
      <c r="U36" s="258" t="s">
        <v>176</v>
      </c>
      <c r="V36" s="265" t="str">
        <f t="shared" si="0"/>
        <v>Cước vận chuyển Cát Lái - HỚN QUẢN, BÌNH PHƯỚC cont: OOCU7806616 xe: 50H-61092</v>
      </c>
    </row>
    <row r="37" spans="1:22" s="266" customFormat="1" ht="32.25" customHeight="1" x14ac:dyDescent="0.2">
      <c r="A37" s="254">
        <f t="shared" si="1"/>
        <v>21</v>
      </c>
      <c r="B37" s="267">
        <v>45957</v>
      </c>
      <c r="C37" s="257" t="s">
        <v>230</v>
      </c>
      <c r="D37" s="271"/>
      <c r="E37" s="268">
        <v>1</v>
      </c>
      <c r="F37" s="276" t="s">
        <v>245</v>
      </c>
      <c r="G37" s="279" t="s">
        <v>171</v>
      </c>
      <c r="H37" s="257" t="s">
        <v>199</v>
      </c>
      <c r="I37" s="254" t="s">
        <v>200</v>
      </c>
      <c r="J37" s="256" t="s">
        <v>39</v>
      </c>
      <c r="K37" s="257" t="s">
        <v>233</v>
      </c>
      <c r="L37" s="269" t="s">
        <v>246</v>
      </c>
      <c r="M37" s="270">
        <v>1500000</v>
      </c>
      <c r="N37" s="270"/>
      <c r="O37" s="261">
        <v>4700000</v>
      </c>
      <c r="P37" s="261"/>
      <c r="Q37" s="261"/>
      <c r="R37" s="270"/>
      <c r="S37" s="261">
        <f t="shared" si="2"/>
        <v>376000</v>
      </c>
      <c r="T37" s="264">
        <f t="shared" si="3"/>
        <v>6576000</v>
      </c>
      <c r="U37" s="258" t="s">
        <v>176</v>
      </c>
      <c r="V37" s="265" t="str">
        <f t="shared" si="0"/>
        <v>Cước vận chuyển Cát Lái - HỚN QUẢN, BÌNH PHƯỚC cont: CSNU7176795 xe: 50E-32702</v>
      </c>
    </row>
    <row r="38" spans="1:22" s="266" customFormat="1" ht="32.25" customHeight="1" x14ac:dyDescent="0.2">
      <c r="A38" s="254">
        <f t="shared" si="1"/>
        <v>22</v>
      </c>
      <c r="B38" s="267">
        <v>45957</v>
      </c>
      <c r="C38" s="257" t="s">
        <v>177</v>
      </c>
      <c r="D38" s="271"/>
      <c r="E38" s="268">
        <v>1</v>
      </c>
      <c r="F38" s="258" t="s">
        <v>247</v>
      </c>
      <c r="G38" s="257" t="s">
        <v>248</v>
      </c>
      <c r="H38" s="258" t="s">
        <v>180</v>
      </c>
      <c r="I38" s="256" t="s">
        <v>181</v>
      </c>
      <c r="J38" s="256" t="s">
        <v>39</v>
      </c>
      <c r="K38" s="257" t="s">
        <v>182</v>
      </c>
      <c r="L38" s="269" t="s">
        <v>249</v>
      </c>
      <c r="M38" s="270">
        <v>1500000</v>
      </c>
      <c r="N38" s="270">
        <v>3650000</v>
      </c>
      <c r="O38" s="261">
        <v>4500000</v>
      </c>
      <c r="P38" s="261"/>
      <c r="Q38" s="261"/>
      <c r="R38" s="270"/>
      <c r="S38" s="261">
        <f t="shared" si="2"/>
        <v>360000</v>
      </c>
      <c r="T38" s="264">
        <f t="shared" si="3"/>
        <v>10010000</v>
      </c>
      <c r="U38" s="258" t="s">
        <v>176</v>
      </c>
      <c r="V38" s="265" t="str">
        <f t="shared" si="0"/>
        <v>Cước vận chuyển Cát Lái - CHƠN THÀNH, BÌNH PHƯỚC cont: OCGU8011370 xe: 50LD-18392</v>
      </c>
    </row>
    <row r="39" spans="1:22" s="266" customFormat="1" ht="32.25" customHeight="1" x14ac:dyDescent="0.2">
      <c r="A39" s="254">
        <f t="shared" si="1"/>
        <v>23</v>
      </c>
      <c r="B39" s="267">
        <v>45957</v>
      </c>
      <c r="C39" s="257" t="s">
        <v>177</v>
      </c>
      <c r="D39" s="271"/>
      <c r="E39" s="268">
        <v>1</v>
      </c>
      <c r="F39" s="257" t="s">
        <v>250</v>
      </c>
      <c r="G39" s="257" t="s">
        <v>251</v>
      </c>
      <c r="H39" s="258" t="s">
        <v>180</v>
      </c>
      <c r="I39" s="256" t="s">
        <v>181</v>
      </c>
      <c r="J39" s="256" t="s">
        <v>39</v>
      </c>
      <c r="K39" s="257" t="s">
        <v>182</v>
      </c>
      <c r="L39" s="269" t="s">
        <v>252</v>
      </c>
      <c r="M39" s="270">
        <f>1500000+698000</f>
        <v>2198000</v>
      </c>
      <c r="N39" s="270"/>
      <c r="O39" s="261">
        <v>4500000</v>
      </c>
      <c r="P39" s="261"/>
      <c r="Q39" s="261"/>
      <c r="R39" s="270"/>
      <c r="S39" s="261">
        <f t="shared" si="2"/>
        <v>360000</v>
      </c>
      <c r="T39" s="264">
        <f t="shared" si="3"/>
        <v>7058000</v>
      </c>
      <c r="U39" s="258" t="s">
        <v>176</v>
      </c>
      <c r="V39" s="265" t="str">
        <f t="shared" si="0"/>
        <v>Cước vận chuyển Cát Lái - CHƠN THÀNH, BÌNH PHƯỚC cont: FFAU1257531 xe: 50H-68384</v>
      </c>
    </row>
    <row r="40" spans="1:22" s="266" customFormat="1" ht="32.25" customHeight="1" x14ac:dyDescent="0.2">
      <c r="A40" s="254">
        <f t="shared" si="1"/>
        <v>24</v>
      </c>
      <c r="B40" s="267">
        <v>45957</v>
      </c>
      <c r="C40" s="257">
        <v>7263168621</v>
      </c>
      <c r="D40" s="280"/>
      <c r="E40" s="281">
        <v>1</v>
      </c>
      <c r="F40" s="257" t="s">
        <v>253</v>
      </c>
      <c r="G40" s="282" t="s">
        <v>254</v>
      </c>
      <c r="H40" s="258" t="s">
        <v>255</v>
      </c>
      <c r="I40" s="254" t="s">
        <v>256</v>
      </c>
      <c r="J40" s="257" t="s">
        <v>174</v>
      </c>
      <c r="K40" s="256" t="s">
        <v>39</v>
      </c>
      <c r="L40" s="278" t="s">
        <v>257</v>
      </c>
      <c r="M40" s="270">
        <v>1500000</v>
      </c>
      <c r="N40" s="270"/>
      <c r="O40" s="261">
        <v>4500000</v>
      </c>
      <c r="P40" s="261"/>
      <c r="Q40" s="261"/>
      <c r="R40" s="270"/>
      <c r="S40" s="261">
        <f t="shared" si="2"/>
        <v>360000</v>
      </c>
      <c r="T40" s="264">
        <f t="shared" si="3"/>
        <v>6360000</v>
      </c>
      <c r="U40" s="258" t="s">
        <v>176</v>
      </c>
      <c r="V40" s="265" t="str">
        <f t="shared" si="0"/>
        <v>Cước vận chuyển Cát Lái - XÃ CHƠN THÀNH, TỈNH ĐỒNG NAI cont: SEGU5288434 xe: 61E-03521</v>
      </c>
    </row>
    <row r="41" spans="1:22" s="266" customFormat="1" ht="32.25" customHeight="1" x14ac:dyDescent="0.2">
      <c r="A41" s="254">
        <f t="shared" si="1"/>
        <v>25</v>
      </c>
      <c r="B41" s="267">
        <v>45957</v>
      </c>
      <c r="C41" s="257">
        <v>7263168621</v>
      </c>
      <c r="D41" s="280"/>
      <c r="E41" s="281">
        <v>1</v>
      </c>
      <c r="F41" s="257" t="s">
        <v>258</v>
      </c>
      <c r="G41" s="257" t="s">
        <v>259</v>
      </c>
      <c r="H41" s="258" t="s">
        <v>255</v>
      </c>
      <c r="I41" s="254" t="s">
        <v>256</v>
      </c>
      <c r="J41" s="257" t="s">
        <v>174</v>
      </c>
      <c r="K41" s="256" t="s">
        <v>39</v>
      </c>
      <c r="L41" s="269" t="s">
        <v>260</v>
      </c>
      <c r="M41" s="270">
        <f>1500000+500000</f>
        <v>2000000</v>
      </c>
      <c r="N41" s="270"/>
      <c r="O41" s="261">
        <f>4500000</f>
        <v>4500000</v>
      </c>
      <c r="P41" s="261"/>
      <c r="Q41" s="261"/>
      <c r="R41" s="270"/>
      <c r="S41" s="261">
        <f t="shared" si="2"/>
        <v>360000</v>
      </c>
      <c r="T41" s="264">
        <f t="shared" si="3"/>
        <v>6860000</v>
      </c>
      <c r="U41" s="258" t="s">
        <v>176</v>
      </c>
      <c r="V41" s="265" t="str">
        <f t="shared" si="0"/>
        <v>Cước vận chuyển Cát Lái - XÃ CHƠN THÀNH, TỈNH ĐỒNG NAI cont: TRHU4527220 xe: 50H-91733</v>
      </c>
    </row>
    <row r="42" spans="1:22" s="277" customFormat="1" ht="32.25" customHeight="1" x14ac:dyDescent="0.2">
      <c r="A42" s="254">
        <f t="shared" si="1"/>
        <v>26</v>
      </c>
      <c r="B42" s="267">
        <v>45957</v>
      </c>
      <c r="C42" s="257">
        <v>7263168621</v>
      </c>
      <c r="D42" s="280"/>
      <c r="E42" s="281">
        <v>1</v>
      </c>
      <c r="F42" s="276" t="s">
        <v>261</v>
      </c>
      <c r="G42" s="257" t="s">
        <v>262</v>
      </c>
      <c r="H42" s="258" t="s">
        <v>255</v>
      </c>
      <c r="I42" s="254" t="s">
        <v>256</v>
      </c>
      <c r="J42" s="257" t="s">
        <v>174</v>
      </c>
      <c r="K42" s="256" t="s">
        <v>39</v>
      </c>
      <c r="L42" s="269" t="s">
        <v>263</v>
      </c>
      <c r="M42" s="270">
        <v>1500000</v>
      </c>
      <c r="N42" s="270"/>
      <c r="O42" s="261">
        <v>4500000</v>
      </c>
      <c r="P42" s="261"/>
      <c r="Q42" s="261"/>
      <c r="R42" s="270"/>
      <c r="S42" s="261">
        <f t="shared" si="2"/>
        <v>360000</v>
      </c>
      <c r="T42" s="264">
        <f t="shared" si="3"/>
        <v>6360000</v>
      </c>
      <c r="U42" s="258" t="s">
        <v>176</v>
      </c>
      <c r="V42" s="265" t="str">
        <f t="shared" si="0"/>
        <v>Cước vận chuyển Cát Lái - XÃ CHƠN THÀNH, TỈNH ĐỒNG NAI cont: TRHU4653614 xe: 50H-25450</v>
      </c>
    </row>
    <row r="43" spans="1:22" s="277" customFormat="1" ht="32.25" customHeight="1" x14ac:dyDescent="0.2">
      <c r="A43" s="254">
        <f t="shared" si="1"/>
        <v>27</v>
      </c>
      <c r="B43" s="267">
        <v>45957</v>
      </c>
      <c r="C43" s="257">
        <v>7263168621</v>
      </c>
      <c r="D43" s="281"/>
      <c r="E43" s="281">
        <v>1</v>
      </c>
      <c r="F43" s="257" t="s">
        <v>264</v>
      </c>
      <c r="G43" s="257" t="s">
        <v>265</v>
      </c>
      <c r="H43" s="258" t="s">
        <v>255</v>
      </c>
      <c r="I43" s="254" t="s">
        <v>256</v>
      </c>
      <c r="J43" s="257" t="s">
        <v>174</v>
      </c>
      <c r="K43" s="256" t="s">
        <v>39</v>
      </c>
      <c r="L43" s="269" t="s">
        <v>266</v>
      </c>
      <c r="M43" s="270">
        <v>1500000</v>
      </c>
      <c r="N43" s="270"/>
      <c r="O43" s="261">
        <v>4500000</v>
      </c>
      <c r="P43" s="261"/>
      <c r="Q43" s="261"/>
      <c r="R43" s="270"/>
      <c r="S43" s="261">
        <f t="shared" si="2"/>
        <v>360000</v>
      </c>
      <c r="T43" s="264">
        <f t="shared" si="3"/>
        <v>6360000</v>
      </c>
      <c r="U43" s="258" t="s">
        <v>176</v>
      </c>
      <c r="V43" s="265" t="str">
        <f t="shared" si="0"/>
        <v>Cước vận chuyển Cát Lái - XÃ CHƠN THÀNH, TỈNH ĐỒNG NAI cont: CSNU6188467 xe: 50H - 188.34</v>
      </c>
    </row>
    <row r="44" spans="1:22" s="277" customFormat="1" ht="32.25" customHeight="1" x14ac:dyDescent="0.2">
      <c r="A44" s="254">
        <f t="shared" si="1"/>
        <v>28</v>
      </c>
      <c r="B44" s="267">
        <v>45957</v>
      </c>
      <c r="C44" s="257">
        <v>7263168621</v>
      </c>
      <c r="D44" s="280"/>
      <c r="E44" s="281">
        <v>1</v>
      </c>
      <c r="F44" s="257" t="s">
        <v>267</v>
      </c>
      <c r="G44" s="257" t="s">
        <v>268</v>
      </c>
      <c r="H44" s="258" t="s">
        <v>255</v>
      </c>
      <c r="I44" s="254" t="s">
        <v>256</v>
      </c>
      <c r="J44" s="257" t="s">
        <v>174</v>
      </c>
      <c r="K44" s="256" t="s">
        <v>39</v>
      </c>
      <c r="L44" s="269" t="s">
        <v>269</v>
      </c>
      <c r="M44" s="270">
        <v>1500000</v>
      </c>
      <c r="N44" s="270"/>
      <c r="O44" s="261">
        <v>4500000</v>
      </c>
      <c r="P44" s="261"/>
      <c r="Q44" s="261"/>
      <c r="R44" s="270"/>
      <c r="S44" s="261">
        <f t="shared" si="2"/>
        <v>360000</v>
      </c>
      <c r="T44" s="264">
        <f t="shared" si="3"/>
        <v>6360000</v>
      </c>
      <c r="U44" s="258" t="s">
        <v>176</v>
      </c>
      <c r="V44" s="265" t="str">
        <f t="shared" si="0"/>
        <v>Cước vận chuyển Cát Lái - XÃ CHƠN THÀNH, TỈNH ĐỒNG NAI cont: CSNU7464343 xe: 50H-292.75</v>
      </c>
    </row>
    <row r="45" spans="1:22" s="277" customFormat="1" ht="32.25" customHeight="1" x14ac:dyDescent="0.2">
      <c r="A45" s="254">
        <f t="shared" si="1"/>
        <v>29</v>
      </c>
      <c r="B45" s="267">
        <v>45957</v>
      </c>
      <c r="C45" s="257">
        <v>7263168621</v>
      </c>
      <c r="D45" s="280"/>
      <c r="E45" s="281">
        <v>1</v>
      </c>
      <c r="F45" s="257" t="s">
        <v>270</v>
      </c>
      <c r="G45" s="257" t="s">
        <v>271</v>
      </c>
      <c r="H45" s="258" t="s">
        <v>255</v>
      </c>
      <c r="I45" s="254" t="s">
        <v>256</v>
      </c>
      <c r="J45" s="257" t="s">
        <v>174</v>
      </c>
      <c r="K45" s="256" t="s">
        <v>39</v>
      </c>
      <c r="L45" s="269" t="s">
        <v>272</v>
      </c>
      <c r="M45" s="270">
        <v>1500000</v>
      </c>
      <c r="N45" s="270"/>
      <c r="O45" s="261">
        <v>4500000</v>
      </c>
      <c r="P45" s="261"/>
      <c r="Q45" s="261"/>
      <c r="R45" s="270"/>
      <c r="S45" s="261">
        <f t="shared" si="2"/>
        <v>360000</v>
      </c>
      <c r="T45" s="264">
        <f t="shared" si="3"/>
        <v>6360000</v>
      </c>
      <c r="U45" s="258" t="s">
        <v>176</v>
      </c>
      <c r="V45" s="265" t="str">
        <f t="shared" si="0"/>
        <v>Cước vận chuyển Cát Lái - XÃ CHƠN THÀNH, TỈNH ĐỒNG NAI cont: CCLU7969851 xe: 50H-75755</v>
      </c>
    </row>
    <row r="46" spans="1:22" s="277" customFormat="1" ht="32.25" customHeight="1" x14ac:dyDescent="0.2">
      <c r="A46" s="254">
        <f t="shared" si="1"/>
        <v>30</v>
      </c>
      <c r="B46" s="267">
        <v>45957</v>
      </c>
      <c r="C46" s="257">
        <v>7263168621</v>
      </c>
      <c r="D46" s="280"/>
      <c r="E46" s="281">
        <v>1</v>
      </c>
      <c r="F46" s="257" t="s">
        <v>273</v>
      </c>
      <c r="G46" s="258" t="s">
        <v>274</v>
      </c>
      <c r="H46" s="258" t="s">
        <v>255</v>
      </c>
      <c r="I46" s="254" t="s">
        <v>256</v>
      </c>
      <c r="J46" s="257" t="s">
        <v>174</v>
      </c>
      <c r="K46" s="256" t="s">
        <v>39</v>
      </c>
      <c r="L46" s="269" t="s">
        <v>275</v>
      </c>
      <c r="M46" s="270">
        <v>1500000</v>
      </c>
      <c r="N46" s="270"/>
      <c r="O46" s="261">
        <v>4500000</v>
      </c>
      <c r="P46" s="261"/>
      <c r="Q46" s="261"/>
      <c r="R46" s="270"/>
      <c r="S46" s="261">
        <f t="shared" si="2"/>
        <v>360000</v>
      </c>
      <c r="T46" s="264">
        <f t="shared" si="3"/>
        <v>6360000</v>
      </c>
      <c r="U46" s="258" t="s">
        <v>176</v>
      </c>
      <c r="V46" s="265" t="str">
        <f t="shared" si="0"/>
        <v>Cước vận chuyển Cát Lái - XÃ CHƠN THÀNH, TỈNH ĐỒNG NAI cont: FFAU2742531 xe: 50H-03629</v>
      </c>
    </row>
    <row r="47" spans="1:22" s="277" customFormat="1" ht="32.25" customHeight="1" x14ac:dyDescent="0.2">
      <c r="A47" s="254">
        <f t="shared" si="1"/>
        <v>31</v>
      </c>
      <c r="B47" s="267">
        <v>45957</v>
      </c>
      <c r="C47" s="257">
        <v>7263168621</v>
      </c>
      <c r="D47" s="280"/>
      <c r="E47" s="281">
        <v>1</v>
      </c>
      <c r="F47" s="276" t="s">
        <v>276</v>
      </c>
      <c r="G47" s="258" t="s">
        <v>277</v>
      </c>
      <c r="H47" s="258" t="s">
        <v>255</v>
      </c>
      <c r="I47" s="254" t="s">
        <v>256</v>
      </c>
      <c r="J47" s="257" t="s">
        <v>174</v>
      </c>
      <c r="K47" s="256" t="s">
        <v>39</v>
      </c>
      <c r="L47" s="269" t="s">
        <v>278</v>
      </c>
      <c r="M47" s="270">
        <v>1500000</v>
      </c>
      <c r="N47" s="270"/>
      <c r="O47" s="261">
        <v>4500000</v>
      </c>
      <c r="P47" s="261"/>
      <c r="Q47" s="261"/>
      <c r="R47" s="270"/>
      <c r="S47" s="261">
        <f t="shared" si="2"/>
        <v>360000</v>
      </c>
      <c r="T47" s="264">
        <f t="shared" si="3"/>
        <v>6360000</v>
      </c>
      <c r="U47" s="258" t="s">
        <v>176</v>
      </c>
      <c r="V47" s="265" t="str">
        <f t="shared" si="0"/>
        <v>Cước vận chuyển Cát Lái - XÃ CHƠN THÀNH, TỈNH ĐỒNG NAI cont: CSNU8324557 xe: 50E-31800</v>
      </c>
    </row>
    <row r="48" spans="1:22" s="277" customFormat="1" ht="32.25" customHeight="1" x14ac:dyDescent="0.2">
      <c r="A48" s="254">
        <f t="shared" si="1"/>
        <v>32</v>
      </c>
      <c r="B48" s="267">
        <v>45958</v>
      </c>
      <c r="C48" s="283" t="s">
        <v>279</v>
      </c>
      <c r="D48" s="284"/>
      <c r="E48" s="285">
        <v>1</v>
      </c>
      <c r="F48" s="257" t="s">
        <v>280</v>
      </c>
      <c r="G48" s="257" t="s">
        <v>262</v>
      </c>
      <c r="H48" s="258" t="s">
        <v>255</v>
      </c>
      <c r="I48" s="254" t="s">
        <v>256</v>
      </c>
      <c r="J48" s="257" t="s">
        <v>39</v>
      </c>
      <c r="K48" s="257" t="s">
        <v>281</v>
      </c>
      <c r="L48" s="269" t="s">
        <v>282</v>
      </c>
      <c r="M48" s="270">
        <v>1500000</v>
      </c>
      <c r="N48" s="270"/>
      <c r="O48" s="261">
        <v>4500000</v>
      </c>
      <c r="P48" s="261"/>
      <c r="Q48" s="261"/>
      <c r="R48" s="270"/>
      <c r="S48" s="261">
        <f t="shared" si="2"/>
        <v>360000</v>
      </c>
      <c r="T48" s="264">
        <f t="shared" si="3"/>
        <v>6360000</v>
      </c>
      <c r="U48" s="258" t="s">
        <v>176</v>
      </c>
      <c r="V48" s="265" t="str">
        <f t="shared" si="0"/>
        <v>Cước vận chuyển Cát Lái - XÃ CHƠN THÀNH, TỈNH ĐỒNG NAI cont: TGBU4841881 xe: 50H-25450</v>
      </c>
    </row>
    <row r="49" spans="1:22" s="277" customFormat="1" ht="32.25" customHeight="1" x14ac:dyDescent="0.2">
      <c r="A49" s="254">
        <f t="shared" si="1"/>
        <v>33</v>
      </c>
      <c r="B49" s="267">
        <v>45958</v>
      </c>
      <c r="C49" s="283" t="s">
        <v>279</v>
      </c>
      <c r="D49" s="271"/>
      <c r="E49" s="285">
        <v>1</v>
      </c>
      <c r="F49" s="257" t="s">
        <v>283</v>
      </c>
      <c r="G49" s="257" t="s">
        <v>284</v>
      </c>
      <c r="H49" s="258" t="s">
        <v>255</v>
      </c>
      <c r="I49" s="254" t="s">
        <v>256</v>
      </c>
      <c r="J49" s="257" t="s">
        <v>39</v>
      </c>
      <c r="K49" s="257" t="s">
        <v>281</v>
      </c>
      <c r="L49" s="269" t="s">
        <v>285</v>
      </c>
      <c r="M49" s="270">
        <v>1500000</v>
      </c>
      <c r="N49" s="270"/>
      <c r="O49" s="261">
        <v>4500000</v>
      </c>
      <c r="P49" s="261"/>
      <c r="Q49" s="261"/>
      <c r="R49" s="270"/>
      <c r="S49" s="261">
        <f t="shared" si="2"/>
        <v>360000</v>
      </c>
      <c r="T49" s="264">
        <f t="shared" si="3"/>
        <v>6360000</v>
      </c>
      <c r="U49" s="258" t="s">
        <v>176</v>
      </c>
      <c r="V49" s="265" t="str">
        <f t="shared" ref="V49:V80" si="4">"Cước vận chuyển Cát Lái - "&amp;I49&amp;" cont: "&amp;F49&amp;" xe: "&amp;G49</f>
        <v>Cước vận chuyển Cát Lái - XÃ CHƠN THÀNH, TỈNH ĐỒNG NAI cont: CSLU6331210 xe: 50H-29627</v>
      </c>
    </row>
    <row r="50" spans="1:22" s="277" customFormat="1" ht="32.25" customHeight="1" x14ac:dyDescent="0.2">
      <c r="A50" s="254">
        <f t="shared" si="1"/>
        <v>34</v>
      </c>
      <c r="B50" s="267">
        <v>45958</v>
      </c>
      <c r="C50" s="283" t="s">
        <v>279</v>
      </c>
      <c r="D50" s="271"/>
      <c r="E50" s="285">
        <v>1</v>
      </c>
      <c r="F50" s="257" t="s">
        <v>286</v>
      </c>
      <c r="G50" s="257" t="s">
        <v>287</v>
      </c>
      <c r="H50" s="258" t="s">
        <v>255</v>
      </c>
      <c r="I50" s="254" t="s">
        <v>256</v>
      </c>
      <c r="J50" s="257" t="s">
        <v>39</v>
      </c>
      <c r="K50" s="257" t="s">
        <v>281</v>
      </c>
      <c r="L50" s="269" t="s">
        <v>288</v>
      </c>
      <c r="M50" s="270">
        <v>1500000</v>
      </c>
      <c r="N50" s="270"/>
      <c r="O50" s="261">
        <v>4500000</v>
      </c>
      <c r="P50" s="261"/>
      <c r="Q50" s="261"/>
      <c r="R50" s="270"/>
      <c r="S50" s="261">
        <f t="shared" si="2"/>
        <v>360000</v>
      </c>
      <c r="T50" s="264">
        <f t="shared" si="3"/>
        <v>6360000</v>
      </c>
      <c r="U50" s="258" t="s">
        <v>176</v>
      </c>
      <c r="V50" s="265" t="str">
        <f t="shared" si="4"/>
        <v>Cước vận chuyển Cát Lái - XÃ CHƠN THÀNH, TỈNH ĐỒNG NAI cont: TIIU5260561 xe: 51C-34641</v>
      </c>
    </row>
    <row r="51" spans="1:22" s="287" customFormat="1" ht="32.25" customHeight="1" x14ac:dyDescent="0.2">
      <c r="A51" s="254">
        <f t="shared" si="1"/>
        <v>35</v>
      </c>
      <c r="B51" s="267">
        <v>45958</v>
      </c>
      <c r="C51" s="283" t="s">
        <v>279</v>
      </c>
      <c r="D51" s="286"/>
      <c r="E51" s="285">
        <v>1</v>
      </c>
      <c r="F51" s="276" t="s">
        <v>289</v>
      </c>
      <c r="G51" s="257" t="s">
        <v>290</v>
      </c>
      <c r="H51" s="258" t="s">
        <v>255</v>
      </c>
      <c r="I51" s="254" t="s">
        <v>256</v>
      </c>
      <c r="J51" s="257" t="s">
        <v>39</v>
      </c>
      <c r="K51" s="257" t="s">
        <v>281</v>
      </c>
      <c r="L51" s="269" t="s">
        <v>291</v>
      </c>
      <c r="M51" s="270">
        <v>1500000</v>
      </c>
      <c r="N51" s="270"/>
      <c r="O51" s="261">
        <v>4500000</v>
      </c>
      <c r="P51" s="261"/>
      <c r="Q51" s="261"/>
      <c r="R51" s="270"/>
      <c r="S51" s="261">
        <f t="shared" si="2"/>
        <v>360000</v>
      </c>
      <c r="T51" s="264">
        <f t="shared" si="3"/>
        <v>6360000</v>
      </c>
      <c r="U51" s="258" t="s">
        <v>176</v>
      </c>
      <c r="V51" s="265" t="str">
        <f t="shared" si="4"/>
        <v>Cước vận chuyển Cát Lái - XÃ CHƠN THÀNH, TỈNH ĐỒNG NAI cont: UETU5759563 xe: 51C-29222</v>
      </c>
    </row>
    <row r="52" spans="1:22" s="266" customFormat="1" ht="32.25" customHeight="1" x14ac:dyDescent="0.2">
      <c r="A52" s="254">
        <f t="shared" si="1"/>
        <v>36</v>
      </c>
      <c r="B52" s="267">
        <v>45958</v>
      </c>
      <c r="C52" s="283" t="s">
        <v>279</v>
      </c>
      <c r="D52" s="271"/>
      <c r="E52" s="285">
        <v>1</v>
      </c>
      <c r="F52" s="257" t="s">
        <v>292</v>
      </c>
      <c r="G52" s="257" t="s">
        <v>293</v>
      </c>
      <c r="H52" s="258" t="s">
        <v>255</v>
      </c>
      <c r="I52" s="254" t="s">
        <v>256</v>
      </c>
      <c r="J52" s="257" t="s">
        <v>39</v>
      </c>
      <c r="K52" s="257" t="s">
        <v>281</v>
      </c>
      <c r="L52" s="269" t="s">
        <v>294</v>
      </c>
      <c r="M52" s="270">
        <v>1500000</v>
      </c>
      <c r="N52" s="270"/>
      <c r="O52" s="261">
        <v>4500000</v>
      </c>
      <c r="P52" s="261"/>
      <c r="Q52" s="261"/>
      <c r="R52" s="270"/>
      <c r="S52" s="261">
        <f t="shared" si="2"/>
        <v>360000</v>
      </c>
      <c r="T52" s="264">
        <f t="shared" si="3"/>
        <v>6360000</v>
      </c>
      <c r="U52" s="258" t="s">
        <v>176</v>
      </c>
      <c r="V52" s="265" t="str">
        <f t="shared" si="4"/>
        <v>Cước vận chuyển Cát Lái - XÃ CHƠN THÀNH, TỈNH ĐỒNG NAI cont: CCLU7823147 xe: 04289-50H</v>
      </c>
    </row>
    <row r="53" spans="1:22" s="266" customFormat="1" ht="32.25" customHeight="1" x14ac:dyDescent="0.2">
      <c r="A53" s="254">
        <f t="shared" si="1"/>
        <v>37</v>
      </c>
      <c r="B53" s="267">
        <v>45958</v>
      </c>
      <c r="C53" s="288" t="s">
        <v>279</v>
      </c>
      <c r="D53" s="275"/>
      <c r="E53" s="281">
        <v>1</v>
      </c>
      <c r="F53" s="289" t="s">
        <v>295</v>
      </c>
      <c r="G53" s="258" t="s">
        <v>225</v>
      </c>
      <c r="H53" s="290" t="s">
        <v>255</v>
      </c>
      <c r="I53" s="291" t="s">
        <v>256</v>
      </c>
      <c r="J53" s="292" t="s">
        <v>39</v>
      </c>
      <c r="K53" s="257" t="s">
        <v>281</v>
      </c>
      <c r="L53" s="269" t="s">
        <v>296</v>
      </c>
      <c r="M53" s="270">
        <v>1500000</v>
      </c>
      <c r="N53" s="270"/>
      <c r="O53" s="261">
        <v>4500000</v>
      </c>
      <c r="P53" s="261"/>
      <c r="Q53" s="261"/>
      <c r="R53" s="270"/>
      <c r="S53" s="261">
        <f t="shared" si="2"/>
        <v>360000</v>
      </c>
      <c r="T53" s="264">
        <f t="shared" si="3"/>
        <v>6360000</v>
      </c>
      <c r="U53" s="258" t="s">
        <v>176</v>
      </c>
      <c r="V53" s="265" t="str">
        <f t="shared" si="4"/>
        <v>Cước vận chuyển Cát Lái - XÃ CHƠN THÀNH, TỈNH ĐỒNG NAI cont: TGHU6847828 xe: 50H-61118</v>
      </c>
    </row>
    <row r="54" spans="1:22" s="277" customFormat="1" ht="32.25" customHeight="1" x14ac:dyDescent="0.2">
      <c r="A54" s="254">
        <f t="shared" si="1"/>
        <v>38</v>
      </c>
      <c r="B54" s="267">
        <v>45958</v>
      </c>
      <c r="C54" s="257">
        <v>7263168622</v>
      </c>
      <c r="D54" s="271"/>
      <c r="E54" s="268">
        <v>1</v>
      </c>
      <c r="F54" s="293" t="s">
        <v>297</v>
      </c>
      <c r="G54" s="258" t="s">
        <v>198</v>
      </c>
      <c r="H54" s="258" t="s">
        <v>298</v>
      </c>
      <c r="I54" s="256" t="s">
        <v>299</v>
      </c>
      <c r="J54" s="257" t="s">
        <v>174</v>
      </c>
      <c r="K54" s="256" t="s">
        <v>39</v>
      </c>
      <c r="L54" s="269" t="s">
        <v>300</v>
      </c>
      <c r="M54" s="270">
        <v>1500000</v>
      </c>
      <c r="N54" s="270"/>
      <c r="O54" s="261">
        <v>5300000</v>
      </c>
      <c r="P54" s="261"/>
      <c r="Q54" s="261"/>
      <c r="R54" s="270"/>
      <c r="S54" s="261">
        <f t="shared" si="2"/>
        <v>424000</v>
      </c>
      <c r="T54" s="264">
        <f t="shared" si="3"/>
        <v>7224000</v>
      </c>
      <c r="U54" s="258" t="s">
        <v>176</v>
      </c>
      <c r="V54" s="265" t="str">
        <f t="shared" si="4"/>
        <v>Cước vận chuyển Cát Lái - ĐỒNG PHÚ, BÌNH PHƯỚC cont: FCIU9498316 xe: 51D-14187</v>
      </c>
    </row>
    <row r="55" spans="1:22" s="266" customFormat="1" ht="32.25" customHeight="1" x14ac:dyDescent="0.2">
      <c r="A55" s="254">
        <f t="shared" si="1"/>
        <v>39</v>
      </c>
      <c r="B55" s="267">
        <v>45958</v>
      </c>
      <c r="C55" s="257">
        <v>7263168622</v>
      </c>
      <c r="D55" s="271"/>
      <c r="E55" s="268">
        <v>1</v>
      </c>
      <c r="F55" s="294" t="s">
        <v>301</v>
      </c>
      <c r="G55" s="258" t="s">
        <v>302</v>
      </c>
      <c r="H55" s="258" t="s">
        <v>298</v>
      </c>
      <c r="I55" s="256" t="s">
        <v>299</v>
      </c>
      <c r="J55" s="257" t="s">
        <v>174</v>
      </c>
      <c r="K55" s="256" t="s">
        <v>39</v>
      </c>
      <c r="L55" s="269" t="s">
        <v>303</v>
      </c>
      <c r="M55" s="270">
        <v>1500000</v>
      </c>
      <c r="N55" s="270"/>
      <c r="O55" s="261">
        <v>5300000</v>
      </c>
      <c r="P55" s="261"/>
      <c r="Q55" s="261"/>
      <c r="R55" s="270"/>
      <c r="S55" s="261">
        <f t="shared" si="2"/>
        <v>424000</v>
      </c>
      <c r="T55" s="264">
        <f t="shared" si="3"/>
        <v>7224000</v>
      </c>
      <c r="U55" s="258" t="s">
        <v>176</v>
      </c>
      <c r="V55" s="265" t="str">
        <f t="shared" si="4"/>
        <v>Cước vận chuyển Cát Lái - ĐỒNG PHÚ, BÌNH PHƯỚC cont: CSNU6358434 xe: 51C-64390</v>
      </c>
    </row>
    <row r="56" spans="1:22" s="266" customFormat="1" ht="32.25" customHeight="1" x14ac:dyDescent="0.2">
      <c r="A56" s="254">
        <f t="shared" si="1"/>
        <v>40</v>
      </c>
      <c r="B56" s="267">
        <v>45958</v>
      </c>
      <c r="C56" s="257">
        <v>7263168622</v>
      </c>
      <c r="D56" s="271"/>
      <c r="E56" s="268">
        <v>1</v>
      </c>
      <c r="F56" s="293" t="s">
        <v>304</v>
      </c>
      <c r="G56" s="258" t="s">
        <v>305</v>
      </c>
      <c r="H56" s="258" t="s">
        <v>298</v>
      </c>
      <c r="I56" s="256" t="s">
        <v>299</v>
      </c>
      <c r="J56" s="257" t="s">
        <v>174</v>
      </c>
      <c r="K56" s="256" t="s">
        <v>39</v>
      </c>
      <c r="L56" s="269" t="s">
        <v>306</v>
      </c>
      <c r="M56" s="270">
        <v>1500000</v>
      </c>
      <c r="N56" s="270"/>
      <c r="O56" s="261">
        <v>5300000</v>
      </c>
      <c r="P56" s="261"/>
      <c r="Q56" s="261"/>
      <c r="R56" s="270"/>
      <c r="S56" s="261">
        <f t="shared" si="2"/>
        <v>424000</v>
      </c>
      <c r="T56" s="264">
        <f t="shared" si="3"/>
        <v>7224000</v>
      </c>
      <c r="U56" s="258" t="s">
        <v>176</v>
      </c>
      <c r="V56" s="265" t="str">
        <f t="shared" si="4"/>
        <v>Cước vận chuyển Cát Lái - ĐỒNG PHÚ, BÌNH PHƯỚC cont: TGBU7963311 xe: 51C-54560</v>
      </c>
    </row>
    <row r="57" spans="1:22" s="266" customFormat="1" ht="32.25" customHeight="1" x14ac:dyDescent="0.2">
      <c r="A57" s="254">
        <f t="shared" si="1"/>
        <v>41</v>
      </c>
      <c r="B57" s="267">
        <v>45958</v>
      </c>
      <c r="C57" s="257">
        <v>7263168622</v>
      </c>
      <c r="D57" s="271"/>
      <c r="E57" s="268">
        <v>1</v>
      </c>
      <c r="F57" s="294" t="s">
        <v>307</v>
      </c>
      <c r="G57" s="258" t="s">
        <v>308</v>
      </c>
      <c r="H57" s="258" t="s">
        <v>298</v>
      </c>
      <c r="I57" s="256" t="s">
        <v>299</v>
      </c>
      <c r="J57" s="257" t="s">
        <v>174</v>
      </c>
      <c r="K57" s="256" t="s">
        <v>39</v>
      </c>
      <c r="L57" s="269" t="s">
        <v>309</v>
      </c>
      <c r="M57" s="270">
        <v>1500000</v>
      </c>
      <c r="N57" s="270"/>
      <c r="O57" s="261">
        <v>5300000</v>
      </c>
      <c r="P57" s="261"/>
      <c r="Q57" s="261"/>
      <c r="R57" s="270"/>
      <c r="S57" s="261">
        <f t="shared" si="2"/>
        <v>424000</v>
      </c>
      <c r="T57" s="264">
        <f t="shared" si="3"/>
        <v>7224000</v>
      </c>
      <c r="U57" s="258" t="s">
        <v>176</v>
      </c>
      <c r="V57" s="265" t="str">
        <f t="shared" si="4"/>
        <v>Cước vận chuyển Cát Lái - ĐỒNG PHÚ, BÌNH PHƯỚC cont: CSNU8750357 xe: 50E-31965</v>
      </c>
    </row>
    <row r="58" spans="1:22" s="266" customFormat="1" ht="32.25" customHeight="1" x14ac:dyDescent="0.2">
      <c r="A58" s="254">
        <f t="shared" si="1"/>
        <v>42</v>
      </c>
      <c r="B58" s="267">
        <v>45958</v>
      </c>
      <c r="C58" s="257">
        <v>7263168620</v>
      </c>
      <c r="D58" s="271"/>
      <c r="E58" s="268">
        <v>1</v>
      </c>
      <c r="F58" s="257" t="s">
        <v>310</v>
      </c>
      <c r="G58" s="282" t="s">
        <v>254</v>
      </c>
      <c r="H58" s="258" t="s">
        <v>255</v>
      </c>
      <c r="I58" s="254" t="s">
        <v>256</v>
      </c>
      <c r="J58" s="257" t="s">
        <v>174</v>
      </c>
      <c r="K58" s="256" t="s">
        <v>39</v>
      </c>
      <c r="L58" s="269" t="s">
        <v>311</v>
      </c>
      <c r="M58" s="270">
        <v>1500000</v>
      </c>
      <c r="N58" s="270"/>
      <c r="O58" s="261">
        <v>4500000</v>
      </c>
      <c r="P58" s="261"/>
      <c r="Q58" s="261"/>
      <c r="R58" s="270"/>
      <c r="S58" s="261">
        <f t="shared" si="2"/>
        <v>360000</v>
      </c>
      <c r="T58" s="264">
        <f t="shared" si="3"/>
        <v>6360000</v>
      </c>
      <c r="U58" s="258" t="s">
        <v>176</v>
      </c>
      <c r="V58" s="265" t="str">
        <f t="shared" si="4"/>
        <v>Cước vận chuyển Cát Lái - XÃ CHƠN THÀNH, TỈNH ĐỒNG NAI cont: CSNU7179731 xe: 61E-03521</v>
      </c>
    </row>
    <row r="59" spans="1:22" s="266" customFormat="1" ht="32.25" customHeight="1" x14ac:dyDescent="0.2">
      <c r="A59" s="254">
        <f t="shared" si="1"/>
        <v>43</v>
      </c>
      <c r="B59" s="267">
        <v>45958</v>
      </c>
      <c r="C59" s="257">
        <v>7263168620</v>
      </c>
      <c r="D59" s="271"/>
      <c r="E59" s="268">
        <v>1</v>
      </c>
      <c r="F59" s="257" t="s">
        <v>312</v>
      </c>
      <c r="G59" s="257" t="s">
        <v>313</v>
      </c>
      <c r="H59" s="258" t="s">
        <v>255</v>
      </c>
      <c r="I59" s="254" t="s">
        <v>256</v>
      </c>
      <c r="J59" s="257" t="s">
        <v>174</v>
      </c>
      <c r="K59" s="256" t="s">
        <v>39</v>
      </c>
      <c r="L59" s="269" t="s">
        <v>314</v>
      </c>
      <c r="M59" s="270">
        <f>1500000+500000</f>
        <v>2000000</v>
      </c>
      <c r="N59" s="270"/>
      <c r="O59" s="261">
        <v>4500000</v>
      </c>
      <c r="P59" s="261"/>
      <c r="Q59" s="261"/>
      <c r="R59" s="270"/>
      <c r="S59" s="261">
        <f t="shared" si="2"/>
        <v>360000</v>
      </c>
      <c r="T59" s="264">
        <f t="shared" si="3"/>
        <v>6860000</v>
      </c>
      <c r="U59" s="258" t="s">
        <v>176</v>
      </c>
      <c r="V59" s="265" t="str">
        <f t="shared" si="4"/>
        <v>Cước vận chuyển Cát Lái - XÃ CHƠN THÀNH, TỈNH ĐỒNG NAI cont: CBHU9446654 xe: 50H-91448</v>
      </c>
    </row>
    <row r="60" spans="1:22" s="266" customFormat="1" ht="32.25" customHeight="1" x14ac:dyDescent="0.2">
      <c r="A60" s="254">
        <f t="shared" si="1"/>
        <v>44</v>
      </c>
      <c r="B60" s="267">
        <v>45958</v>
      </c>
      <c r="C60" s="257">
        <v>7263168620</v>
      </c>
      <c r="D60" s="271"/>
      <c r="E60" s="268">
        <v>1</v>
      </c>
      <c r="F60" s="276" t="s">
        <v>315</v>
      </c>
      <c r="G60" s="257" t="s">
        <v>232</v>
      </c>
      <c r="H60" s="258" t="s">
        <v>255</v>
      </c>
      <c r="I60" s="254" t="s">
        <v>256</v>
      </c>
      <c r="J60" s="257" t="s">
        <v>174</v>
      </c>
      <c r="K60" s="256" t="s">
        <v>39</v>
      </c>
      <c r="L60" s="269" t="s">
        <v>316</v>
      </c>
      <c r="M60" s="270">
        <v>1500000</v>
      </c>
      <c r="N60" s="270"/>
      <c r="O60" s="261">
        <v>4500000</v>
      </c>
      <c r="P60" s="261"/>
      <c r="Q60" s="261"/>
      <c r="R60" s="270"/>
      <c r="S60" s="261">
        <f t="shared" si="2"/>
        <v>360000</v>
      </c>
      <c r="T60" s="264">
        <f t="shared" si="3"/>
        <v>6360000</v>
      </c>
      <c r="U60" s="258" t="s">
        <v>176</v>
      </c>
      <c r="V60" s="265" t="str">
        <f t="shared" si="4"/>
        <v>Cước vận chuyển Cát Lái - XÃ CHƠN THÀNH, TỈNH ĐỒNG NAI cont: CSNU7228749 xe: 61H-08950</v>
      </c>
    </row>
    <row r="61" spans="1:22" s="266" customFormat="1" ht="32.25" customHeight="1" x14ac:dyDescent="0.2">
      <c r="A61" s="254">
        <f t="shared" si="1"/>
        <v>45</v>
      </c>
      <c r="B61" s="267">
        <v>45958</v>
      </c>
      <c r="C61" s="257">
        <v>7263168620</v>
      </c>
      <c r="D61" s="271"/>
      <c r="E61" s="268">
        <v>1</v>
      </c>
      <c r="F61" s="257" t="s">
        <v>317</v>
      </c>
      <c r="G61" s="257" t="s">
        <v>318</v>
      </c>
      <c r="H61" s="258" t="s">
        <v>255</v>
      </c>
      <c r="I61" s="254" t="s">
        <v>256</v>
      </c>
      <c r="J61" s="257" t="s">
        <v>174</v>
      </c>
      <c r="K61" s="256" t="s">
        <v>39</v>
      </c>
      <c r="L61" s="269" t="s">
        <v>316</v>
      </c>
      <c r="M61" s="270">
        <v>1500000</v>
      </c>
      <c r="N61" s="270"/>
      <c r="O61" s="261">
        <v>4500000</v>
      </c>
      <c r="P61" s="261"/>
      <c r="Q61" s="261"/>
      <c r="R61" s="270"/>
      <c r="S61" s="261">
        <f t="shared" si="2"/>
        <v>360000</v>
      </c>
      <c r="T61" s="264">
        <f t="shared" si="3"/>
        <v>6360000</v>
      </c>
      <c r="U61" s="258" t="s">
        <v>176</v>
      </c>
      <c r="V61" s="265" t="str">
        <f t="shared" si="4"/>
        <v>Cước vận chuyển Cát Lái - XÃ CHƠN THÀNH, TỈNH ĐỒNG NAI cont: CSNU8479287 xe: 61H-15392</v>
      </c>
    </row>
    <row r="62" spans="1:22" s="266" customFormat="1" ht="32.25" customHeight="1" x14ac:dyDescent="0.2">
      <c r="A62" s="254">
        <f t="shared" si="1"/>
        <v>46</v>
      </c>
      <c r="B62" s="267">
        <v>45958</v>
      </c>
      <c r="C62" s="257">
        <v>7263168620</v>
      </c>
      <c r="D62" s="271"/>
      <c r="E62" s="268">
        <v>1</v>
      </c>
      <c r="F62" s="257" t="s">
        <v>319</v>
      </c>
      <c r="G62" s="257" t="s">
        <v>320</v>
      </c>
      <c r="H62" s="258" t="s">
        <v>255</v>
      </c>
      <c r="I62" s="254" t="s">
        <v>256</v>
      </c>
      <c r="J62" s="257" t="s">
        <v>174</v>
      </c>
      <c r="K62" s="256" t="s">
        <v>39</v>
      </c>
      <c r="L62" s="269" t="s">
        <v>321</v>
      </c>
      <c r="M62" s="270">
        <v>1500000</v>
      </c>
      <c r="N62" s="270"/>
      <c r="O62" s="261">
        <v>4500000</v>
      </c>
      <c r="P62" s="261"/>
      <c r="Q62" s="261"/>
      <c r="R62" s="270"/>
      <c r="S62" s="261">
        <f t="shared" si="2"/>
        <v>360000</v>
      </c>
      <c r="T62" s="264">
        <f t="shared" si="3"/>
        <v>6360000</v>
      </c>
      <c r="U62" s="258" t="s">
        <v>176</v>
      </c>
      <c r="V62" s="265" t="str">
        <f t="shared" si="4"/>
        <v>Cước vận chuyển Cát Lái - XÃ CHƠN THÀNH, TỈNH ĐỒNG NAI cont: CSNU7251013 xe: 50H-24336</v>
      </c>
    </row>
    <row r="63" spans="1:22" s="266" customFormat="1" ht="32.25" customHeight="1" x14ac:dyDescent="0.2">
      <c r="A63" s="254">
        <f t="shared" si="1"/>
        <v>47</v>
      </c>
      <c r="B63" s="267">
        <v>45958</v>
      </c>
      <c r="C63" s="257">
        <v>7263168620</v>
      </c>
      <c r="D63" s="271"/>
      <c r="E63" s="268">
        <v>1</v>
      </c>
      <c r="F63" s="276" t="s">
        <v>322</v>
      </c>
      <c r="G63" s="257" t="s">
        <v>323</v>
      </c>
      <c r="H63" s="258" t="s">
        <v>255</v>
      </c>
      <c r="I63" s="254" t="s">
        <v>256</v>
      </c>
      <c r="J63" s="257" t="s">
        <v>174</v>
      </c>
      <c r="K63" s="256" t="s">
        <v>39</v>
      </c>
      <c r="L63" s="269" t="s">
        <v>324</v>
      </c>
      <c r="M63" s="270">
        <v>1500000</v>
      </c>
      <c r="N63" s="270"/>
      <c r="O63" s="261">
        <v>4500000</v>
      </c>
      <c r="P63" s="261"/>
      <c r="Q63" s="261"/>
      <c r="R63" s="270"/>
      <c r="S63" s="261">
        <f t="shared" si="2"/>
        <v>360000</v>
      </c>
      <c r="T63" s="264">
        <f t="shared" si="3"/>
        <v>6360000</v>
      </c>
      <c r="U63" s="258" t="s">
        <v>176</v>
      </c>
      <c r="V63" s="265" t="str">
        <f t="shared" si="4"/>
        <v>Cước vận chuyển Cát Lái - XÃ CHƠN THÀNH, TỈNH ĐỒNG NAI cont: CSNU7419724 xe: 50H-68371</v>
      </c>
    </row>
    <row r="64" spans="1:22" s="266" customFormat="1" ht="32.25" customHeight="1" x14ac:dyDescent="0.2">
      <c r="A64" s="254">
        <f t="shared" si="1"/>
        <v>48</v>
      </c>
      <c r="B64" s="267">
        <v>45958</v>
      </c>
      <c r="C64" s="257">
        <v>7263168620</v>
      </c>
      <c r="D64" s="271"/>
      <c r="E64" s="268">
        <v>1</v>
      </c>
      <c r="F64" s="257" t="s">
        <v>325</v>
      </c>
      <c r="G64" s="276" t="s">
        <v>326</v>
      </c>
      <c r="H64" s="258" t="s">
        <v>255</v>
      </c>
      <c r="I64" s="254" t="s">
        <v>256</v>
      </c>
      <c r="J64" s="257" t="s">
        <v>174</v>
      </c>
      <c r="K64" s="256" t="s">
        <v>39</v>
      </c>
      <c r="L64" s="269" t="s">
        <v>327</v>
      </c>
      <c r="M64" s="270">
        <v>1500000</v>
      </c>
      <c r="N64" s="270"/>
      <c r="O64" s="261">
        <v>4500000</v>
      </c>
      <c r="P64" s="261"/>
      <c r="Q64" s="261"/>
      <c r="R64" s="270"/>
      <c r="S64" s="261">
        <f t="shared" si="2"/>
        <v>360000</v>
      </c>
      <c r="T64" s="264">
        <f t="shared" si="3"/>
        <v>6360000</v>
      </c>
      <c r="U64" s="258" t="s">
        <v>176</v>
      </c>
      <c r="V64" s="265" t="str">
        <f t="shared" si="4"/>
        <v>Cước vận chuyển Cát Lái - XÃ CHƠN THÀNH, TỈNH ĐỒNG NAI cont: CSNU6787341 xe: 11483-51D</v>
      </c>
    </row>
    <row r="65" spans="1:22" s="266" customFormat="1" ht="32.25" customHeight="1" x14ac:dyDescent="0.2">
      <c r="A65" s="254">
        <f t="shared" si="1"/>
        <v>49</v>
      </c>
      <c r="B65" s="267">
        <v>45958</v>
      </c>
      <c r="C65" s="257">
        <v>7263168620</v>
      </c>
      <c r="D65" s="271"/>
      <c r="E65" s="268">
        <v>1</v>
      </c>
      <c r="F65" s="258" t="s">
        <v>328</v>
      </c>
      <c r="G65" s="258" t="s">
        <v>188</v>
      </c>
      <c r="H65" s="258" t="s">
        <v>255</v>
      </c>
      <c r="I65" s="254" t="s">
        <v>256</v>
      </c>
      <c r="J65" s="257" t="s">
        <v>174</v>
      </c>
      <c r="K65" s="256" t="s">
        <v>39</v>
      </c>
      <c r="L65" s="269" t="s">
        <v>329</v>
      </c>
      <c r="M65" s="270">
        <v>1500000</v>
      </c>
      <c r="N65" s="270"/>
      <c r="O65" s="261">
        <v>4500000</v>
      </c>
      <c r="P65" s="261"/>
      <c r="Q65" s="261"/>
      <c r="R65" s="270"/>
      <c r="S65" s="261">
        <f t="shared" si="2"/>
        <v>360000</v>
      </c>
      <c r="T65" s="264">
        <f t="shared" si="3"/>
        <v>6360000</v>
      </c>
      <c r="U65" s="258" t="s">
        <v>176</v>
      </c>
      <c r="V65" s="265" t="str">
        <f t="shared" si="4"/>
        <v>Cước vận chuyển Cát Lái - XÃ CHƠN THÀNH, TỈNH ĐỒNG NAI cont: CSNU8559016 xe: 51D-11483</v>
      </c>
    </row>
    <row r="66" spans="1:22" s="266" customFormat="1" ht="32.25" customHeight="1" x14ac:dyDescent="0.2">
      <c r="A66" s="254">
        <f t="shared" si="1"/>
        <v>50</v>
      </c>
      <c r="B66" s="267">
        <v>45958</v>
      </c>
      <c r="C66" s="257" t="s">
        <v>330</v>
      </c>
      <c r="D66" s="268"/>
      <c r="E66" s="268">
        <v>1</v>
      </c>
      <c r="F66" s="257" t="s">
        <v>331</v>
      </c>
      <c r="G66" s="258" t="s">
        <v>185</v>
      </c>
      <c r="H66" s="268" t="s">
        <v>180</v>
      </c>
      <c r="I66" s="256" t="s">
        <v>181</v>
      </c>
      <c r="J66" s="256" t="s">
        <v>39</v>
      </c>
      <c r="K66" s="257" t="s">
        <v>332</v>
      </c>
      <c r="L66" s="295" t="s">
        <v>333</v>
      </c>
      <c r="M66" s="270">
        <v>1500000</v>
      </c>
      <c r="N66" s="270"/>
      <c r="O66" s="261">
        <v>4500000</v>
      </c>
      <c r="P66" s="261"/>
      <c r="Q66" s="261"/>
      <c r="R66" s="270"/>
      <c r="S66" s="261">
        <f t="shared" si="2"/>
        <v>360000</v>
      </c>
      <c r="T66" s="264">
        <f t="shared" si="3"/>
        <v>6360000</v>
      </c>
      <c r="U66" s="258" t="s">
        <v>176</v>
      </c>
      <c r="V66" s="265" t="str">
        <f t="shared" si="4"/>
        <v>Cước vận chuyển Cát Lái - CHƠN THÀNH, BÌNH PHƯỚC cont: KKFU8144661 xe: 51C-47877</v>
      </c>
    </row>
    <row r="67" spans="1:22" s="266" customFormat="1" ht="32.25" customHeight="1" x14ac:dyDescent="0.2">
      <c r="A67" s="254">
        <f t="shared" si="1"/>
        <v>51</v>
      </c>
      <c r="B67" s="267">
        <v>45958</v>
      </c>
      <c r="C67" s="257" t="s">
        <v>330</v>
      </c>
      <c r="D67" s="271"/>
      <c r="E67" s="268">
        <v>1</v>
      </c>
      <c r="F67" s="258" t="s">
        <v>334</v>
      </c>
      <c r="G67" s="258" t="s">
        <v>335</v>
      </c>
      <c r="H67" s="268" t="s">
        <v>180</v>
      </c>
      <c r="I67" s="256" t="s">
        <v>181</v>
      </c>
      <c r="J67" s="256" t="s">
        <v>39</v>
      </c>
      <c r="K67" s="257" t="s">
        <v>332</v>
      </c>
      <c r="L67" s="295" t="s">
        <v>336</v>
      </c>
      <c r="M67" s="270">
        <v>1500000</v>
      </c>
      <c r="N67" s="270"/>
      <c r="O67" s="261">
        <v>4500000</v>
      </c>
      <c r="P67" s="261"/>
      <c r="Q67" s="261"/>
      <c r="R67" s="270"/>
      <c r="S67" s="261">
        <f t="shared" si="2"/>
        <v>360000</v>
      </c>
      <c r="T67" s="264">
        <f t="shared" si="3"/>
        <v>6360000</v>
      </c>
      <c r="U67" s="258" t="s">
        <v>176</v>
      </c>
      <c r="V67" s="265" t="str">
        <f t="shared" si="4"/>
        <v>Cước vận chuyển Cát Lái - CHƠN THÀNH, BÌNH PHƯỚC cont: KKFU7835144 xe: 51D-63673</v>
      </c>
    </row>
    <row r="68" spans="1:22" s="266" customFormat="1" ht="32.25" customHeight="1" x14ac:dyDescent="0.2">
      <c r="A68" s="254">
        <f t="shared" si="1"/>
        <v>52</v>
      </c>
      <c r="B68" s="267">
        <v>45958</v>
      </c>
      <c r="C68" s="257" t="s">
        <v>330</v>
      </c>
      <c r="D68" s="271"/>
      <c r="E68" s="268">
        <v>1</v>
      </c>
      <c r="F68" s="276" t="s">
        <v>337</v>
      </c>
      <c r="G68" s="258" t="s">
        <v>338</v>
      </c>
      <c r="H68" s="268" t="s">
        <v>180</v>
      </c>
      <c r="I68" s="256" t="s">
        <v>181</v>
      </c>
      <c r="J68" s="256" t="s">
        <v>39</v>
      </c>
      <c r="K68" s="257" t="s">
        <v>332</v>
      </c>
      <c r="L68" s="295" t="s">
        <v>339</v>
      </c>
      <c r="M68" s="270">
        <v>1512000</v>
      </c>
      <c r="N68" s="270"/>
      <c r="O68" s="261">
        <v>4500000</v>
      </c>
      <c r="P68" s="261"/>
      <c r="Q68" s="261"/>
      <c r="R68" s="270"/>
      <c r="S68" s="261">
        <f t="shared" si="2"/>
        <v>360000</v>
      </c>
      <c r="T68" s="264">
        <f t="shared" si="3"/>
        <v>6372000</v>
      </c>
      <c r="U68" s="258" t="s">
        <v>176</v>
      </c>
      <c r="V68" s="265" t="str">
        <f t="shared" si="4"/>
        <v>Cước vận chuyển Cát Lái - CHƠN THÀNH, BÌNH PHƯỚC cont: GAOU6546176 xe: 50H-60254</v>
      </c>
    </row>
    <row r="69" spans="1:22" s="277" customFormat="1" ht="32.25" customHeight="1" x14ac:dyDescent="0.2">
      <c r="A69" s="254">
        <f t="shared" si="1"/>
        <v>53</v>
      </c>
      <c r="B69" s="267">
        <v>45958</v>
      </c>
      <c r="C69" s="257" t="s">
        <v>330</v>
      </c>
      <c r="D69" s="271"/>
      <c r="E69" s="268">
        <v>1</v>
      </c>
      <c r="F69" s="257" t="s">
        <v>340</v>
      </c>
      <c r="G69" s="258" t="s">
        <v>341</v>
      </c>
      <c r="H69" s="268" t="s">
        <v>180</v>
      </c>
      <c r="I69" s="256" t="s">
        <v>181</v>
      </c>
      <c r="J69" s="256" t="s">
        <v>39</v>
      </c>
      <c r="K69" s="257" t="s">
        <v>332</v>
      </c>
      <c r="L69" s="295" t="s">
        <v>342</v>
      </c>
      <c r="M69" s="270">
        <v>1512000</v>
      </c>
      <c r="N69" s="270"/>
      <c r="O69" s="261">
        <v>4500000</v>
      </c>
      <c r="P69" s="261"/>
      <c r="Q69" s="261"/>
      <c r="R69" s="270"/>
      <c r="S69" s="261">
        <f t="shared" si="2"/>
        <v>360000</v>
      </c>
      <c r="T69" s="264">
        <f t="shared" si="3"/>
        <v>6372000</v>
      </c>
      <c r="U69" s="258" t="s">
        <v>176</v>
      </c>
      <c r="V69" s="265" t="str">
        <f t="shared" si="4"/>
        <v>Cước vận chuyển Cát Lái - CHƠN THÀNH, BÌNH PHƯỚC cont: FFAU6449178 xe: 51C-69603</v>
      </c>
    </row>
    <row r="70" spans="1:22" s="266" customFormat="1" ht="32.25" customHeight="1" x14ac:dyDescent="0.2">
      <c r="A70" s="254">
        <f t="shared" si="1"/>
        <v>54</v>
      </c>
      <c r="B70" s="267">
        <v>45958</v>
      </c>
      <c r="C70" s="257" t="s">
        <v>330</v>
      </c>
      <c r="D70" s="271"/>
      <c r="E70" s="268">
        <v>1</v>
      </c>
      <c r="F70" s="257" t="s">
        <v>343</v>
      </c>
      <c r="G70" s="258" t="s">
        <v>191</v>
      </c>
      <c r="H70" s="268" t="s">
        <v>180</v>
      </c>
      <c r="I70" s="256" t="s">
        <v>181</v>
      </c>
      <c r="J70" s="256" t="s">
        <v>39</v>
      </c>
      <c r="K70" s="257" t="s">
        <v>332</v>
      </c>
      <c r="L70" s="296" t="s">
        <v>344</v>
      </c>
      <c r="M70" s="297">
        <v>1512000</v>
      </c>
      <c r="N70" s="297"/>
      <c r="O70" s="261">
        <v>4500000</v>
      </c>
      <c r="P70" s="261"/>
      <c r="Q70" s="261"/>
      <c r="R70" s="270"/>
      <c r="S70" s="261">
        <f t="shared" si="2"/>
        <v>360000</v>
      </c>
      <c r="T70" s="264">
        <f t="shared" si="3"/>
        <v>6372000</v>
      </c>
      <c r="U70" s="258" t="s">
        <v>176</v>
      </c>
      <c r="V70" s="265" t="str">
        <f t="shared" si="4"/>
        <v>Cước vận chuyển Cát Lái - CHƠN THÀNH, BÌNH PHƯỚC cont: NYKU0799299 xe: 51C-59687</v>
      </c>
    </row>
    <row r="71" spans="1:22" s="266" customFormat="1" ht="32.25" customHeight="1" x14ac:dyDescent="0.2">
      <c r="A71" s="254">
        <f t="shared" si="1"/>
        <v>55</v>
      </c>
      <c r="B71" s="267">
        <v>45959</v>
      </c>
      <c r="C71" s="257" t="s">
        <v>345</v>
      </c>
      <c r="D71" s="271"/>
      <c r="E71" s="268">
        <v>1</v>
      </c>
      <c r="F71" s="257" t="s">
        <v>346</v>
      </c>
      <c r="G71" s="282" t="s">
        <v>254</v>
      </c>
      <c r="H71" s="258" t="s">
        <v>172</v>
      </c>
      <c r="I71" s="256" t="s">
        <v>173</v>
      </c>
      <c r="J71" s="256" t="s">
        <v>39</v>
      </c>
      <c r="K71" s="257" t="s">
        <v>174</v>
      </c>
      <c r="L71" s="269" t="s">
        <v>347</v>
      </c>
      <c r="M71" s="270">
        <v>1500000</v>
      </c>
      <c r="N71" s="270">
        <v>2500000</v>
      </c>
      <c r="O71" s="298">
        <v>2700000</v>
      </c>
      <c r="P71" s="261"/>
      <c r="Q71" s="261"/>
      <c r="R71" s="270"/>
      <c r="S71" s="261">
        <f t="shared" si="2"/>
        <v>216000</v>
      </c>
      <c r="T71" s="264">
        <f t="shared" si="3"/>
        <v>6916000</v>
      </c>
      <c r="U71" s="258" t="s">
        <v>176</v>
      </c>
      <c r="V71" s="265" t="str">
        <f t="shared" si="4"/>
        <v>Cước vận chuyển Cát Lái - THỦ DẦU MỘT, BÌNH DƯƠNG cont: EGSU1237816 xe: 61E-03521</v>
      </c>
    </row>
    <row r="72" spans="1:22" s="266" customFormat="1" ht="32.25" customHeight="1" x14ac:dyDescent="0.2">
      <c r="A72" s="254">
        <f t="shared" si="1"/>
        <v>56</v>
      </c>
      <c r="B72" s="267">
        <v>45959</v>
      </c>
      <c r="C72" s="257" t="s">
        <v>345</v>
      </c>
      <c r="D72" s="271"/>
      <c r="E72" s="268">
        <v>1</v>
      </c>
      <c r="F72" s="257" t="s">
        <v>348</v>
      </c>
      <c r="G72" s="299" t="s">
        <v>349</v>
      </c>
      <c r="H72" s="258" t="s">
        <v>172</v>
      </c>
      <c r="I72" s="256" t="s">
        <v>173</v>
      </c>
      <c r="J72" s="256" t="s">
        <v>39</v>
      </c>
      <c r="K72" s="257" t="s">
        <v>174</v>
      </c>
      <c r="L72" s="269" t="s">
        <v>350</v>
      </c>
      <c r="M72" s="270">
        <v>1500000</v>
      </c>
      <c r="N72" s="270">
        <v>700000</v>
      </c>
      <c r="O72" s="298">
        <v>2700000</v>
      </c>
      <c r="P72" s="261"/>
      <c r="Q72" s="261"/>
      <c r="R72" s="270"/>
      <c r="S72" s="261">
        <f t="shared" si="2"/>
        <v>216000</v>
      </c>
      <c r="T72" s="264">
        <f t="shared" si="3"/>
        <v>5116000</v>
      </c>
      <c r="U72" s="258" t="s">
        <v>176</v>
      </c>
      <c r="V72" s="265" t="str">
        <f t="shared" si="4"/>
        <v>Cước vận chuyển Cát Lái - THỦ DẦU MỘT, BÌNH DƯƠNG cont: EGHU9195550 xe: 51C-59658</v>
      </c>
    </row>
    <row r="73" spans="1:22" s="266" customFormat="1" ht="32.25" customHeight="1" x14ac:dyDescent="0.2">
      <c r="A73" s="254">
        <f t="shared" si="1"/>
        <v>57</v>
      </c>
      <c r="B73" s="267">
        <v>45959</v>
      </c>
      <c r="C73" s="257" t="s">
        <v>345</v>
      </c>
      <c r="D73" s="271"/>
      <c r="E73" s="268">
        <v>1</v>
      </c>
      <c r="F73" s="276" t="s">
        <v>351</v>
      </c>
      <c r="G73" s="299" t="s">
        <v>308</v>
      </c>
      <c r="H73" s="258" t="s">
        <v>172</v>
      </c>
      <c r="I73" s="256" t="s">
        <v>173</v>
      </c>
      <c r="J73" s="256" t="s">
        <v>39</v>
      </c>
      <c r="K73" s="257" t="s">
        <v>174</v>
      </c>
      <c r="L73" s="269" t="s">
        <v>352</v>
      </c>
      <c r="M73" s="270">
        <v>1500000</v>
      </c>
      <c r="N73" s="270">
        <v>1100000</v>
      </c>
      <c r="O73" s="298">
        <v>2700000</v>
      </c>
      <c r="P73" s="261"/>
      <c r="Q73" s="261"/>
      <c r="R73" s="270"/>
      <c r="S73" s="261">
        <f t="shared" si="2"/>
        <v>216000</v>
      </c>
      <c r="T73" s="264">
        <f t="shared" si="3"/>
        <v>5516000</v>
      </c>
      <c r="U73" s="258" t="s">
        <v>176</v>
      </c>
      <c r="V73" s="265" t="str">
        <f t="shared" si="4"/>
        <v>Cước vận chuyển Cát Lái - THỦ DẦU MỘT, BÌNH DƯƠNG cont: EGHU9520310 xe: 50E-31965</v>
      </c>
    </row>
    <row r="74" spans="1:22" s="266" customFormat="1" ht="32.25" customHeight="1" x14ac:dyDescent="0.2">
      <c r="A74" s="254">
        <f t="shared" si="1"/>
        <v>58</v>
      </c>
      <c r="B74" s="267">
        <v>45959</v>
      </c>
      <c r="C74" s="257" t="s">
        <v>345</v>
      </c>
      <c r="D74" s="271"/>
      <c r="E74" s="268">
        <v>1</v>
      </c>
      <c r="F74" s="257" t="s">
        <v>353</v>
      </c>
      <c r="G74" s="257" t="s">
        <v>354</v>
      </c>
      <c r="H74" s="258" t="s">
        <v>172</v>
      </c>
      <c r="I74" s="256" t="s">
        <v>173</v>
      </c>
      <c r="J74" s="256" t="s">
        <v>39</v>
      </c>
      <c r="K74" s="257" t="s">
        <v>174</v>
      </c>
      <c r="L74" s="269" t="s">
        <v>355</v>
      </c>
      <c r="M74" s="270">
        <v>1500000</v>
      </c>
      <c r="N74" s="270">
        <v>1500000</v>
      </c>
      <c r="O74" s="298">
        <v>2700000</v>
      </c>
      <c r="P74" s="261"/>
      <c r="Q74" s="261"/>
      <c r="R74" s="270"/>
      <c r="S74" s="261">
        <f t="shared" si="2"/>
        <v>216000</v>
      </c>
      <c r="T74" s="264">
        <f t="shared" si="3"/>
        <v>5916000</v>
      </c>
      <c r="U74" s="258" t="s">
        <v>176</v>
      </c>
      <c r="V74" s="265" t="str">
        <f t="shared" si="4"/>
        <v>Cước vận chuyển Cát Lái - THỦ DẦU MỘT, BÌNH DƯƠNG cont: EGHU9612761 xe: 50H-91407</v>
      </c>
    </row>
    <row r="75" spans="1:22" s="266" customFormat="1" ht="32.25" customHeight="1" x14ac:dyDescent="0.2">
      <c r="A75" s="254">
        <f t="shared" si="1"/>
        <v>59</v>
      </c>
      <c r="B75" s="267">
        <v>45960</v>
      </c>
      <c r="C75" s="257" t="s">
        <v>356</v>
      </c>
      <c r="D75" s="271"/>
      <c r="E75" s="268">
        <v>1</v>
      </c>
      <c r="F75" s="257" t="s">
        <v>357</v>
      </c>
      <c r="G75" s="258" t="s">
        <v>308</v>
      </c>
      <c r="H75" s="300" t="s">
        <v>298</v>
      </c>
      <c r="I75" s="256" t="s">
        <v>299</v>
      </c>
      <c r="J75" s="256" t="s">
        <v>39</v>
      </c>
      <c r="K75" s="257" t="s">
        <v>358</v>
      </c>
      <c r="L75" s="279">
        <v>391740</v>
      </c>
      <c r="M75" s="270">
        <v>1500000</v>
      </c>
      <c r="N75" s="270">
        <v>9000000</v>
      </c>
      <c r="O75" s="298">
        <v>5300000</v>
      </c>
      <c r="P75" s="261"/>
      <c r="Q75" s="261"/>
      <c r="R75" s="270"/>
      <c r="S75" s="261">
        <f t="shared" si="2"/>
        <v>424000</v>
      </c>
      <c r="T75" s="264">
        <f t="shared" si="3"/>
        <v>16224000</v>
      </c>
      <c r="U75" s="301" t="s">
        <v>176</v>
      </c>
      <c r="V75" s="265" t="str">
        <f t="shared" si="4"/>
        <v>Cước vận chuyển Cát Lái - ĐỒNG PHÚ, BÌNH PHƯỚC cont: EGSU9703320 xe: 50E-31965</v>
      </c>
    </row>
    <row r="76" spans="1:22" s="266" customFormat="1" ht="32.25" customHeight="1" x14ac:dyDescent="0.2">
      <c r="A76" s="254">
        <f t="shared" si="1"/>
        <v>60</v>
      </c>
      <c r="B76" s="267">
        <v>45960</v>
      </c>
      <c r="C76" s="257" t="s">
        <v>356</v>
      </c>
      <c r="D76" s="271"/>
      <c r="E76" s="268">
        <v>1</v>
      </c>
      <c r="F76" s="257" t="s">
        <v>359</v>
      </c>
      <c r="G76" s="258" t="s">
        <v>302</v>
      </c>
      <c r="H76" s="300" t="s">
        <v>298</v>
      </c>
      <c r="I76" s="256" t="s">
        <v>299</v>
      </c>
      <c r="J76" s="256" t="s">
        <v>39</v>
      </c>
      <c r="K76" s="257" t="s">
        <v>358</v>
      </c>
      <c r="L76" s="300">
        <v>392409</v>
      </c>
      <c r="M76" s="270">
        <v>1500000</v>
      </c>
      <c r="N76" s="270"/>
      <c r="O76" s="298">
        <v>5300000</v>
      </c>
      <c r="P76" s="261"/>
      <c r="Q76" s="261"/>
      <c r="R76" s="270"/>
      <c r="S76" s="261">
        <f t="shared" si="2"/>
        <v>424000</v>
      </c>
      <c r="T76" s="264">
        <f t="shared" si="3"/>
        <v>7224000</v>
      </c>
      <c r="U76" s="258" t="s">
        <v>176</v>
      </c>
      <c r="V76" s="265" t="str">
        <f t="shared" si="4"/>
        <v>Cước vận chuyển Cát Lái - ĐỒNG PHÚ, BÌNH PHƯỚC cont: CAAU5747657 xe: 51C-64390</v>
      </c>
    </row>
    <row r="77" spans="1:22" s="277" customFormat="1" ht="32.25" customHeight="1" x14ac:dyDescent="0.2">
      <c r="A77" s="254">
        <f t="shared" si="1"/>
        <v>61</v>
      </c>
      <c r="B77" s="267">
        <v>45960</v>
      </c>
      <c r="C77" s="276">
        <v>257754101</v>
      </c>
      <c r="D77" s="276"/>
      <c r="E77" s="268">
        <v>1</v>
      </c>
      <c r="F77" s="257" t="s">
        <v>360</v>
      </c>
      <c r="G77" s="258" t="s">
        <v>213</v>
      </c>
      <c r="H77" s="300" t="s">
        <v>298</v>
      </c>
      <c r="I77" s="256" t="s">
        <v>299</v>
      </c>
      <c r="J77" s="256" t="s">
        <v>39</v>
      </c>
      <c r="K77" s="268" t="s">
        <v>361</v>
      </c>
      <c r="L77" s="278" t="s">
        <v>362</v>
      </c>
      <c r="M77" s="270">
        <v>1450000</v>
      </c>
      <c r="N77" s="270"/>
      <c r="O77" s="298">
        <v>5300000</v>
      </c>
      <c r="P77" s="302"/>
      <c r="Q77" s="302"/>
      <c r="R77" s="303"/>
      <c r="S77" s="261">
        <f t="shared" si="2"/>
        <v>424000</v>
      </c>
      <c r="T77" s="264">
        <f t="shared" si="3"/>
        <v>7174000</v>
      </c>
      <c r="U77" s="258" t="s">
        <v>176</v>
      </c>
      <c r="V77" s="265" t="str">
        <f t="shared" si="4"/>
        <v>Cước vận chuyển Cát Lái - ĐỒNG PHÚ, BÌNH PHƯỚC cont: MRKU5232506 xe: 50H-02426</v>
      </c>
    </row>
    <row r="78" spans="1:22" s="277" customFormat="1" ht="32.25" customHeight="1" x14ac:dyDescent="0.2">
      <c r="A78" s="254">
        <f t="shared" si="1"/>
        <v>62</v>
      </c>
      <c r="B78" s="267">
        <v>45960</v>
      </c>
      <c r="C78" s="276">
        <v>257754101</v>
      </c>
      <c r="D78" s="271"/>
      <c r="E78" s="268">
        <v>1</v>
      </c>
      <c r="F78" s="257" t="s">
        <v>363</v>
      </c>
      <c r="G78" s="258" t="s">
        <v>198</v>
      </c>
      <c r="H78" s="300" t="s">
        <v>298</v>
      </c>
      <c r="I78" s="256" t="s">
        <v>299</v>
      </c>
      <c r="J78" s="256" t="s">
        <v>39</v>
      </c>
      <c r="K78" s="268" t="s">
        <v>361</v>
      </c>
      <c r="L78" s="278" t="s">
        <v>364</v>
      </c>
      <c r="M78" s="270">
        <v>1450000</v>
      </c>
      <c r="N78" s="270"/>
      <c r="O78" s="298">
        <v>5300000</v>
      </c>
      <c r="P78" s="302"/>
      <c r="Q78" s="302"/>
      <c r="R78" s="303"/>
      <c r="S78" s="261">
        <f t="shared" si="2"/>
        <v>424000</v>
      </c>
      <c r="T78" s="264">
        <f t="shared" si="3"/>
        <v>7174000</v>
      </c>
      <c r="U78" s="258" t="s">
        <v>176</v>
      </c>
      <c r="V78" s="265" t="str">
        <f t="shared" si="4"/>
        <v>Cước vận chuyển Cát Lái - ĐỒNG PHÚ, BÌNH PHƯỚC cont: MIEU3062340 xe: 51D-14187</v>
      </c>
    </row>
    <row r="79" spans="1:22" s="277" customFormat="1" ht="32.25" customHeight="1" x14ac:dyDescent="0.2">
      <c r="A79" s="254">
        <f t="shared" si="1"/>
        <v>63</v>
      </c>
      <c r="B79" s="267">
        <v>45960</v>
      </c>
      <c r="C79" s="276">
        <v>257754101</v>
      </c>
      <c r="D79" s="271"/>
      <c r="E79" s="268">
        <v>1</v>
      </c>
      <c r="F79" s="257" t="s">
        <v>365</v>
      </c>
      <c r="G79" s="258" t="s">
        <v>191</v>
      </c>
      <c r="H79" s="300" t="s">
        <v>298</v>
      </c>
      <c r="I79" s="256" t="s">
        <v>299</v>
      </c>
      <c r="J79" s="256" t="s">
        <v>39</v>
      </c>
      <c r="K79" s="268" t="s">
        <v>361</v>
      </c>
      <c r="L79" s="278" t="s">
        <v>366</v>
      </c>
      <c r="M79" s="270">
        <v>1450000</v>
      </c>
      <c r="N79" s="270"/>
      <c r="O79" s="298">
        <v>5300000</v>
      </c>
      <c r="P79" s="302"/>
      <c r="Q79" s="302"/>
      <c r="R79" s="303"/>
      <c r="S79" s="261">
        <f t="shared" si="2"/>
        <v>424000</v>
      </c>
      <c r="T79" s="264">
        <f t="shared" si="3"/>
        <v>7174000</v>
      </c>
      <c r="U79" s="258" t="s">
        <v>176</v>
      </c>
      <c r="V79" s="265" t="str">
        <f t="shared" si="4"/>
        <v>Cước vận chuyển Cát Lái - ĐỒNG PHÚ, BÌNH PHƯỚC cont: UETU6997165 xe: 51C-59687</v>
      </c>
    </row>
    <row r="80" spans="1:22" s="305" customFormat="1" ht="32.25" customHeight="1" x14ac:dyDescent="0.2">
      <c r="A80" s="254">
        <f t="shared" si="1"/>
        <v>64</v>
      </c>
      <c r="B80" s="267">
        <v>45960</v>
      </c>
      <c r="C80" s="276">
        <v>257754101</v>
      </c>
      <c r="D80" s="271"/>
      <c r="E80" s="268">
        <v>1</v>
      </c>
      <c r="F80" s="257" t="s">
        <v>367</v>
      </c>
      <c r="G80" s="258" t="s">
        <v>368</v>
      </c>
      <c r="H80" s="300" t="s">
        <v>298</v>
      </c>
      <c r="I80" s="256" t="s">
        <v>299</v>
      </c>
      <c r="J80" s="256" t="s">
        <v>39</v>
      </c>
      <c r="K80" s="268" t="s">
        <v>361</v>
      </c>
      <c r="L80" s="304" t="s">
        <v>369</v>
      </c>
      <c r="M80" s="270">
        <v>1450000</v>
      </c>
      <c r="N80" s="270"/>
      <c r="O80" s="298">
        <v>5300000</v>
      </c>
      <c r="P80" s="302"/>
      <c r="Q80" s="302"/>
      <c r="R80" s="303"/>
      <c r="S80" s="261">
        <f t="shared" si="2"/>
        <v>424000</v>
      </c>
      <c r="T80" s="264">
        <f t="shared" si="3"/>
        <v>7174000</v>
      </c>
      <c r="U80" s="258" t="s">
        <v>176</v>
      </c>
      <c r="V80" s="265" t="str">
        <f t="shared" si="4"/>
        <v>Cước vận chuyển Cát Lái - ĐỒNG PHÚ, BÌNH PHƯỚC cont: TCKU6802642 xe: 50H-61025</v>
      </c>
    </row>
    <row r="81" spans="1:22" s="305" customFormat="1" ht="32.25" customHeight="1" x14ac:dyDescent="0.2">
      <c r="A81" s="254">
        <f t="shared" si="1"/>
        <v>65</v>
      </c>
      <c r="B81" s="267">
        <v>45960</v>
      </c>
      <c r="C81" s="276">
        <v>257754101</v>
      </c>
      <c r="D81" s="271"/>
      <c r="E81" s="268">
        <v>1</v>
      </c>
      <c r="F81" s="276" t="s">
        <v>370</v>
      </c>
      <c r="G81" s="258" t="s">
        <v>338</v>
      </c>
      <c r="H81" s="300" t="s">
        <v>298</v>
      </c>
      <c r="I81" s="256" t="s">
        <v>299</v>
      </c>
      <c r="J81" s="256" t="s">
        <v>39</v>
      </c>
      <c r="K81" s="268" t="s">
        <v>361</v>
      </c>
      <c r="L81" s="278" t="s">
        <v>371</v>
      </c>
      <c r="M81" s="270">
        <v>1450000</v>
      </c>
      <c r="N81" s="270"/>
      <c r="O81" s="298">
        <v>5300000</v>
      </c>
      <c r="P81" s="302"/>
      <c r="Q81" s="302"/>
      <c r="R81" s="303"/>
      <c r="S81" s="261">
        <f t="shared" si="2"/>
        <v>424000</v>
      </c>
      <c r="T81" s="264">
        <f t="shared" si="3"/>
        <v>7174000</v>
      </c>
      <c r="U81" s="258" t="s">
        <v>176</v>
      </c>
      <c r="V81" s="265" t="str">
        <f t="shared" ref="V81:V101" si="5">"Cước vận chuyển Cát Lái - "&amp;I81&amp;" cont: "&amp;F81&amp;" xe: "&amp;G81</f>
        <v>Cước vận chuyển Cát Lái - ĐỒNG PHÚ, BÌNH PHƯỚC cont: MRSU4302535 xe: 50H-60254</v>
      </c>
    </row>
    <row r="82" spans="1:22" s="305" customFormat="1" ht="32.25" customHeight="1" x14ac:dyDescent="0.2">
      <c r="A82" s="254">
        <f t="shared" ref="A82:A104" si="6">ROW()-16</f>
        <v>66</v>
      </c>
      <c r="B82" s="267">
        <v>45960</v>
      </c>
      <c r="C82" s="276">
        <v>257754101</v>
      </c>
      <c r="D82" s="271"/>
      <c r="E82" s="268">
        <v>1</v>
      </c>
      <c r="F82" s="257" t="s">
        <v>372</v>
      </c>
      <c r="G82" s="258" t="s">
        <v>305</v>
      </c>
      <c r="H82" s="300" t="s">
        <v>298</v>
      </c>
      <c r="I82" s="256" t="s">
        <v>299</v>
      </c>
      <c r="J82" s="256" t="s">
        <v>39</v>
      </c>
      <c r="K82" s="268" t="s">
        <v>361</v>
      </c>
      <c r="L82" s="278" t="s">
        <v>373</v>
      </c>
      <c r="M82" s="270">
        <v>1450000</v>
      </c>
      <c r="N82" s="270"/>
      <c r="O82" s="298">
        <v>5300000</v>
      </c>
      <c r="P82" s="302"/>
      <c r="Q82" s="302"/>
      <c r="R82" s="303"/>
      <c r="S82" s="261">
        <f t="shared" ref="S82:S145" si="7">O82*0.08</f>
        <v>424000</v>
      </c>
      <c r="T82" s="264">
        <f t="shared" si="3"/>
        <v>7174000</v>
      </c>
      <c r="U82" s="258" t="s">
        <v>176</v>
      </c>
      <c r="V82" s="265" t="str">
        <f t="shared" si="5"/>
        <v>Cước vận chuyển Cát Lái - ĐỒNG PHÚ, BÌNH PHƯỚC cont: MRKU3376675 xe: 51C-54560</v>
      </c>
    </row>
    <row r="83" spans="1:22" s="305" customFormat="1" ht="32.25" customHeight="1" x14ac:dyDescent="0.2">
      <c r="A83" s="254">
        <f t="shared" si="6"/>
        <v>67</v>
      </c>
      <c r="B83" s="267">
        <v>45960</v>
      </c>
      <c r="C83" s="276">
        <v>257754101</v>
      </c>
      <c r="D83" s="271"/>
      <c r="E83" s="268">
        <v>1</v>
      </c>
      <c r="F83" s="257" t="s">
        <v>374</v>
      </c>
      <c r="G83" s="258" t="s">
        <v>216</v>
      </c>
      <c r="H83" s="300" t="s">
        <v>298</v>
      </c>
      <c r="I83" s="256" t="s">
        <v>299</v>
      </c>
      <c r="J83" s="256" t="s">
        <v>39</v>
      </c>
      <c r="K83" s="268" t="s">
        <v>361</v>
      </c>
      <c r="L83" s="278" t="s">
        <v>375</v>
      </c>
      <c r="M83" s="270">
        <v>1450000</v>
      </c>
      <c r="N83" s="270"/>
      <c r="O83" s="298">
        <v>5300000</v>
      </c>
      <c r="P83" s="302"/>
      <c r="Q83" s="302"/>
      <c r="R83" s="303"/>
      <c r="S83" s="261">
        <f t="shared" si="7"/>
        <v>424000</v>
      </c>
      <c r="T83" s="264">
        <f t="shared" si="3"/>
        <v>7174000</v>
      </c>
      <c r="U83" s="258" t="s">
        <v>176</v>
      </c>
      <c r="V83" s="265" t="str">
        <f t="shared" si="5"/>
        <v>Cước vận chuyển Cát Lái - ĐỒNG PHÚ, BÌNH PHƯỚC cont: TIIU4699098 xe: 50H-05239</v>
      </c>
    </row>
    <row r="84" spans="1:22" s="305" customFormat="1" ht="32.25" customHeight="1" x14ac:dyDescent="0.2">
      <c r="A84" s="254">
        <f t="shared" si="6"/>
        <v>68</v>
      </c>
      <c r="B84" s="267">
        <v>45960</v>
      </c>
      <c r="C84" s="276">
        <v>257754101</v>
      </c>
      <c r="D84" s="271"/>
      <c r="E84" s="268">
        <v>1</v>
      </c>
      <c r="F84" s="257" t="s">
        <v>376</v>
      </c>
      <c r="G84" s="258" t="s">
        <v>210</v>
      </c>
      <c r="H84" s="300" t="s">
        <v>298</v>
      </c>
      <c r="I84" s="256" t="s">
        <v>299</v>
      </c>
      <c r="J84" s="256" t="s">
        <v>39</v>
      </c>
      <c r="K84" s="268" t="s">
        <v>361</v>
      </c>
      <c r="L84" s="278" t="s">
        <v>377</v>
      </c>
      <c r="M84" s="270">
        <v>1450000</v>
      </c>
      <c r="N84" s="270"/>
      <c r="O84" s="298">
        <v>5300000</v>
      </c>
      <c r="P84" s="302"/>
      <c r="Q84" s="302"/>
      <c r="R84" s="303"/>
      <c r="S84" s="261">
        <f t="shared" si="7"/>
        <v>424000</v>
      </c>
      <c r="T84" s="264">
        <f t="shared" ref="T84:T147" si="8">S84+P84+O84+N84+M84</f>
        <v>7174000</v>
      </c>
      <c r="U84" s="306" t="s">
        <v>176</v>
      </c>
      <c r="V84" s="265" t="str">
        <f t="shared" si="5"/>
        <v>Cước vận chuyển Cát Lái - ĐỒNG PHÚ, BÌNH PHƯỚC cont: SEKU6977350 xe: 51C-49237</v>
      </c>
    </row>
    <row r="85" spans="1:22" s="277" customFormat="1" ht="32.25" customHeight="1" x14ac:dyDescent="0.2">
      <c r="A85" s="254">
        <f t="shared" si="6"/>
        <v>69</v>
      </c>
      <c r="B85" s="307">
        <v>45960</v>
      </c>
      <c r="C85" s="257">
        <v>2313711130</v>
      </c>
      <c r="D85" s="284"/>
      <c r="E85" s="268">
        <v>1</v>
      </c>
      <c r="F85" s="257" t="s">
        <v>378</v>
      </c>
      <c r="G85" s="258" t="s">
        <v>191</v>
      </c>
      <c r="H85" s="300" t="s">
        <v>298</v>
      </c>
      <c r="I85" s="256" t="s">
        <v>299</v>
      </c>
      <c r="J85" s="257" t="s">
        <v>233</v>
      </c>
      <c r="K85" s="268" t="s">
        <v>39</v>
      </c>
      <c r="L85" s="278" t="s">
        <v>379</v>
      </c>
      <c r="M85" s="270">
        <v>1500000</v>
      </c>
      <c r="N85" s="270"/>
      <c r="O85" s="298">
        <v>5300000</v>
      </c>
      <c r="P85" s="302"/>
      <c r="Q85" s="302"/>
      <c r="R85" s="303"/>
      <c r="S85" s="261">
        <f t="shared" si="7"/>
        <v>424000</v>
      </c>
      <c r="T85" s="264">
        <f t="shared" si="8"/>
        <v>7224000</v>
      </c>
      <c r="U85" s="258" t="s">
        <v>176</v>
      </c>
      <c r="V85" s="265" t="str">
        <f t="shared" si="5"/>
        <v>Cước vận chuyển Cát Lái - ĐỒNG PHÚ, BÌNH PHƯỚC cont: OOCU9670339 xe: 51C-59687</v>
      </c>
    </row>
    <row r="86" spans="1:22" s="277" customFormat="1" ht="32.25" customHeight="1" x14ac:dyDescent="0.2">
      <c r="A86" s="254">
        <f t="shared" si="6"/>
        <v>70</v>
      </c>
      <c r="B86" s="307">
        <v>45960</v>
      </c>
      <c r="C86" s="257">
        <v>2313711130</v>
      </c>
      <c r="D86" s="271"/>
      <c r="E86" s="268">
        <v>1</v>
      </c>
      <c r="F86" s="257" t="s">
        <v>380</v>
      </c>
      <c r="G86" s="258" t="s">
        <v>338</v>
      </c>
      <c r="H86" s="300" t="s">
        <v>298</v>
      </c>
      <c r="I86" s="256" t="s">
        <v>299</v>
      </c>
      <c r="J86" s="257" t="s">
        <v>233</v>
      </c>
      <c r="K86" s="268" t="s">
        <v>39</v>
      </c>
      <c r="L86" s="278" t="s">
        <v>381</v>
      </c>
      <c r="M86" s="270">
        <v>1500000</v>
      </c>
      <c r="N86" s="270"/>
      <c r="O86" s="298">
        <v>5300000</v>
      </c>
      <c r="P86" s="302"/>
      <c r="Q86" s="302"/>
      <c r="R86" s="303"/>
      <c r="S86" s="261">
        <f t="shared" si="7"/>
        <v>424000</v>
      </c>
      <c r="T86" s="264">
        <f t="shared" si="8"/>
        <v>7224000</v>
      </c>
      <c r="U86" s="258" t="s">
        <v>176</v>
      </c>
      <c r="V86" s="265" t="str">
        <f t="shared" si="5"/>
        <v>Cước vận chuyển Cát Lái - ĐỒNG PHÚ, BÌNH PHƯỚC cont: BEAU5652349 xe: 50H-60254</v>
      </c>
    </row>
    <row r="87" spans="1:22" s="277" customFormat="1" ht="32.25" customHeight="1" x14ac:dyDescent="0.2">
      <c r="A87" s="254">
        <f t="shared" si="6"/>
        <v>71</v>
      </c>
      <c r="B87" s="307">
        <v>45960</v>
      </c>
      <c r="C87" s="292" t="s">
        <v>382</v>
      </c>
      <c r="D87" s="275"/>
      <c r="E87" s="274">
        <v>1</v>
      </c>
      <c r="F87" s="292" t="s">
        <v>383</v>
      </c>
      <c r="G87" s="292" t="s">
        <v>236</v>
      </c>
      <c r="H87" s="290" t="s">
        <v>180</v>
      </c>
      <c r="I87" s="308" t="s">
        <v>181</v>
      </c>
      <c r="J87" s="292" t="s">
        <v>39</v>
      </c>
      <c r="K87" s="292" t="s">
        <v>233</v>
      </c>
      <c r="L87" s="258">
        <v>6433</v>
      </c>
      <c r="M87" s="270">
        <v>1500000</v>
      </c>
      <c r="N87" s="270"/>
      <c r="O87" s="298">
        <v>4500000</v>
      </c>
      <c r="P87" s="302"/>
      <c r="Q87" s="302"/>
      <c r="R87" s="303"/>
      <c r="S87" s="261">
        <f t="shared" si="7"/>
        <v>360000</v>
      </c>
      <c r="T87" s="264">
        <f t="shared" si="8"/>
        <v>6360000</v>
      </c>
      <c r="U87" s="258" t="s">
        <v>176</v>
      </c>
      <c r="V87" s="265" t="str">
        <f t="shared" si="5"/>
        <v>Cước vận chuyển Cát Lái - CHƠN THÀNH, BÌNH PHƯỚC cont: OOCU8594110 xe: 50H-60906</v>
      </c>
    </row>
    <row r="88" spans="1:22" s="277" customFormat="1" ht="32.25" customHeight="1" x14ac:dyDescent="0.2">
      <c r="A88" s="254">
        <f t="shared" si="6"/>
        <v>72</v>
      </c>
      <c r="B88" s="309">
        <v>45960</v>
      </c>
      <c r="C88" s="268" t="s">
        <v>384</v>
      </c>
      <c r="D88" s="268"/>
      <c r="E88" s="268">
        <v>1</v>
      </c>
      <c r="F88" s="258" t="s">
        <v>385</v>
      </c>
      <c r="G88" s="258" t="s">
        <v>354</v>
      </c>
      <c r="H88" s="258" t="s">
        <v>199</v>
      </c>
      <c r="I88" s="256" t="s">
        <v>200</v>
      </c>
      <c r="J88" s="258" t="s">
        <v>39</v>
      </c>
      <c r="K88" s="258" t="s">
        <v>386</v>
      </c>
      <c r="L88" s="272" t="s">
        <v>387</v>
      </c>
      <c r="M88" s="270">
        <f>1450000+96000</f>
        <v>1546000</v>
      </c>
      <c r="N88" s="270"/>
      <c r="O88" s="298">
        <v>4700000</v>
      </c>
      <c r="P88" s="302"/>
      <c r="Q88" s="302"/>
      <c r="R88" s="303"/>
      <c r="S88" s="261">
        <f t="shared" si="7"/>
        <v>376000</v>
      </c>
      <c r="T88" s="264">
        <f t="shared" si="8"/>
        <v>6622000</v>
      </c>
      <c r="U88" s="258" t="s">
        <v>176</v>
      </c>
      <c r="V88" s="265" t="str">
        <f t="shared" si="5"/>
        <v>Cước vận chuyển Cát Lái - HỚN QUẢN, BÌNH PHƯỚC cont: WHSU5793367 xe: 50H-91407</v>
      </c>
    </row>
    <row r="89" spans="1:22" s="277" customFormat="1" ht="32.25" customHeight="1" x14ac:dyDescent="0.2">
      <c r="A89" s="254">
        <f t="shared" si="6"/>
        <v>73</v>
      </c>
      <c r="B89" s="309">
        <v>45960</v>
      </c>
      <c r="C89" s="268" t="s">
        <v>384</v>
      </c>
      <c r="D89" s="268"/>
      <c r="E89" s="268">
        <v>1</v>
      </c>
      <c r="F89" s="258" t="s">
        <v>388</v>
      </c>
      <c r="G89" s="258" t="s">
        <v>389</v>
      </c>
      <c r="H89" s="258" t="s">
        <v>199</v>
      </c>
      <c r="I89" s="256" t="s">
        <v>200</v>
      </c>
      <c r="J89" s="258" t="s">
        <v>39</v>
      </c>
      <c r="K89" s="258" t="s">
        <v>386</v>
      </c>
      <c r="L89" s="279">
        <v>73579</v>
      </c>
      <c r="M89" s="270">
        <v>1450000</v>
      </c>
      <c r="N89" s="270"/>
      <c r="O89" s="298">
        <v>4700000</v>
      </c>
      <c r="P89" s="302"/>
      <c r="Q89" s="302"/>
      <c r="R89" s="303"/>
      <c r="S89" s="261">
        <f t="shared" si="7"/>
        <v>376000</v>
      </c>
      <c r="T89" s="264">
        <f t="shared" si="8"/>
        <v>6526000</v>
      </c>
      <c r="U89" s="258" t="s">
        <v>176</v>
      </c>
      <c r="V89" s="265" t="str">
        <f t="shared" si="5"/>
        <v>Cước vận chuyển Cát Lái - HỚN QUẢN, BÌNH PHƯỚC cont: WHSU6085845 xe: 50H-45841</v>
      </c>
    </row>
    <row r="90" spans="1:22" s="277" customFormat="1" ht="32.25" customHeight="1" x14ac:dyDescent="0.2">
      <c r="A90" s="254">
        <f t="shared" si="6"/>
        <v>74</v>
      </c>
      <c r="B90" s="267">
        <v>45961</v>
      </c>
      <c r="C90" s="310" t="s">
        <v>390</v>
      </c>
      <c r="D90" s="284"/>
      <c r="E90" s="283">
        <v>1</v>
      </c>
      <c r="F90" s="310" t="s">
        <v>391</v>
      </c>
      <c r="G90" s="258" t="s">
        <v>207</v>
      </c>
      <c r="H90" s="311" t="s">
        <v>180</v>
      </c>
      <c r="I90" s="312" t="s">
        <v>181</v>
      </c>
      <c r="J90" s="313" t="s">
        <v>233</v>
      </c>
      <c r="K90" s="283" t="s">
        <v>39</v>
      </c>
      <c r="L90" s="272" t="s">
        <v>392</v>
      </c>
      <c r="M90" s="270">
        <v>1500000</v>
      </c>
      <c r="N90" s="270"/>
      <c r="O90" s="261">
        <v>4500000</v>
      </c>
      <c r="P90" s="302"/>
      <c r="Q90" s="302"/>
      <c r="R90" s="303"/>
      <c r="S90" s="261">
        <f t="shared" si="7"/>
        <v>360000</v>
      </c>
      <c r="T90" s="264">
        <f t="shared" si="8"/>
        <v>6360000</v>
      </c>
      <c r="U90" s="258" t="s">
        <v>176</v>
      </c>
      <c r="V90" s="265" t="str">
        <f t="shared" si="5"/>
        <v>Cước vận chuyển Cát Lái - CHƠN THÀNH, BÌNH PHƯỚC cont: JXLU4317708 xe: 50H-61485</v>
      </c>
    </row>
    <row r="91" spans="1:22" s="277" customFormat="1" ht="32.25" customHeight="1" x14ac:dyDescent="0.2">
      <c r="A91" s="254">
        <f t="shared" si="6"/>
        <v>75</v>
      </c>
      <c r="B91" s="267">
        <v>45961</v>
      </c>
      <c r="C91" s="258" t="s">
        <v>390</v>
      </c>
      <c r="D91" s="271"/>
      <c r="E91" s="268">
        <v>1</v>
      </c>
      <c r="F91" s="257" t="s">
        <v>393</v>
      </c>
      <c r="G91" s="258" t="s">
        <v>338</v>
      </c>
      <c r="H91" s="300" t="s">
        <v>180</v>
      </c>
      <c r="I91" s="256" t="s">
        <v>181</v>
      </c>
      <c r="J91" s="257" t="s">
        <v>233</v>
      </c>
      <c r="K91" s="268" t="s">
        <v>39</v>
      </c>
      <c r="L91" s="278" t="s">
        <v>394</v>
      </c>
      <c r="M91" s="270">
        <v>1500000</v>
      </c>
      <c r="N91" s="270"/>
      <c r="O91" s="261">
        <v>4500000</v>
      </c>
      <c r="P91" s="302"/>
      <c r="Q91" s="302"/>
      <c r="R91" s="303"/>
      <c r="S91" s="261">
        <f t="shared" si="7"/>
        <v>360000</v>
      </c>
      <c r="T91" s="264">
        <f t="shared" si="8"/>
        <v>6360000</v>
      </c>
      <c r="U91" s="258" t="s">
        <v>176</v>
      </c>
      <c r="V91" s="265" t="str">
        <f t="shared" si="5"/>
        <v>Cước vận chuyển Cát Lái - CHƠN THÀNH, BÌNH PHƯỚC cont: BSIU9834254 xe: 50H-60254</v>
      </c>
    </row>
    <row r="92" spans="1:22" s="305" customFormat="1" ht="32.25" customHeight="1" x14ac:dyDescent="0.2">
      <c r="A92" s="254">
        <f t="shared" si="6"/>
        <v>76</v>
      </c>
      <c r="B92" s="267">
        <v>45961</v>
      </c>
      <c r="C92" s="258" t="s">
        <v>390</v>
      </c>
      <c r="D92" s="271"/>
      <c r="E92" s="268">
        <v>1</v>
      </c>
      <c r="F92" s="257" t="s">
        <v>395</v>
      </c>
      <c r="G92" s="258" t="s">
        <v>191</v>
      </c>
      <c r="H92" s="300" t="s">
        <v>180</v>
      </c>
      <c r="I92" s="256" t="s">
        <v>181</v>
      </c>
      <c r="J92" s="257" t="s">
        <v>233</v>
      </c>
      <c r="K92" s="268" t="s">
        <v>39</v>
      </c>
      <c r="L92" s="278" t="s">
        <v>396</v>
      </c>
      <c r="M92" s="270">
        <v>1500000</v>
      </c>
      <c r="N92" s="270"/>
      <c r="O92" s="261">
        <v>4500000</v>
      </c>
      <c r="P92" s="302"/>
      <c r="Q92" s="302"/>
      <c r="R92" s="303"/>
      <c r="S92" s="261">
        <f t="shared" si="7"/>
        <v>360000</v>
      </c>
      <c r="T92" s="264">
        <f t="shared" si="8"/>
        <v>6360000</v>
      </c>
      <c r="U92" s="258" t="s">
        <v>176</v>
      </c>
      <c r="V92" s="265" t="str">
        <f t="shared" si="5"/>
        <v>Cước vận chuyển Cát Lái - CHƠN THÀNH, BÌNH PHƯỚC cont: KSSU1004541 xe: 51C-59687</v>
      </c>
    </row>
    <row r="93" spans="1:22" s="305" customFormat="1" ht="32.25" customHeight="1" x14ac:dyDescent="0.2">
      <c r="A93" s="254">
        <f t="shared" si="6"/>
        <v>77</v>
      </c>
      <c r="B93" s="267">
        <v>45961</v>
      </c>
      <c r="C93" s="258" t="s">
        <v>390</v>
      </c>
      <c r="D93" s="271"/>
      <c r="E93" s="268">
        <v>1</v>
      </c>
      <c r="F93" s="257" t="s">
        <v>397</v>
      </c>
      <c r="G93" s="258" t="s">
        <v>335</v>
      </c>
      <c r="H93" s="300" t="s">
        <v>180</v>
      </c>
      <c r="I93" s="256" t="s">
        <v>181</v>
      </c>
      <c r="J93" s="257" t="s">
        <v>233</v>
      </c>
      <c r="K93" s="268" t="s">
        <v>39</v>
      </c>
      <c r="L93" s="258">
        <v>393944</v>
      </c>
      <c r="M93" s="270">
        <v>1500000</v>
      </c>
      <c r="N93" s="270"/>
      <c r="O93" s="261">
        <v>4500000</v>
      </c>
      <c r="P93" s="302"/>
      <c r="Q93" s="302"/>
      <c r="R93" s="303"/>
      <c r="S93" s="261">
        <f t="shared" si="7"/>
        <v>360000</v>
      </c>
      <c r="T93" s="264">
        <f t="shared" si="8"/>
        <v>6360000</v>
      </c>
      <c r="U93" s="258" t="s">
        <v>176</v>
      </c>
      <c r="V93" s="265" t="str">
        <f t="shared" si="5"/>
        <v>Cước vận chuyển Cát Lái - CHƠN THÀNH, BÌNH PHƯỚC cont: JXLU7843917 xe: 51D-63673</v>
      </c>
    </row>
    <row r="94" spans="1:22" s="305" customFormat="1" ht="32.25" customHeight="1" x14ac:dyDescent="0.2">
      <c r="A94" s="254">
        <f t="shared" si="6"/>
        <v>78</v>
      </c>
      <c r="B94" s="267">
        <v>45961</v>
      </c>
      <c r="C94" s="258" t="s">
        <v>390</v>
      </c>
      <c r="D94" s="268"/>
      <c r="E94" s="268">
        <v>1</v>
      </c>
      <c r="F94" s="257" t="s">
        <v>398</v>
      </c>
      <c r="G94" s="258" t="s">
        <v>349</v>
      </c>
      <c r="H94" s="300" t="s">
        <v>180</v>
      </c>
      <c r="I94" s="256" t="s">
        <v>181</v>
      </c>
      <c r="J94" s="257" t="s">
        <v>233</v>
      </c>
      <c r="K94" s="268" t="s">
        <v>39</v>
      </c>
      <c r="L94" s="272" t="s">
        <v>399</v>
      </c>
      <c r="M94" s="270">
        <v>1500000</v>
      </c>
      <c r="N94" s="270"/>
      <c r="O94" s="261">
        <v>4500000</v>
      </c>
      <c r="P94" s="302"/>
      <c r="Q94" s="302"/>
      <c r="R94" s="303"/>
      <c r="S94" s="261">
        <f t="shared" si="7"/>
        <v>360000</v>
      </c>
      <c r="T94" s="264">
        <f t="shared" si="8"/>
        <v>6360000</v>
      </c>
      <c r="U94" s="258" t="s">
        <v>176</v>
      </c>
      <c r="V94" s="265" t="str">
        <f t="shared" si="5"/>
        <v>Cước vận chuyển Cát Lái - CHƠN THÀNH, BÌNH PHƯỚC cont: ZCSU7479364 xe: 51C-59658</v>
      </c>
    </row>
    <row r="95" spans="1:22" s="305" customFormat="1" ht="32.25" customHeight="1" x14ac:dyDescent="0.2">
      <c r="A95" s="254">
        <f t="shared" si="6"/>
        <v>79</v>
      </c>
      <c r="B95" s="267">
        <v>45961</v>
      </c>
      <c r="C95" s="258" t="s">
        <v>390</v>
      </c>
      <c r="D95" s="271"/>
      <c r="E95" s="268">
        <v>1</v>
      </c>
      <c r="F95" s="257" t="s">
        <v>400</v>
      </c>
      <c r="G95" s="258" t="s">
        <v>216</v>
      </c>
      <c r="H95" s="300" t="s">
        <v>180</v>
      </c>
      <c r="I95" s="256" t="s">
        <v>181</v>
      </c>
      <c r="J95" s="257" t="s">
        <v>233</v>
      </c>
      <c r="K95" s="268" t="s">
        <v>39</v>
      </c>
      <c r="L95" s="278" t="s">
        <v>401</v>
      </c>
      <c r="M95" s="270">
        <v>1500000</v>
      </c>
      <c r="N95" s="270"/>
      <c r="O95" s="261">
        <v>4500000</v>
      </c>
      <c r="P95" s="302"/>
      <c r="Q95" s="302"/>
      <c r="R95" s="303"/>
      <c r="S95" s="261">
        <f t="shared" si="7"/>
        <v>360000</v>
      </c>
      <c r="T95" s="264">
        <f t="shared" si="8"/>
        <v>6360000</v>
      </c>
      <c r="U95" s="258" t="s">
        <v>176</v>
      </c>
      <c r="V95" s="265" t="str">
        <f t="shared" si="5"/>
        <v>Cước vận chuyển Cát Lái - CHƠN THÀNH, BÌNH PHƯỚC cont: CAAU9581775 xe: 50H-05239</v>
      </c>
    </row>
    <row r="96" spans="1:22" s="305" customFormat="1" ht="32.25" customHeight="1" x14ac:dyDescent="0.2">
      <c r="A96" s="254">
        <f t="shared" si="6"/>
        <v>80</v>
      </c>
      <c r="B96" s="267">
        <v>45961</v>
      </c>
      <c r="C96" s="258" t="s">
        <v>390</v>
      </c>
      <c r="D96" s="271"/>
      <c r="E96" s="268">
        <v>1</v>
      </c>
      <c r="F96" s="257" t="s">
        <v>402</v>
      </c>
      <c r="G96" s="258" t="s">
        <v>305</v>
      </c>
      <c r="H96" s="300" t="s">
        <v>180</v>
      </c>
      <c r="I96" s="256" t="s">
        <v>181</v>
      </c>
      <c r="J96" s="257" t="s">
        <v>233</v>
      </c>
      <c r="K96" s="268" t="s">
        <v>39</v>
      </c>
      <c r="L96" s="278" t="s">
        <v>403</v>
      </c>
      <c r="M96" s="270">
        <v>1500000</v>
      </c>
      <c r="N96" s="270"/>
      <c r="O96" s="261">
        <v>4500000</v>
      </c>
      <c r="P96" s="302"/>
      <c r="Q96" s="302"/>
      <c r="R96" s="303"/>
      <c r="S96" s="261">
        <f t="shared" si="7"/>
        <v>360000</v>
      </c>
      <c r="T96" s="264">
        <f t="shared" si="8"/>
        <v>6360000</v>
      </c>
      <c r="U96" s="258" t="s">
        <v>176</v>
      </c>
      <c r="V96" s="265" t="str">
        <f t="shared" si="5"/>
        <v>Cước vận chuyển Cát Lái - CHƠN THÀNH, BÌNH PHƯỚC cont: JXLU6296878 xe: 51C-54560</v>
      </c>
    </row>
    <row r="97" spans="1:22" s="305" customFormat="1" ht="32.25" customHeight="1" x14ac:dyDescent="0.2">
      <c r="A97" s="254">
        <f t="shared" si="6"/>
        <v>81</v>
      </c>
      <c r="B97" s="267">
        <v>45961</v>
      </c>
      <c r="C97" s="257">
        <v>7263632460</v>
      </c>
      <c r="D97" s="280"/>
      <c r="E97" s="281">
        <v>1</v>
      </c>
      <c r="F97" s="257" t="s">
        <v>404</v>
      </c>
      <c r="G97" s="258" t="s">
        <v>207</v>
      </c>
      <c r="H97" s="300" t="s">
        <v>298</v>
      </c>
      <c r="I97" s="256" t="s">
        <v>299</v>
      </c>
      <c r="J97" s="258" t="s">
        <v>405</v>
      </c>
      <c r="K97" s="268" t="s">
        <v>39</v>
      </c>
      <c r="L97" s="296" t="s">
        <v>406</v>
      </c>
      <c r="M97" s="270">
        <v>1500000</v>
      </c>
      <c r="N97" s="270"/>
      <c r="O97" s="261">
        <v>5300000</v>
      </c>
      <c r="P97" s="302"/>
      <c r="Q97" s="302"/>
      <c r="R97" s="303"/>
      <c r="S97" s="261">
        <f t="shared" si="7"/>
        <v>424000</v>
      </c>
      <c r="T97" s="264">
        <f t="shared" si="8"/>
        <v>7224000</v>
      </c>
      <c r="U97" s="258" t="s">
        <v>176</v>
      </c>
      <c r="V97" s="265" t="str">
        <f t="shared" si="5"/>
        <v>Cước vận chuyển Cát Lái - ĐỒNG PHÚ, BÌNH PHƯỚC cont: FDCU0107426 xe: 50H-61485</v>
      </c>
    </row>
    <row r="98" spans="1:22" s="305" customFormat="1" ht="32.25" customHeight="1" x14ac:dyDescent="0.2">
      <c r="A98" s="254">
        <f t="shared" si="6"/>
        <v>82</v>
      </c>
      <c r="B98" s="267">
        <v>45961</v>
      </c>
      <c r="C98" s="257">
        <v>7263632460</v>
      </c>
      <c r="D98" s="280"/>
      <c r="E98" s="281">
        <v>1</v>
      </c>
      <c r="F98" s="257" t="s">
        <v>407</v>
      </c>
      <c r="G98" s="258" t="s">
        <v>341</v>
      </c>
      <c r="H98" s="300" t="s">
        <v>298</v>
      </c>
      <c r="I98" s="256" t="s">
        <v>299</v>
      </c>
      <c r="J98" s="258" t="s">
        <v>405</v>
      </c>
      <c r="K98" s="268" t="s">
        <v>39</v>
      </c>
      <c r="L98" s="278" t="s">
        <v>408</v>
      </c>
      <c r="M98" s="270">
        <v>1500000</v>
      </c>
      <c r="N98" s="270"/>
      <c r="O98" s="261">
        <v>5300000</v>
      </c>
      <c r="P98" s="302"/>
      <c r="Q98" s="302"/>
      <c r="R98" s="303"/>
      <c r="S98" s="261">
        <f t="shared" si="7"/>
        <v>424000</v>
      </c>
      <c r="T98" s="264">
        <f t="shared" si="8"/>
        <v>7224000</v>
      </c>
      <c r="U98" s="258" t="s">
        <v>176</v>
      </c>
      <c r="V98" s="265" t="str">
        <f t="shared" si="5"/>
        <v>Cước vận chuyển Cát Lái - ĐỒNG PHÚ, BÌNH PHƯỚC cont: OOCU8048911 xe: 51C-69603</v>
      </c>
    </row>
    <row r="99" spans="1:22" s="305" customFormat="1" ht="32.25" customHeight="1" x14ac:dyDescent="0.2">
      <c r="A99" s="254">
        <f t="shared" si="6"/>
        <v>83</v>
      </c>
      <c r="B99" s="267">
        <v>45961</v>
      </c>
      <c r="C99" s="257" t="s">
        <v>382</v>
      </c>
      <c r="D99" s="268"/>
      <c r="E99" s="268">
        <v>1</v>
      </c>
      <c r="F99" s="257" t="s">
        <v>409</v>
      </c>
      <c r="G99" s="258" t="s">
        <v>198</v>
      </c>
      <c r="H99" s="300" t="s">
        <v>180</v>
      </c>
      <c r="I99" s="256" t="s">
        <v>181</v>
      </c>
      <c r="J99" s="268" t="s">
        <v>39</v>
      </c>
      <c r="K99" s="257" t="s">
        <v>233</v>
      </c>
      <c r="L99" s="278" t="s">
        <v>410</v>
      </c>
      <c r="M99" s="270">
        <v>1500000</v>
      </c>
      <c r="N99" s="270"/>
      <c r="O99" s="261">
        <v>4500000</v>
      </c>
      <c r="P99" s="302"/>
      <c r="Q99" s="302"/>
      <c r="R99" s="303"/>
      <c r="S99" s="261">
        <f t="shared" si="7"/>
        <v>360000</v>
      </c>
      <c r="T99" s="264">
        <f t="shared" si="8"/>
        <v>6360000</v>
      </c>
      <c r="U99" s="258" t="s">
        <v>176</v>
      </c>
      <c r="V99" s="265" t="str">
        <f t="shared" si="5"/>
        <v>Cước vận chuyển Cát Lái - CHƠN THÀNH, BÌNH PHƯỚC cont: TGBU4361645 xe: 51D-14187</v>
      </c>
    </row>
    <row r="100" spans="1:22" s="305" customFormat="1" ht="32.25" customHeight="1" x14ac:dyDescent="0.2">
      <c r="A100" s="254">
        <f t="shared" si="6"/>
        <v>84</v>
      </c>
      <c r="B100" s="267">
        <v>45961</v>
      </c>
      <c r="C100" s="257" t="s">
        <v>382</v>
      </c>
      <c r="D100" s="271"/>
      <c r="E100" s="268">
        <v>1</v>
      </c>
      <c r="F100" s="257" t="s">
        <v>411</v>
      </c>
      <c r="G100" s="258" t="s">
        <v>341</v>
      </c>
      <c r="H100" s="300" t="s">
        <v>180</v>
      </c>
      <c r="I100" s="256" t="s">
        <v>181</v>
      </c>
      <c r="J100" s="268" t="s">
        <v>39</v>
      </c>
      <c r="K100" s="257" t="s">
        <v>233</v>
      </c>
      <c r="L100" s="278" t="s">
        <v>412</v>
      </c>
      <c r="M100" s="270">
        <v>1500000</v>
      </c>
      <c r="N100" s="297"/>
      <c r="O100" s="261">
        <v>4500000</v>
      </c>
      <c r="P100" s="302"/>
      <c r="Q100" s="302"/>
      <c r="R100" s="303"/>
      <c r="S100" s="261">
        <f t="shared" si="7"/>
        <v>360000</v>
      </c>
      <c r="T100" s="264">
        <f t="shared" si="8"/>
        <v>6360000</v>
      </c>
      <c r="U100" s="258" t="s">
        <v>176</v>
      </c>
      <c r="V100" s="265" t="str">
        <f t="shared" si="5"/>
        <v>Cước vận chuyển Cát Lái - CHƠN THÀNH, BÌNH PHƯỚC cont: TCKU7665415 xe: 51C-69603</v>
      </c>
    </row>
    <row r="101" spans="1:22" s="305" customFormat="1" ht="32.25" customHeight="1" x14ac:dyDescent="0.2">
      <c r="A101" s="254">
        <f t="shared" si="6"/>
        <v>85</v>
      </c>
      <c r="B101" s="267">
        <v>45961</v>
      </c>
      <c r="C101" s="257" t="s">
        <v>382</v>
      </c>
      <c r="D101" s="271"/>
      <c r="E101" s="268">
        <v>1</v>
      </c>
      <c r="F101" s="257" t="s">
        <v>413</v>
      </c>
      <c r="G101" s="258" t="s">
        <v>302</v>
      </c>
      <c r="H101" s="258" t="s">
        <v>180</v>
      </c>
      <c r="I101" s="256" t="s">
        <v>181</v>
      </c>
      <c r="J101" s="268" t="s">
        <v>39</v>
      </c>
      <c r="K101" s="257" t="s">
        <v>233</v>
      </c>
      <c r="L101" s="278" t="s">
        <v>414</v>
      </c>
      <c r="M101" s="270">
        <v>1500000</v>
      </c>
      <c r="N101" s="297"/>
      <c r="O101" s="261">
        <v>4500000</v>
      </c>
      <c r="P101" s="302"/>
      <c r="Q101" s="302"/>
      <c r="R101" s="303"/>
      <c r="S101" s="261">
        <f t="shared" si="7"/>
        <v>360000</v>
      </c>
      <c r="T101" s="264">
        <f t="shared" si="8"/>
        <v>6360000</v>
      </c>
      <c r="U101" s="258" t="s">
        <v>176</v>
      </c>
      <c r="V101" s="265" t="str">
        <f t="shared" si="5"/>
        <v>Cước vận chuyển Cát Lái - CHƠN THÀNH, BÌNH PHƯỚC cont: SEGU4043530 xe: 51C-64390</v>
      </c>
    </row>
    <row r="102" spans="1:22" s="190" customFormat="1" ht="32.25" customHeight="1" x14ac:dyDescent="0.2">
      <c r="A102" s="155">
        <f t="shared" si="6"/>
        <v>86</v>
      </c>
      <c r="B102" s="163">
        <v>45668</v>
      </c>
      <c r="C102" s="157" t="s">
        <v>415</v>
      </c>
      <c r="D102" s="166"/>
      <c r="E102" s="164">
        <v>1</v>
      </c>
      <c r="F102" s="157" t="s">
        <v>420</v>
      </c>
      <c r="G102" s="152" t="s">
        <v>225</v>
      </c>
      <c r="H102" s="152" t="s">
        <v>180</v>
      </c>
      <c r="I102" s="156" t="s">
        <v>181</v>
      </c>
      <c r="J102" s="164" t="s">
        <v>39</v>
      </c>
      <c r="K102" s="157" t="s">
        <v>174</v>
      </c>
      <c r="L102" s="172" t="s">
        <v>417</v>
      </c>
      <c r="M102" s="165">
        <v>1500000</v>
      </c>
      <c r="N102" s="185">
        <v>2600000</v>
      </c>
      <c r="O102" s="160">
        <v>4500000</v>
      </c>
      <c r="P102" s="187"/>
      <c r="Q102" s="187"/>
      <c r="R102" s="188"/>
      <c r="S102" s="160">
        <f t="shared" si="7"/>
        <v>360000</v>
      </c>
      <c r="T102" s="161">
        <f t="shared" si="8"/>
        <v>8960000</v>
      </c>
      <c r="U102" s="152" t="s">
        <v>176</v>
      </c>
      <c r="V102" s="162"/>
    </row>
    <row r="103" spans="1:22" s="190" customFormat="1" ht="32.25" customHeight="1" x14ac:dyDescent="0.2">
      <c r="A103" s="155">
        <f t="shared" si="6"/>
        <v>87</v>
      </c>
      <c r="B103" s="163">
        <v>45668</v>
      </c>
      <c r="C103" s="157" t="s">
        <v>415</v>
      </c>
      <c r="D103" s="166"/>
      <c r="E103" s="164">
        <v>1</v>
      </c>
      <c r="F103" s="157" t="s">
        <v>418</v>
      </c>
      <c r="G103" s="152" t="s">
        <v>191</v>
      </c>
      <c r="H103" s="152" t="s">
        <v>180</v>
      </c>
      <c r="I103" s="156" t="s">
        <v>181</v>
      </c>
      <c r="J103" s="164" t="s">
        <v>39</v>
      </c>
      <c r="K103" s="157" t="s">
        <v>174</v>
      </c>
      <c r="L103" s="172" t="s">
        <v>419</v>
      </c>
      <c r="M103" s="165">
        <v>1500000</v>
      </c>
      <c r="N103" s="185"/>
      <c r="O103" s="160">
        <v>4500000</v>
      </c>
      <c r="P103" s="187"/>
      <c r="Q103" s="187"/>
      <c r="R103" s="188"/>
      <c r="S103" s="160">
        <f t="shared" si="7"/>
        <v>360000</v>
      </c>
      <c r="T103" s="161">
        <f t="shared" si="8"/>
        <v>6360000</v>
      </c>
      <c r="U103" s="152"/>
      <c r="V103" s="162"/>
    </row>
    <row r="104" spans="1:22" s="190" customFormat="1" ht="32.25" customHeight="1" x14ac:dyDescent="0.2">
      <c r="A104" s="155">
        <f t="shared" si="6"/>
        <v>88</v>
      </c>
      <c r="B104" s="163">
        <v>45668</v>
      </c>
      <c r="C104" s="157" t="s">
        <v>415</v>
      </c>
      <c r="D104" s="166"/>
      <c r="E104" s="164">
        <v>1</v>
      </c>
      <c r="F104" s="157" t="s">
        <v>416</v>
      </c>
      <c r="G104" s="152" t="s">
        <v>204</v>
      </c>
      <c r="H104" s="152" t="s">
        <v>180</v>
      </c>
      <c r="I104" s="156" t="s">
        <v>181</v>
      </c>
      <c r="J104" s="164" t="s">
        <v>39</v>
      </c>
      <c r="K104" s="157" t="s">
        <v>174</v>
      </c>
      <c r="L104" s="172" t="s">
        <v>421</v>
      </c>
      <c r="M104" s="165">
        <v>1500000</v>
      </c>
      <c r="N104" s="185"/>
      <c r="O104" s="160">
        <v>4500000</v>
      </c>
      <c r="P104" s="187"/>
      <c r="Q104" s="187"/>
      <c r="R104" s="188"/>
      <c r="S104" s="160">
        <f t="shared" si="7"/>
        <v>360000</v>
      </c>
      <c r="T104" s="161">
        <f t="shared" si="8"/>
        <v>6360000</v>
      </c>
      <c r="U104" s="152"/>
      <c r="V104" s="162"/>
    </row>
    <row r="105" spans="1:22" s="190" customFormat="1" ht="32.25" customHeight="1" x14ac:dyDescent="0.2">
      <c r="A105" s="155">
        <v>1</v>
      </c>
      <c r="B105" s="163">
        <v>45727</v>
      </c>
      <c r="C105" s="157">
        <v>261260495</v>
      </c>
      <c r="D105" s="166"/>
      <c r="E105" s="164">
        <v>1</v>
      </c>
      <c r="F105" s="157" t="s">
        <v>432</v>
      </c>
      <c r="G105" s="152" t="s">
        <v>368</v>
      </c>
      <c r="H105" s="152" t="s">
        <v>172</v>
      </c>
      <c r="I105" s="156" t="s">
        <v>173</v>
      </c>
      <c r="J105" s="157" t="s">
        <v>174</v>
      </c>
      <c r="K105" s="157" t="s">
        <v>39</v>
      </c>
      <c r="L105" s="172" t="s">
        <v>423</v>
      </c>
      <c r="M105" s="165">
        <v>1500000</v>
      </c>
      <c r="N105" s="185"/>
      <c r="O105" s="160">
        <v>2700000</v>
      </c>
      <c r="P105" s="187"/>
      <c r="Q105" s="187"/>
      <c r="R105" s="188"/>
      <c r="S105" s="160">
        <f t="shared" si="7"/>
        <v>216000</v>
      </c>
      <c r="T105" s="161">
        <f t="shared" si="8"/>
        <v>4416000</v>
      </c>
      <c r="U105" s="152" t="s">
        <v>176</v>
      </c>
      <c r="V105" s="162"/>
    </row>
    <row r="106" spans="1:22" s="190" customFormat="1" ht="32.25" customHeight="1" x14ac:dyDescent="0.2">
      <c r="A106" s="155">
        <v>2</v>
      </c>
      <c r="B106" s="163">
        <v>45727</v>
      </c>
      <c r="C106" s="157">
        <v>7263678330</v>
      </c>
      <c r="D106" s="166"/>
      <c r="E106" s="164">
        <v>1</v>
      </c>
      <c r="F106" s="157" t="s">
        <v>1133</v>
      </c>
      <c r="G106" s="152" t="s">
        <v>341</v>
      </c>
      <c r="H106" s="152" t="s">
        <v>172</v>
      </c>
      <c r="I106" s="156" t="s">
        <v>173</v>
      </c>
      <c r="J106" s="157" t="s">
        <v>174</v>
      </c>
      <c r="K106" s="157" t="s">
        <v>39</v>
      </c>
      <c r="L106" s="172" t="s">
        <v>425</v>
      </c>
      <c r="M106" s="165">
        <v>1500000</v>
      </c>
      <c r="N106" s="185"/>
      <c r="O106" s="160">
        <v>2700000</v>
      </c>
      <c r="P106" s="187"/>
      <c r="Q106" s="187"/>
      <c r="R106" s="188"/>
      <c r="S106" s="160">
        <f t="shared" si="7"/>
        <v>216000</v>
      </c>
      <c r="T106" s="161">
        <f t="shared" si="8"/>
        <v>4416000</v>
      </c>
      <c r="U106" s="152"/>
      <c r="V106" s="162"/>
    </row>
    <row r="107" spans="1:22" s="190" customFormat="1" ht="32.25" customHeight="1" x14ac:dyDescent="0.2">
      <c r="A107" s="155">
        <v>3</v>
      </c>
      <c r="B107" s="163">
        <v>45727</v>
      </c>
      <c r="C107" s="157">
        <v>7263702820</v>
      </c>
      <c r="D107" s="166"/>
      <c r="E107" s="164">
        <v>1</v>
      </c>
      <c r="F107" s="157" t="s">
        <v>422</v>
      </c>
      <c r="G107" s="152" t="s">
        <v>219</v>
      </c>
      <c r="H107" s="152" t="s">
        <v>298</v>
      </c>
      <c r="I107" s="156" t="s">
        <v>299</v>
      </c>
      <c r="J107" s="157" t="s">
        <v>174</v>
      </c>
      <c r="K107" s="157" t="s">
        <v>39</v>
      </c>
      <c r="L107" s="172" t="s">
        <v>427</v>
      </c>
      <c r="M107" s="165">
        <v>1500000</v>
      </c>
      <c r="N107" s="185"/>
      <c r="O107" s="160">
        <v>5300000</v>
      </c>
      <c r="P107" s="187"/>
      <c r="Q107" s="187"/>
      <c r="R107" s="188"/>
      <c r="S107" s="160">
        <f t="shared" si="7"/>
        <v>424000</v>
      </c>
      <c r="T107" s="161">
        <f t="shared" si="8"/>
        <v>7224000</v>
      </c>
      <c r="U107" s="152" t="s">
        <v>176</v>
      </c>
      <c r="V107" s="162"/>
    </row>
    <row r="108" spans="1:22" s="190" customFormat="1" ht="32.25" customHeight="1" x14ac:dyDescent="0.2">
      <c r="A108" s="155">
        <f t="shared" ref="A108:A171" si="9">ROW()-104</f>
        <v>4</v>
      </c>
      <c r="B108" s="163">
        <v>45727</v>
      </c>
      <c r="C108" s="157">
        <v>7263702820</v>
      </c>
      <c r="D108" s="166"/>
      <c r="E108" s="164">
        <v>1</v>
      </c>
      <c r="F108" s="157" t="s">
        <v>424</v>
      </c>
      <c r="G108" s="152" t="s">
        <v>191</v>
      </c>
      <c r="H108" s="152" t="s">
        <v>180</v>
      </c>
      <c r="I108" s="156" t="s">
        <v>181</v>
      </c>
      <c r="J108" s="157" t="s">
        <v>182</v>
      </c>
      <c r="K108" s="157" t="s">
        <v>39</v>
      </c>
      <c r="L108" s="172" t="s">
        <v>429</v>
      </c>
      <c r="M108" s="165">
        <v>1500000</v>
      </c>
      <c r="N108" s="185"/>
      <c r="O108" s="160">
        <v>4500000</v>
      </c>
      <c r="P108" s="187"/>
      <c r="Q108" s="187"/>
      <c r="R108" s="188"/>
      <c r="S108" s="160">
        <f t="shared" si="7"/>
        <v>360000</v>
      </c>
      <c r="T108" s="161">
        <f t="shared" si="8"/>
        <v>6360000</v>
      </c>
      <c r="U108" s="152" t="s">
        <v>176</v>
      </c>
      <c r="V108" s="162"/>
    </row>
    <row r="109" spans="1:22" s="190" customFormat="1" ht="32.25" customHeight="1" x14ac:dyDescent="0.2">
      <c r="A109" s="155">
        <f t="shared" si="9"/>
        <v>5</v>
      </c>
      <c r="B109" s="168">
        <v>45727</v>
      </c>
      <c r="C109" s="182">
        <v>7263625870</v>
      </c>
      <c r="D109" s="170"/>
      <c r="E109" s="169">
        <v>1</v>
      </c>
      <c r="F109" s="182" t="s">
        <v>430</v>
      </c>
      <c r="G109" s="152" t="s">
        <v>308</v>
      </c>
      <c r="H109" s="180" t="s">
        <v>172</v>
      </c>
      <c r="I109" s="193" t="s">
        <v>173</v>
      </c>
      <c r="J109" s="182" t="s">
        <v>174</v>
      </c>
      <c r="K109" s="157" t="s">
        <v>39</v>
      </c>
      <c r="L109" s="172" t="s">
        <v>431</v>
      </c>
      <c r="M109" s="165">
        <v>1500000</v>
      </c>
      <c r="N109" s="185"/>
      <c r="O109" s="160">
        <v>2700000</v>
      </c>
      <c r="P109" s="187"/>
      <c r="Q109" s="187"/>
      <c r="R109" s="188"/>
      <c r="S109" s="160">
        <f t="shared" si="7"/>
        <v>216000</v>
      </c>
      <c r="T109" s="161">
        <f t="shared" si="8"/>
        <v>4416000</v>
      </c>
      <c r="U109" s="152" t="s">
        <v>176</v>
      </c>
      <c r="V109" s="162"/>
    </row>
    <row r="110" spans="1:22" s="190" customFormat="1" ht="32.25" customHeight="1" x14ac:dyDescent="0.2">
      <c r="A110" s="155">
        <f t="shared" si="9"/>
        <v>6</v>
      </c>
      <c r="B110" s="163">
        <v>45727</v>
      </c>
      <c r="C110" s="157">
        <v>7263632461</v>
      </c>
      <c r="D110" s="166"/>
      <c r="E110" s="164">
        <v>1</v>
      </c>
      <c r="F110" s="157" t="s">
        <v>426</v>
      </c>
      <c r="G110" s="152" t="s">
        <v>207</v>
      </c>
      <c r="H110" s="152" t="s">
        <v>298</v>
      </c>
      <c r="I110" s="156" t="s">
        <v>299</v>
      </c>
      <c r="J110" s="171" t="s">
        <v>433</v>
      </c>
      <c r="K110" s="199" t="s">
        <v>39</v>
      </c>
      <c r="L110" s="172" t="s">
        <v>434</v>
      </c>
      <c r="M110" s="165">
        <v>1450000</v>
      </c>
      <c r="N110" s="185"/>
      <c r="O110" s="160">
        <v>4300000</v>
      </c>
      <c r="P110" s="187"/>
      <c r="Q110" s="187"/>
      <c r="R110" s="188"/>
      <c r="S110" s="160">
        <f t="shared" si="7"/>
        <v>344000</v>
      </c>
      <c r="T110" s="161">
        <f t="shared" si="8"/>
        <v>6094000</v>
      </c>
      <c r="U110" s="152" t="s">
        <v>176</v>
      </c>
      <c r="V110" s="162"/>
    </row>
    <row r="111" spans="1:22" s="190" customFormat="1" ht="32.25" customHeight="1" x14ac:dyDescent="0.2">
      <c r="A111" s="155">
        <f t="shared" si="9"/>
        <v>7</v>
      </c>
      <c r="B111" s="192">
        <v>45758</v>
      </c>
      <c r="C111" s="157" t="s">
        <v>435</v>
      </c>
      <c r="D111" s="166"/>
      <c r="E111" s="164">
        <v>1</v>
      </c>
      <c r="F111" s="157" t="s">
        <v>438</v>
      </c>
      <c r="G111" s="152" t="s">
        <v>194</v>
      </c>
      <c r="H111" s="152" t="s">
        <v>172</v>
      </c>
      <c r="I111" s="156" t="s">
        <v>173</v>
      </c>
      <c r="J111" s="157" t="s">
        <v>233</v>
      </c>
      <c r="K111" s="157" t="s">
        <v>39</v>
      </c>
      <c r="L111" s="152">
        <v>398267</v>
      </c>
      <c r="M111" s="165">
        <v>1500000</v>
      </c>
      <c r="N111" s="185"/>
      <c r="O111" s="160">
        <v>2700000</v>
      </c>
      <c r="P111" s="187"/>
      <c r="Q111" s="187"/>
      <c r="R111" s="188"/>
      <c r="S111" s="160">
        <f t="shared" si="7"/>
        <v>216000</v>
      </c>
      <c r="T111" s="161">
        <f t="shared" si="8"/>
        <v>4416000</v>
      </c>
      <c r="U111" s="152"/>
      <c r="V111" s="162"/>
    </row>
    <row r="112" spans="1:22" s="190" customFormat="1" ht="32.25" customHeight="1" x14ac:dyDescent="0.2">
      <c r="A112" s="155">
        <f t="shared" si="9"/>
        <v>8</v>
      </c>
      <c r="B112" s="192">
        <v>45758</v>
      </c>
      <c r="C112" s="157" t="s">
        <v>435</v>
      </c>
      <c r="D112" s="166"/>
      <c r="E112" s="164">
        <v>1</v>
      </c>
      <c r="F112" s="171" t="s">
        <v>437</v>
      </c>
      <c r="G112" s="152" t="s">
        <v>305</v>
      </c>
      <c r="H112" s="152" t="s">
        <v>172</v>
      </c>
      <c r="I112" s="156" t="s">
        <v>173</v>
      </c>
      <c r="J112" s="157" t="s">
        <v>233</v>
      </c>
      <c r="K112" s="157" t="s">
        <v>39</v>
      </c>
      <c r="L112" s="152">
        <v>398342</v>
      </c>
      <c r="M112" s="165">
        <v>1500000</v>
      </c>
      <c r="N112" s="185"/>
      <c r="O112" s="160">
        <v>2700000</v>
      </c>
      <c r="P112" s="187"/>
      <c r="Q112" s="187"/>
      <c r="R112" s="188"/>
      <c r="S112" s="160">
        <f t="shared" si="7"/>
        <v>216000</v>
      </c>
      <c r="T112" s="161">
        <f t="shared" si="8"/>
        <v>4416000</v>
      </c>
      <c r="U112" s="152" t="s">
        <v>176</v>
      </c>
      <c r="V112" s="162"/>
    </row>
    <row r="113" spans="1:22" s="190" customFormat="1" ht="32.25" customHeight="1" x14ac:dyDescent="0.2">
      <c r="A113" s="155">
        <f t="shared" si="9"/>
        <v>9</v>
      </c>
      <c r="B113" s="192">
        <v>45758</v>
      </c>
      <c r="C113" s="157" t="s">
        <v>435</v>
      </c>
      <c r="D113" s="176"/>
      <c r="E113" s="175">
        <v>1</v>
      </c>
      <c r="F113" s="157" t="s">
        <v>436</v>
      </c>
      <c r="G113" s="152" t="s">
        <v>204</v>
      </c>
      <c r="H113" s="152" t="s">
        <v>172</v>
      </c>
      <c r="I113" s="156" t="s">
        <v>173</v>
      </c>
      <c r="J113" s="157" t="s">
        <v>233</v>
      </c>
      <c r="K113" s="157" t="s">
        <v>39</v>
      </c>
      <c r="L113" s="152">
        <v>398434</v>
      </c>
      <c r="M113" s="165">
        <v>1500000</v>
      </c>
      <c r="N113" s="185"/>
      <c r="O113" s="160">
        <v>2700000</v>
      </c>
      <c r="P113" s="187"/>
      <c r="Q113" s="187"/>
      <c r="R113" s="188"/>
      <c r="S113" s="160">
        <f t="shared" si="7"/>
        <v>216000</v>
      </c>
      <c r="T113" s="161">
        <f t="shared" si="8"/>
        <v>4416000</v>
      </c>
      <c r="U113" s="152" t="s">
        <v>176</v>
      </c>
      <c r="V113" s="162"/>
    </row>
    <row r="114" spans="1:22" s="190" customFormat="1" ht="32.25" customHeight="1" x14ac:dyDescent="0.2">
      <c r="A114" s="155">
        <f t="shared" si="9"/>
        <v>10</v>
      </c>
      <c r="B114" s="163">
        <v>45788</v>
      </c>
      <c r="C114" s="157">
        <v>7263119590</v>
      </c>
      <c r="D114" s="166"/>
      <c r="E114" s="164">
        <v>1</v>
      </c>
      <c r="F114" s="157" t="s">
        <v>444</v>
      </c>
      <c r="G114" s="157" t="s">
        <v>440</v>
      </c>
      <c r="H114" s="152" t="s">
        <v>180</v>
      </c>
      <c r="I114" s="156" t="s">
        <v>181</v>
      </c>
      <c r="J114" s="164" t="s">
        <v>441</v>
      </c>
      <c r="K114" s="157" t="s">
        <v>442</v>
      </c>
      <c r="L114" s="172" t="s">
        <v>443</v>
      </c>
      <c r="M114" s="165">
        <v>1500000</v>
      </c>
      <c r="N114" s="185"/>
      <c r="O114" s="160">
        <v>4760000</v>
      </c>
      <c r="P114" s="187"/>
      <c r="Q114" s="187"/>
      <c r="R114" s="188"/>
      <c r="S114" s="160">
        <f t="shared" si="7"/>
        <v>380800</v>
      </c>
      <c r="T114" s="161">
        <f t="shared" si="8"/>
        <v>6640800</v>
      </c>
      <c r="U114" s="152" t="s">
        <v>176</v>
      </c>
      <c r="V114" s="162"/>
    </row>
    <row r="115" spans="1:22" s="190" customFormat="1" ht="32.25" customHeight="1" x14ac:dyDescent="0.2">
      <c r="A115" s="155">
        <f t="shared" si="9"/>
        <v>11</v>
      </c>
      <c r="B115" s="163">
        <v>45788</v>
      </c>
      <c r="C115" s="157">
        <v>7263119590</v>
      </c>
      <c r="D115" s="166"/>
      <c r="E115" s="164">
        <v>1</v>
      </c>
      <c r="F115" s="157" t="s">
        <v>447</v>
      </c>
      <c r="G115" s="157" t="s">
        <v>445</v>
      </c>
      <c r="H115" s="152" t="s">
        <v>172</v>
      </c>
      <c r="I115" s="156" t="s">
        <v>173</v>
      </c>
      <c r="J115" s="157" t="s">
        <v>174</v>
      </c>
      <c r="K115" s="157" t="s">
        <v>39</v>
      </c>
      <c r="L115" s="172" t="s">
        <v>446</v>
      </c>
      <c r="M115" s="165">
        <v>1500000</v>
      </c>
      <c r="N115" s="185"/>
      <c r="O115" s="160">
        <v>2700000</v>
      </c>
      <c r="P115" s="187"/>
      <c r="Q115" s="187"/>
      <c r="R115" s="188"/>
      <c r="S115" s="160">
        <f t="shared" si="7"/>
        <v>216000</v>
      </c>
      <c r="T115" s="161">
        <f t="shared" si="8"/>
        <v>4416000</v>
      </c>
      <c r="U115" s="152" t="s">
        <v>176</v>
      </c>
      <c r="V115" s="162"/>
    </row>
    <row r="116" spans="1:22" s="190" customFormat="1" ht="32.25" customHeight="1" x14ac:dyDescent="0.2">
      <c r="A116" s="155">
        <f t="shared" si="9"/>
        <v>12</v>
      </c>
      <c r="B116" s="163">
        <v>45788</v>
      </c>
      <c r="C116" s="157">
        <v>7263119590</v>
      </c>
      <c r="D116" s="166"/>
      <c r="E116" s="164">
        <v>1</v>
      </c>
      <c r="F116" s="157" t="s">
        <v>449</v>
      </c>
      <c r="G116" s="171" t="s">
        <v>318</v>
      </c>
      <c r="H116" s="152" t="s">
        <v>172</v>
      </c>
      <c r="I116" s="156" t="s">
        <v>173</v>
      </c>
      <c r="J116" s="157" t="s">
        <v>174</v>
      </c>
      <c r="K116" s="157" t="s">
        <v>39</v>
      </c>
      <c r="L116" s="172" t="s">
        <v>448</v>
      </c>
      <c r="M116" s="165">
        <v>1500000</v>
      </c>
      <c r="N116" s="185"/>
      <c r="O116" s="160">
        <v>2700000</v>
      </c>
      <c r="P116" s="187"/>
      <c r="Q116" s="187"/>
      <c r="R116" s="188"/>
      <c r="S116" s="160">
        <f t="shared" si="7"/>
        <v>216000</v>
      </c>
      <c r="T116" s="161">
        <f t="shared" si="8"/>
        <v>4416000</v>
      </c>
      <c r="U116" s="152" t="s">
        <v>176</v>
      </c>
      <c r="V116" s="162"/>
    </row>
    <row r="117" spans="1:22" s="190" customFormat="1" ht="32.25" customHeight="1" x14ac:dyDescent="0.2">
      <c r="A117" s="155">
        <f t="shared" si="9"/>
        <v>13</v>
      </c>
      <c r="B117" s="163">
        <v>45788</v>
      </c>
      <c r="C117" s="157">
        <v>7263119590</v>
      </c>
      <c r="D117" s="166"/>
      <c r="E117" s="164">
        <v>1</v>
      </c>
      <c r="F117" s="157" t="s">
        <v>452</v>
      </c>
      <c r="G117" s="157" t="s">
        <v>450</v>
      </c>
      <c r="H117" s="152" t="s">
        <v>172</v>
      </c>
      <c r="I117" s="156" t="s">
        <v>173</v>
      </c>
      <c r="J117" s="157" t="s">
        <v>174</v>
      </c>
      <c r="K117" s="157" t="s">
        <v>39</v>
      </c>
      <c r="L117" s="172" t="s">
        <v>451</v>
      </c>
      <c r="M117" s="165">
        <v>1500000</v>
      </c>
      <c r="N117" s="185"/>
      <c r="O117" s="160">
        <v>2700000</v>
      </c>
      <c r="P117" s="187"/>
      <c r="Q117" s="187"/>
      <c r="R117" s="188"/>
      <c r="S117" s="160">
        <f t="shared" si="7"/>
        <v>216000</v>
      </c>
      <c r="T117" s="161">
        <f t="shared" si="8"/>
        <v>4416000</v>
      </c>
      <c r="U117" s="152"/>
      <c r="V117" s="162"/>
    </row>
    <row r="118" spans="1:22" s="190" customFormat="1" ht="32.25" customHeight="1" x14ac:dyDescent="0.2">
      <c r="A118" s="155">
        <f t="shared" si="9"/>
        <v>14</v>
      </c>
      <c r="B118" s="168">
        <v>45788</v>
      </c>
      <c r="C118" s="182">
        <v>258303573</v>
      </c>
      <c r="D118" s="170"/>
      <c r="E118" s="169">
        <v>1</v>
      </c>
      <c r="F118" s="182" t="s">
        <v>439</v>
      </c>
      <c r="G118" s="182" t="s">
        <v>453</v>
      </c>
      <c r="H118" s="152" t="s">
        <v>172</v>
      </c>
      <c r="I118" s="156" t="s">
        <v>173</v>
      </c>
      <c r="J118" s="157" t="s">
        <v>174</v>
      </c>
      <c r="K118" s="157" t="s">
        <v>39</v>
      </c>
      <c r="L118" s="172" t="s">
        <v>454</v>
      </c>
      <c r="M118" s="165">
        <v>1500000</v>
      </c>
      <c r="N118" s="185"/>
      <c r="O118" s="160">
        <v>2700000</v>
      </c>
      <c r="P118" s="187"/>
      <c r="Q118" s="187"/>
      <c r="R118" s="188"/>
      <c r="S118" s="160">
        <f t="shared" si="7"/>
        <v>216000</v>
      </c>
      <c r="T118" s="161">
        <f t="shared" si="8"/>
        <v>4416000</v>
      </c>
      <c r="U118" s="152"/>
      <c r="V118" s="162"/>
    </row>
    <row r="119" spans="1:22" s="190" customFormat="1" ht="32.25" customHeight="1" x14ac:dyDescent="0.2">
      <c r="A119" s="155">
        <f t="shared" si="9"/>
        <v>15</v>
      </c>
      <c r="B119" s="168">
        <v>45788</v>
      </c>
      <c r="C119" s="157" t="s">
        <v>455</v>
      </c>
      <c r="D119" s="170"/>
      <c r="E119" s="169">
        <v>1</v>
      </c>
      <c r="F119" s="182" t="s">
        <v>456</v>
      </c>
      <c r="G119" s="182" t="s">
        <v>354</v>
      </c>
      <c r="H119" s="196" t="s">
        <v>180</v>
      </c>
      <c r="I119" s="156" t="s">
        <v>181</v>
      </c>
      <c r="J119" s="157" t="s">
        <v>457</v>
      </c>
      <c r="K119" s="157" t="s">
        <v>39</v>
      </c>
      <c r="L119" s="172" t="s">
        <v>458</v>
      </c>
      <c r="M119" s="165">
        <v>1500000</v>
      </c>
      <c r="N119" s="185"/>
      <c r="O119" s="160">
        <v>4500000</v>
      </c>
      <c r="P119" s="187"/>
      <c r="Q119" s="187"/>
      <c r="R119" s="188"/>
      <c r="S119" s="160">
        <f t="shared" si="7"/>
        <v>360000</v>
      </c>
      <c r="T119" s="161">
        <f t="shared" si="8"/>
        <v>6360000</v>
      </c>
      <c r="U119" s="152"/>
      <c r="V119" s="162"/>
    </row>
    <row r="120" spans="1:22" s="190" customFormat="1" ht="32.25" customHeight="1" x14ac:dyDescent="0.2">
      <c r="A120" s="155">
        <f t="shared" si="9"/>
        <v>16</v>
      </c>
      <c r="B120" s="163">
        <v>45819</v>
      </c>
      <c r="C120" s="171" t="s">
        <v>459</v>
      </c>
      <c r="D120" s="171"/>
      <c r="E120" s="171">
        <v>1</v>
      </c>
      <c r="F120" s="157" t="s">
        <v>471</v>
      </c>
      <c r="G120" s="157" t="s">
        <v>194</v>
      </c>
      <c r="H120" s="196" t="s">
        <v>255</v>
      </c>
      <c r="I120" s="155" t="s">
        <v>256</v>
      </c>
      <c r="J120" s="198" t="s">
        <v>39</v>
      </c>
      <c r="K120" s="157" t="s">
        <v>461</v>
      </c>
      <c r="L120" s="172" t="s">
        <v>462</v>
      </c>
      <c r="M120" s="165">
        <v>1500000</v>
      </c>
      <c r="N120" s="185"/>
      <c r="O120" s="160">
        <v>4500000</v>
      </c>
      <c r="P120" s="187"/>
      <c r="Q120" s="187"/>
      <c r="R120" s="188"/>
      <c r="S120" s="160">
        <f t="shared" si="7"/>
        <v>360000</v>
      </c>
      <c r="T120" s="161">
        <f t="shared" si="8"/>
        <v>6360000</v>
      </c>
      <c r="U120" s="152" t="s">
        <v>176</v>
      </c>
      <c r="V120" s="162"/>
    </row>
    <row r="121" spans="1:22" s="190" customFormat="1" ht="32.25" customHeight="1" x14ac:dyDescent="0.2">
      <c r="A121" s="155">
        <f t="shared" si="9"/>
        <v>17</v>
      </c>
      <c r="B121" s="163">
        <v>45819</v>
      </c>
      <c r="C121" s="171" t="s">
        <v>459</v>
      </c>
      <c r="D121" s="166"/>
      <c r="E121" s="171">
        <v>1</v>
      </c>
      <c r="F121" s="157" t="s">
        <v>468</v>
      </c>
      <c r="G121" s="171" t="s">
        <v>284</v>
      </c>
      <c r="H121" s="196" t="s">
        <v>255</v>
      </c>
      <c r="I121" s="155" t="s">
        <v>256</v>
      </c>
      <c r="J121" s="198" t="s">
        <v>39</v>
      </c>
      <c r="K121" s="157" t="s">
        <v>461</v>
      </c>
      <c r="L121" s="152">
        <v>401361</v>
      </c>
      <c r="M121" s="165">
        <v>1500000</v>
      </c>
      <c r="N121" s="185"/>
      <c r="O121" s="160">
        <v>4500000</v>
      </c>
      <c r="P121" s="187"/>
      <c r="Q121" s="187"/>
      <c r="R121" s="188"/>
      <c r="S121" s="160">
        <f t="shared" si="7"/>
        <v>360000</v>
      </c>
      <c r="T121" s="161">
        <f t="shared" si="8"/>
        <v>6360000</v>
      </c>
      <c r="U121" s="152"/>
      <c r="V121" s="162"/>
    </row>
    <row r="122" spans="1:22" s="190" customFormat="1" ht="32.25" customHeight="1" x14ac:dyDescent="0.2">
      <c r="A122" s="155">
        <f t="shared" si="9"/>
        <v>18</v>
      </c>
      <c r="B122" s="163">
        <v>45819</v>
      </c>
      <c r="C122" s="171" t="s">
        <v>459</v>
      </c>
      <c r="D122" s="166"/>
      <c r="E122" s="171">
        <v>1</v>
      </c>
      <c r="F122" s="157" t="s">
        <v>460</v>
      </c>
      <c r="G122" s="157" t="s">
        <v>341</v>
      </c>
      <c r="H122" s="196" t="s">
        <v>255</v>
      </c>
      <c r="I122" s="155" t="s">
        <v>256</v>
      </c>
      <c r="J122" s="198" t="s">
        <v>39</v>
      </c>
      <c r="K122" s="157" t="s">
        <v>461</v>
      </c>
      <c r="L122" s="172" t="s">
        <v>465</v>
      </c>
      <c r="M122" s="165">
        <v>1500000</v>
      </c>
      <c r="N122" s="185"/>
      <c r="O122" s="160">
        <v>4500000</v>
      </c>
      <c r="P122" s="187"/>
      <c r="Q122" s="187"/>
      <c r="R122" s="188"/>
      <c r="S122" s="160">
        <f t="shared" si="7"/>
        <v>360000</v>
      </c>
      <c r="T122" s="161">
        <f t="shared" si="8"/>
        <v>6360000</v>
      </c>
      <c r="U122" s="152" t="s">
        <v>176</v>
      </c>
      <c r="V122" s="162"/>
    </row>
    <row r="123" spans="1:22" s="190" customFormat="1" ht="32.25" customHeight="1" x14ac:dyDescent="0.2">
      <c r="A123" s="155">
        <f t="shared" si="9"/>
        <v>19</v>
      </c>
      <c r="B123" s="163">
        <v>45819</v>
      </c>
      <c r="C123" s="171" t="s">
        <v>459</v>
      </c>
      <c r="D123" s="166"/>
      <c r="E123" s="171">
        <v>1</v>
      </c>
      <c r="F123" s="157" t="s">
        <v>464</v>
      </c>
      <c r="G123" s="157" t="s">
        <v>284</v>
      </c>
      <c r="H123" s="196" t="s">
        <v>255</v>
      </c>
      <c r="I123" s="155" t="s">
        <v>256</v>
      </c>
      <c r="J123" s="198" t="s">
        <v>39</v>
      </c>
      <c r="K123" s="157" t="s">
        <v>461</v>
      </c>
      <c r="L123" s="200">
        <v>401876</v>
      </c>
      <c r="M123" s="165">
        <v>1500000</v>
      </c>
      <c r="N123" s="185"/>
      <c r="O123" s="160">
        <v>4500000</v>
      </c>
      <c r="P123" s="187"/>
      <c r="Q123" s="187"/>
      <c r="R123" s="188"/>
      <c r="S123" s="160">
        <f t="shared" si="7"/>
        <v>360000</v>
      </c>
      <c r="T123" s="161">
        <f t="shared" si="8"/>
        <v>6360000</v>
      </c>
      <c r="U123" s="152"/>
      <c r="V123" s="162"/>
    </row>
    <row r="124" spans="1:22" s="190" customFormat="1" ht="32.25" customHeight="1" x14ac:dyDescent="0.2">
      <c r="A124" s="155">
        <f t="shared" si="9"/>
        <v>20</v>
      </c>
      <c r="B124" s="163">
        <v>45819</v>
      </c>
      <c r="C124" s="171" t="s">
        <v>459</v>
      </c>
      <c r="D124" s="166"/>
      <c r="E124" s="171">
        <v>1</v>
      </c>
      <c r="F124" s="157" t="s">
        <v>475</v>
      </c>
      <c r="G124" s="157" t="s">
        <v>262</v>
      </c>
      <c r="H124" s="196" t="s">
        <v>255</v>
      </c>
      <c r="I124" s="155" t="s">
        <v>256</v>
      </c>
      <c r="J124" s="198" t="s">
        <v>39</v>
      </c>
      <c r="K124" s="157" t="s">
        <v>461</v>
      </c>
      <c r="L124" s="200">
        <v>402792</v>
      </c>
      <c r="M124" s="165">
        <v>1500000</v>
      </c>
      <c r="N124" s="185"/>
      <c r="O124" s="160">
        <v>4500000</v>
      </c>
      <c r="P124" s="187"/>
      <c r="Q124" s="187"/>
      <c r="R124" s="188"/>
      <c r="S124" s="160">
        <f t="shared" si="7"/>
        <v>360000</v>
      </c>
      <c r="T124" s="161">
        <f t="shared" si="8"/>
        <v>6360000</v>
      </c>
      <c r="U124" s="152"/>
      <c r="V124" s="162"/>
    </row>
    <row r="125" spans="1:22" s="190" customFormat="1" ht="32.25" customHeight="1" x14ac:dyDescent="0.2">
      <c r="A125" s="155">
        <f t="shared" si="9"/>
        <v>21</v>
      </c>
      <c r="B125" s="163">
        <v>45819</v>
      </c>
      <c r="C125" s="171" t="s">
        <v>459</v>
      </c>
      <c r="D125" s="166"/>
      <c r="E125" s="171">
        <v>1</v>
      </c>
      <c r="F125" s="157" t="s">
        <v>469</v>
      </c>
      <c r="G125" s="152" t="s">
        <v>198</v>
      </c>
      <c r="H125" s="196" t="s">
        <v>255</v>
      </c>
      <c r="I125" s="155" t="s">
        <v>256</v>
      </c>
      <c r="J125" s="198" t="s">
        <v>39</v>
      </c>
      <c r="K125" s="157" t="s">
        <v>461</v>
      </c>
      <c r="L125" s="152">
        <v>401872</v>
      </c>
      <c r="M125" s="165">
        <v>1500000</v>
      </c>
      <c r="N125" s="185"/>
      <c r="O125" s="160">
        <v>4500000</v>
      </c>
      <c r="P125" s="187"/>
      <c r="Q125" s="187"/>
      <c r="R125" s="188"/>
      <c r="S125" s="160">
        <f t="shared" si="7"/>
        <v>360000</v>
      </c>
      <c r="T125" s="161">
        <f t="shared" si="8"/>
        <v>6360000</v>
      </c>
      <c r="U125" s="152" t="s">
        <v>176</v>
      </c>
      <c r="V125" s="162"/>
    </row>
    <row r="126" spans="1:22" s="190" customFormat="1" ht="32.25" customHeight="1" x14ac:dyDescent="0.2">
      <c r="A126" s="155">
        <f t="shared" si="9"/>
        <v>22</v>
      </c>
      <c r="B126" s="163">
        <v>45819</v>
      </c>
      <c r="C126" s="171" t="s">
        <v>459</v>
      </c>
      <c r="D126" s="166"/>
      <c r="E126" s="171">
        <v>1</v>
      </c>
      <c r="F126" s="157" t="s">
        <v>473</v>
      </c>
      <c r="G126" s="152" t="s">
        <v>470</v>
      </c>
      <c r="H126" s="196" t="s">
        <v>255</v>
      </c>
      <c r="I126" s="155" t="s">
        <v>256</v>
      </c>
      <c r="J126" s="198" t="s">
        <v>39</v>
      </c>
      <c r="K126" s="157" t="s">
        <v>461</v>
      </c>
      <c r="L126" s="152">
        <v>7449</v>
      </c>
      <c r="M126" s="165">
        <v>1500000</v>
      </c>
      <c r="N126" s="185"/>
      <c r="O126" s="160">
        <v>4500000</v>
      </c>
      <c r="P126" s="187"/>
      <c r="Q126" s="187"/>
      <c r="R126" s="188"/>
      <c r="S126" s="160">
        <f t="shared" si="7"/>
        <v>360000</v>
      </c>
      <c r="T126" s="161">
        <f t="shared" si="8"/>
        <v>6360000</v>
      </c>
      <c r="U126" s="152"/>
      <c r="V126" s="162"/>
    </row>
    <row r="127" spans="1:22" s="190" customFormat="1" ht="32.25" customHeight="1" x14ac:dyDescent="0.2">
      <c r="A127" s="155">
        <f t="shared" si="9"/>
        <v>23</v>
      </c>
      <c r="B127" s="163">
        <v>45819</v>
      </c>
      <c r="C127" s="171" t="s">
        <v>459</v>
      </c>
      <c r="D127" s="166"/>
      <c r="E127" s="171">
        <v>1</v>
      </c>
      <c r="F127" s="157" t="s">
        <v>467</v>
      </c>
      <c r="G127" s="152" t="s">
        <v>472</v>
      </c>
      <c r="H127" s="196" t="s">
        <v>255</v>
      </c>
      <c r="I127" s="155" t="s">
        <v>256</v>
      </c>
      <c r="J127" s="198" t="s">
        <v>39</v>
      </c>
      <c r="K127" s="157" t="s">
        <v>461</v>
      </c>
      <c r="L127" s="200">
        <v>401609</v>
      </c>
      <c r="M127" s="165">
        <v>1500000</v>
      </c>
      <c r="N127" s="185"/>
      <c r="O127" s="160">
        <v>4500000</v>
      </c>
      <c r="P127" s="187"/>
      <c r="Q127" s="187"/>
      <c r="R127" s="188"/>
      <c r="S127" s="160">
        <f t="shared" si="7"/>
        <v>360000</v>
      </c>
      <c r="T127" s="161">
        <f t="shared" si="8"/>
        <v>6360000</v>
      </c>
      <c r="U127" s="152" t="s">
        <v>176</v>
      </c>
      <c r="V127" s="162"/>
    </row>
    <row r="128" spans="1:22" s="190" customFormat="1" ht="32.25" customHeight="1" x14ac:dyDescent="0.2">
      <c r="A128" s="155">
        <f t="shared" si="9"/>
        <v>24</v>
      </c>
      <c r="B128" s="163">
        <v>45819</v>
      </c>
      <c r="C128" s="171" t="s">
        <v>459</v>
      </c>
      <c r="D128" s="166"/>
      <c r="E128" s="171">
        <v>1</v>
      </c>
      <c r="F128" s="157" t="s">
        <v>466</v>
      </c>
      <c r="G128" s="152" t="s">
        <v>474</v>
      </c>
      <c r="H128" s="196" t="s">
        <v>255</v>
      </c>
      <c r="I128" s="155" t="s">
        <v>256</v>
      </c>
      <c r="J128" s="198" t="s">
        <v>39</v>
      </c>
      <c r="K128" s="157" t="s">
        <v>461</v>
      </c>
      <c r="L128" s="200">
        <v>401839</v>
      </c>
      <c r="M128" s="165">
        <v>1500000</v>
      </c>
      <c r="N128" s="185"/>
      <c r="O128" s="160">
        <v>4500000</v>
      </c>
      <c r="P128" s="187"/>
      <c r="Q128" s="187"/>
      <c r="R128" s="188"/>
      <c r="S128" s="160">
        <f t="shared" si="7"/>
        <v>360000</v>
      </c>
      <c r="T128" s="161">
        <f t="shared" si="8"/>
        <v>6360000</v>
      </c>
      <c r="U128" s="152"/>
      <c r="V128" s="162"/>
    </row>
    <row r="129" spans="1:22" s="190" customFormat="1" ht="32.25" customHeight="1" x14ac:dyDescent="0.2">
      <c r="A129" s="155">
        <f t="shared" si="9"/>
        <v>25</v>
      </c>
      <c r="B129" s="163">
        <v>45819</v>
      </c>
      <c r="C129" s="171" t="s">
        <v>459</v>
      </c>
      <c r="D129" s="166"/>
      <c r="E129" s="171">
        <v>1</v>
      </c>
      <c r="F129" s="171" t="s">
        <v>463</v>
      </c>
      <c r="G129" s="152" t="s">
        <v>302</v>
      </c>
      <c r="H129" s="196" t="s">
        <v>255</v>
      </c>
      <c r="I129" s="155" t="s">
        <v>256</v>
      </c>
      <c r="J129" s="198" t="s">
        <v>39</v>
      </c>
      <c r="K129" s="157" t="s">
        <v>461</v>
      </c>
      <c r="L129" s="200">
        <v>401557</v>
      </c>
      <c r="M129" s="165">
        <v>1500000</v>
      </c>
      <c r="N129" s="185"/>
      <c r="O129" s="160">
        <v>4500000</v>
      </c>
      <c r="P129" s="187"/>
      <c r="Q129" s="187"/>
      <c r="R129" s="188"/>
      <c r="S129" s="160">
        <f t="shared" si="7"/>
        <v>360000</v>
      </c>
      <c r="T129" s="161">
        <f t="shared" si="8"/>
        <v>6360000</v>
      </c>
      <c r="U129" s="152" t="s">
        <v>176</v>
      </c>
      <c r="V129" s="162"/>
    </row>
    <row r="130" spans="1:22" s="190" customFormat="1" ht="32.25" customHeight="1" x14ac:dyDescent="0.2">
      <c r="A130" s="155">
        <f t="shared" si="9"/>
        <v>26</v>
      </c>
      <c r="B130" s="163">
        <v>45819</v>
      </c>
      <c r="C130" s="157">
        <v>261581096</v>
      </c>
      <c r="D130" s="176"/>
      <c r="E130" s="183">
        <v>1</v>
      </c>
      <c r="F130" s="157" t="s">
        <v>482</v>
      </c>
      <c r="G130" s="152" t="s">
        <v>308</v>
      </c>
      <c r="H130" s="186" t="s">
        <v>172</v>
      </c>
      <c r="I130" s="156" t="s">
        <v>173</v>
      </c>
      <c r="J130" s="171" t="s">
        <v>433</v>
      </c>
      <c r="K130" s="157" t="s">
        <v>39</v>
      </c>
      <c r="L130" s="201" t="s">
        <v>478</v>
      </c>
      <c r="M130" s="165">
        <v>1450000</v>
      </c>
      <c r="N130" s="185"/>
      <c r="O130" s="160">
        <v>2700000</v>
      </c>
      <c r="P130" s="187"/>
      <c r="Q130" s="187"/>
      <c r="R130" s="188"/>
      <c r="S130" s="160">
        <f t="shared" si="7"/>
        <v>216000</v>
      </c>
      <c r="T130" s="161">
        <f t="shared" si="8"/>
        <v>4366000</v>
      </c>
      <c r="U130" s="152" t="s">
        <v>176</v>
      </c>
      <c r="V130" s="162"/>
    </row>
    <row r="131" spans="1:22" s="190" customFormat="1" ht="32.25" customHeight="1" x14ac:dyDescent="0.2">
      <c r="A131" s="155">
        <f t="shared" si="9"/>
        <v>27</v>
      </c>
      <c r="B131" s="163">
        <v>45819</v>
      </c>
      <c r="C131" s="157">
        <v>261581096</v>
      </c>
      <c r="D131" s="176"/>
      <c r="E131" s="183">
        <v>1</v>
      </c>
      <c r="F131" s="157" t="s">
        <v>479</v>
      </c>
      <c r="G131" s="152" t="s">
        <v>225</v>
      </c>
      <c r="H131" s="186" t="s">
        <v>172</v>
      </c>
      <c r="I131" s="156" t="s">
        <v>173</v>
      </c>
      <c r="J131" s="157" t="s">
        <v>480</v>
      </c>
      <c r="K131" s="157" t="s">
        <v>39</v>
      </c>
      <c r="L131" s="201" t="s">
        <v>481</v>
      </c>
      <c r="M131" s="165">
        <v>1500000</v>
      </c>
      <c r="N131" s="185"/>
      <c r="O131" s="160">
        <v>2700000</v>
      </c>
      <c r="P131" s="187"/>
      <c r="Q131" s="187"/>
      <c r="R131" s="188"/>
      <c r="S131" s="160">
        <f t="shared" si="7"/>
        <v>216000</v>
      </c>
      <c r="T131" s="161">
        <f t="shared" si="8"/>
        <v>4416000</v>
      </c>
      <c r="U131" s="152" t="s">
        <v>176</v>
      </c>
      <c r="V131" s="162"/>
    </row>
    <row r="132" spans="1:22" s="190" customFormat="1" ht="32.25" customHeight="1" x14ac:dyDescent="0.2">
      <c r="A132" s="155">
        <f t="shared" si="9"/>
        <v>28</v>
      </c>
      <c r="B132" s="163">
        <v>45819</v>
      </c>
      <c r="C132" s="157">
        <v>261581096</v>
      </c>
      <c r="D132" s="176"/>
      <c r="E132" s="183">
        <v>1</v>
      </c>
      <c r="F132" s="157" t="s">
        <v>477</v>
      </c>
      <c r="G132" s="152" t="s">
        <v>216</v>
      </c>
      <c r="H132" s="186" t="s">
        <v>172</v>
      </c>
      <c r="I132" s="156" t="s">
        <v>173</v>
      </c>
      <c r="J132" s="171" t="s">
        <v>433</v>
      </c>
      <c r="K132" s="157" t="s">
        <v>39</v>
      </c>
      <c r="L132" s="201" t="s">
        <v>483</v>
      </c>
      <c r="M132" s="165">
        <v>1450000</v>
      </c>
      <c r="N132" s="185"/>
      <c r="O132" s="160">
        <v>2700000</v>
      </c>
      <c r="P132" s="187"/>
      <c r="Q132" s="187"/>
      <c r="R132" s="188"/>
      <c r="S132" s="160">
        <f t="shared" si="7"/>
        <v>216000</v>
      </c>
      <c r="T132" s="161">
        <f t="shared" si="8"/>
        <v>4366000</v>
      </c>
      <c r="U132" s="152" t="s">
        <v>176</v>
      </c>
      <c r="V132" s="162"/>
    </row>
    <row r="133" spans="1:22" s="190" customFormat="1" ht="32.25" customHeight="1" x14ac:dyDescent="0.2">
      <c r="A133" s="155">
        <f t="shared" si="9"/>
        <v>29</v>
      </c>
      <c r="B133" s="168">
        <v>45819</v>
      </c>
      <c r="C133" s="157">
        <v>261581096</v>
      </c>
      <c r="D133" s="177"/>
      <c r="E133" s="202">
        <v>1</v>
      </c>
      <c r="F133" s="203" t="s">
        <v>484</v>
      </c>
      <c r="G133" s="152" t="s">
        <v>341</v>
      </c>
      <c r="H133" s="204" t="s">
        <v>172</v>
      </c>
      <c r="I133" s="193" t="s">
        <v>173</v>
      </c>
      <c r="J133" s="203" t="s">
        <v>433</v>
      </c>
      <c r="K133" s="182" t="s">
        <v>39</v>
      </c>
      <c r="L133" s="172" t="s">
        <v>485</v>
      </c>
      <c r="M133" s="165">
        <v>1450000</v>
      </c>
      <c r="N133" s="185"/>
      <c r="O133" s="160">
        <v>2700000</v>
      </c>
      <c r="P133" s="187"/>
      <c r="Q133" s="187"/>
      <c r="R133" s="188"/>
      <c r="S133" s="160">
        <f t="shared" si="7"/>
        <v>216000</v>
      </c>
      <c r="T133" s="161">
        <f t="shared" si="8"/>
        <v>4366000</v>
      </c>
      <c r="U133" s="152" t="s">
        <v>176</v>
      </c>
      <c r="V133" s="162"/>
    </row>
    <row r="134" spans="1:22" s="190" customFormat="1" ht="32.25" customHeight="1" x14ac:dyDescent="0.2">
      <c r="A134" s="155">
        <f t="shared" si="9"/>
        <v>30</v>
      </c>
      <c r="B134" s="163">
        <v>45849</v>
      </c>
      <c r="C134" s="157" t="s">
        <v>459</v>
      </c>
      <c r="D134" s="166"/>
      <c r="E134" s="171">
        <v>1</v>
      </c>
      <c r="F134" s="157" t="s">
        <v>489</v>
      </c>
      <c r="G134" s="152" t="s">
        <v>228</v>
      </c>
      <c r="H134" s="186" t="s">
        <v>255</v>
      </c>
      <c r="I134" s="155" t="s">
        <v>256</v>
      </c>
      <c r="J134" s="171" t="s">
        <v>39</v>
      </c>
      <c r="K134" s="157" t="s">
        <v>461</v>
      </c>
      <c r="L134" s="172" t="s">
        <v>488</v>
      </c>
      <c r="M134" s="165">
        <v>1500000</v>
      </c>
      <c r="N134" s="185"/>
      <c r="O134" s="160">
        <v>4500000</v>
      </c>
      <c r="P134" s="187"/>
      <c r="Q134" s="187"/>
      <c r="R134" s="188"/>
      <c r="S134" s="160">
        <f t="shared" si="7"/>
        <v>360000</v>
      </c>
      <c r="T134" s="161">
        <f t="shared" si="8"/>
        <v>6360000</v>
      </c>
      <c r="U134" s="152" t="s">
        <v>176</v>
      </c>
      <c r="V134" s="162"/>
    </row>
    <row r="135" spans="1:22" s="190" customFormat="1" ht="32.25" customHeight="1" x14ac:dyDescent="0.2">
      <c r="A135" s="155">
        <f t="shared" si="9"/>
        <v>31</v>
      </c>
      <c r="B135" s="163">
        <v>45849</v>
      </c>
      <c r="C135" s="157" t="s">
        <v>459</v>
      </c>
      <c r="D135" s="166"/>
      <c r="E135" s="171">
        <v>1</v>
      </c>
      <c r="F135" s="157" t="s">
        <v>491</v>
      </c>
      <c r="G135" s="152" t="s">
        <v>219</v>
      </c>
      <c r="H135" s="186" t="s">
        <v>255</v>
      </c>
      <c r="I135" s="155" t="s">
        <v>256</v>
      </c>
      <c r="J135" s="171" t="s">
        <v>39</v>
      </c>
      <c r="K135" s="157" t="s">
        <v>461</v>
      </c>
      <c r="L135" s="200">
        <v>403510</v>
      </c>
      <c r="M135" s="165">
        <v>1500000</v>
      </c>
      <c r="N135" s="185"/>
      <c r="O135" s="160">
        <v>4500000</v>
      </c>
      <c r="P135" s="187"/>
      <c r="Q135" s="187"/>
      <c r="R135" s="188"/>
      <c r="S135" s="160">
        <f t="shared" si="7"/>
        <v>360000</v>
      </c>
      <c r="T135" s="161">
        <f t="shared" si="8"/>
        <v>6360000</v>
      </c>
      <c r="U135" s="152"/>
      <c r="V135" s="162"/>
    </row>
    <row r="136" spans="1:22" s="190" customFormat="1" ht="32.25" customHeight="1" x14ac:dyDescent="0.2">
      <c r="A136" s="155">
        <f t="shared" si="9"/>
        <v>32</v>
      </c>
      <c r="B136" s="163">
        <v>45849</v>
      </c>
      <c r="C136" s="157" t="s">
        <v>459</v>
      </c>
      <c r="D136" s="166"/>
      <c r="E136" s="171">
        <v>1</v>
      </c>
      <c r="F136" s="157" t="s">
        <v>494</v>
      </c>
      <c r="G136" s="152" t="s">
        <v>204</v>
      </c>
      <c r="H136" s="186" t="s">
        <v>255</v>
      </c>
      <c r="I136" s="155" t="s">
        <v>256</v>
      </c>
      <c r="J136" s="171" t="s">
        <v>39</v>
      </c>
      <c r="K136" s="157" t="s">
        <v>461</v>
      </c>
      <c r="L136" s="152">
        <v>12012</v>
      </c>
      <c r="M136" s="165">
        <v>1500000</v>
      </c>
      <c r="N136" s="185"/>
      <c r="O136" s="160">
        <v>4500000</v>
      </c>
      <c r="P136" s="187"/>
      <c r="Q136" s="187"/>
      <c r="R136" s="188"/>
      <c r="S136" s="160">
        <f t="shared" si="7"/>
        <v>360000</v>
      </c>
      <c r="T136" s="161">
        <f t="shared" si="8"/>
        <v>6360000</v>
      </c>
      <c r="U136" s="152" t="s">
        <v>176</v>
      </c>
      <c r="V136" s="162"/>
    </row>
    <row r="137" spans="1:22" s="190" customFormat="1" ht="32.25" customHeight="1" x14ac:dyDescent="0.2">
      <c r="A137" s="155">
        <f t="shared" si="9"/>
        <v>33</v>
      </c>
      <c r="B137" s="163">
        <v>45849</v>
      </c>
      <c r="C137" s="157" t="s">
        <v>459</v>
      </c>
      <c r="D137" s="166"/>
      <c r="E137" s="171">
        <v>1</v>
      </c>
      <c r="F137" s="157" t="s">
        <v>490</v>
      </c>
      <c r="G137" s="152" t="s">
        <v>213</v>
      </c>
      <c r="H137" s="186" t="s">
        <v>255</v>
      </c>
      <c r="I137" s="155" t="s">
        <v>256</v>
      </c>
      <c r="J137" s="171" t="s">
        <v>39</v>
      </c>
      <c r="K137" s="157" t="s">
        <v>461</v>
      </c>
      <c r="L137" s="152">
        <v>12029</v>
      </c>
      <c r="M137" s="165">
        <v>1500000</v>
      </c>
      <c r="N137" s="185"/>
      <c r="O137" s="160">
        <v>4500000</v>
      </c>
      <c r="P137" s="187"/>
      <c r="Q137" s="187"/>
      <c r="R137" s="188"/>
      <c r="S137" s="160">
        <f t="shared" si="7"/>
        <v>360000</v>
      </c>
      <c r="T137" s="161">
        <f t="shared" si="8"/>
        <v>6360000</v>
      </c>
      <c r="U137" s="152"/>
      <c r="V137" s="162"/>
    </row>
    <row r="138" spans="1:22" s="190" customFormat="1" ht="32.25" customHeight="1" x14ac:dyDescent="0.2">
      <c r="A138" s="155">
        <f t="shared" si="9"/>
        <v>34</v>
      </c>
      <c r="B138" s="163">
        <v>45849</v>
      </c>
      <c r="C138" s="157" t="s">
        <v>459</v>
      </c>
      <c r="D138" s="166"/>
      <c r="E138" s="171">
        <v>1</v>
      </c>
      <c r="F138" s="171" t="s">
        <v>492</v>
      </c>
      <c r="G138" s="152" t="s">
        <v>222</v>
      </c>
      <c r="H138" s="186" t="s">
        <v>255</v>
      </c>
      <c r="I138" s="155" t="s">
        <v>256</v>
      </c>
      <c r="J138" s="171" t="s">
        <v>39</v>
      </c>
      <c r="K138" s="157" t="s">
        <v>461</v>
      </c>
      <c r="L138" s="172" t="s">
        <v>493</v>
      </c>
      <c r="M138" s="165">
        <v>1500000</v>
      </c>
      <c r="N138" s="185"/>
      <c r="O138" s="160">
        <v>4500000</v>
      </c>
      <c r="P138" s="187"/>
      <c r="Q138" s="187"/>
      <c r="R138" s="188"/>
      <c r="S138" s="160">
        <f t="shared" si="7"/>
        <v>360000</v>
      </c>
      <c r="T138" s="161">
        <f t="shared" si="8"/>
        <v>6360000</v>
      </c>
      <c r="U138" s="152" t="s">
        <v>176</v>
      </c>
      <c r="V138" s="162"/>
    </row>
    <row r="139" spans="1:22" s="190" customFormat="1" ht="32.25" customHeight="1" x14ac:dyDescent="0.2">
      <c r="A139" s="155">
        <f t="shared" si="9"/>
        <v>35</v>
      </c>
      <c r="B139" s="163">
        <v>45849</v>
      </c>
      <c r="C139" s="157" t="s">
        <v>459</v>
      </c>
      <c r="D139" s="166"/>
      <c r="E139" s="171">
        <v>1</v>
      </c>
      <c r="F139" s="157" t="s">
        <v>487</v>
      </c>
      <c r="G139" s="152" t="s">
        <v>191</v>
      </c>
      <c r="H139" s="186" t="s">
        <v>255</v>
      </c>
      <c r="I139" s="155" t="s">
        <v>256</v>
      </c>
      <c r="J139" s="171" t="s">
        <v>39</v>
      </c>
      <c r="K139" s="157" t="s">
        <v>461</v>
      </c>
      <c r="L139" s="200">
        <v>403454</v>
      </c>
      <c r="M139" s="165">
        <v>1500000</v>
      </c>
      <c r="N139" s="185"/>
      <c r="O139" s="160">
        <v>4500000</v>
      </c>
      <c r="P139" s="187"/>
      <c r="Q139" s="187"/>
      <c r="R139" s="188"/>
      <c r="S139" s="160">
        <f t="shared" si="7"/>
        <v>360000</v>
      </c>
      <c r="T139" s="161">
        <f t="shared" si="8"/>
        <v>6360000</v>
      </c>
      <c r="U139" s="152" t="s">
        <v>176</v>
      </c>
      <c r="V139" s="162"/>
    </row>
    <row r="140" spans="1:22" s="190" customFormat="1" ht="32.25" customHeight="1" x14ac:dyDescent="0.2">
      <c r="A140" s="155">
        <f t="shared" si="9"/>
        <v>36</v>
      </c>
      <c r="B140" s="192">
        <v>45880</v>
      </c>
      <c r="C140" s="157">
        <v>261611944</v>
      </c>
      <c r="D140" s="166"/>
      <c r="E140" s="171">
        <v>1</v>
      </c>
      <c r="F140" s="157" t="s">
        <v>510</v>
      </c>
      <c r="G140" s="152" t="s">
        <v>222</v>
      </c>
      <c r="H140" s="186" t="s">
        <v>172</v>
      </c>
      <c r="I140" s="156" t="s">
        <v>173</v>
      </c>
      <c r="J140" s="157" t="s">
        <v>281</v>
      </c>
      <c r="K140" s="171" t="s">
        <v>39</v>
      </c>
      <c r="L140" s="201" t="s">
        <v>496</v>
      </c>
      <c r="M140" s="165">
        <v>1450000</v>
      </c>
      <c r="N140" s="185"/>
      <c r="O140" s="160">
        <v>2700000</v>
      </c>
      <c r="P140" s="187"/>
      <c r="Q140" s="187"/>
      <c r="R140" s="188"/>
      <c r="S140" s="160">
        <f t="shared" si="7"/>
        <v>216000</v>
      </c>
      <c r="T140" s="161">
        <f t="shared" si="8"/>
        <v>4366000</v>
      </c>
      <c r="U140" s="152" t="s">
        <v>176</v>
      </c>
      <c r="V140" s="162"/>
    </row>
    <row r="141" spans="1:22" s="190" customFormat="1" ht="32.25" customHeight="1" x14ac:dyDescent="0.2">
      <c r="A141" s="155">
        <f t="shared" si="9"/>
        <v>37</v>
      </c>
      <c r="B141" s="192">
        <v>45880</v>
      </c>
      <c r="C141" s="157">
        <v>261611944</v>
      </c>
      <c r="D141" s="166"/>
      <c r="E141" s="171">
        <v>1</v>
      </c>
      <c r="F141" s="171" t="s">
        <v>512</v>
      </c>
      <c r="G141" s="152" t="s">
        <v>219</v>
      </c>
      <c r="H141" s="186" t="s">
        <v>172</v>
      </c>
      <c r="I141" s="156" t="s">
        <v>173</v>
      </c>
      <c r="J141" s="157" t="s">
        <v>281</v>
      </c>
      <c r="K141" s="171" t="s">
        <v>39</v>
      </c>
      <c r="L141" s="189" t="s">
        <v>498</v>
      </c>
      <c r="M141" s="165">
        <v>1450000</v>
      </c>
      <c r="N141" s="185"/>
      <c r="O141" s="160">
        <v>2700000</v>
      </c>
      <c r="P141" s="187"/>
      <c r="Q141" s="187"/>
      <c r="R141" s="188"/>
      <c r="S141" s="160">
        <f t="shared" si="7"/>
        <v>216000</v>
      </c>
      <c r="T141" s="161">
        <f t="shared" si="8"/>
        <v>4366000</v>
      </c>
      <c r="U141" s="152"/>
      <c r="V141" s="162"/>
    </row>
    <row r="142" spans="1:22" s="190" customFormat="1" ht="32.25" customHeight="1" x14ac:dyDescent="0.2">
      <c r="A142" s="155">
        <f t="shared" si="9"/>
        <v>38</v>
      </c>
      <c r="B142" s="192">
        <v>45880</v>
      </c>
      <c r="C142" s="157">
        <v>261611944</v>
      </c>
      <c r="D142" s="166"/>
      <c r="E142" s="171">
        <v>1</v>
      </c>
      <c r="F142" s="157" t="s">
        <v>504</v>
      </c>
      <c r="G142" s="152" t="s">
        <v>198</v>
      </c>
      <c r="H142" s="186" t="s">
        <v>172</v>
      </c>
      <c r="I142" s="156" t="s">
        <v>173</v>
      </c>
      <c r="J142" s="157" t="s">
        <v>281</v>
      </c>
      <c r="K142" s="171" t="s">
        <v>39</v>
      </c>
      <c r="L142" s="201" t="s">
        <v>500</v>
      </c>
      <c r="M142" s="165">
        <v>1500000</v>
      </c>
      <c r="N142" s="185"/>
      <c r="O142" s="160">
        <v>2700000</v>
      </c>
      <c r="P142" s="187"/>
      <c r="Q142" s="187"/>
      <c r="R142" s="188"/>
      <c r="S142" s="160">
        <f t="shared" si="7"/>
        <v>216000</v>
      </c>
      <c r="T142" s="161">
        <f t="shared" si="8"/>
        <v>4416000</v>
      </c>
      <c r="U142" s="152" t="s">
        <v>176</v>
      </c>
      <c r="V142" s="162"/>
    </row>
    <row r="143" spans="1:22" s="190" customFormat="1" ht="32.25" customHeight="1" x14ac:dyDescent="0.2">
      <c r="A143" s="155">
        <f t="shared" si="9"/>
        <v>39</v>
      </c>
      <c r="B143" s="192">
        <v>45880</v>
      </c>
      <c r="C143" s="157">
        <v>261611944</v>
      </c>
      <c r="D143" s="166"/>
      <c r="E143" s="171">
        <v>1</v>
      </c>
      <c r="F143" s="157" t="s">
        <v>495</v>
      </c>
      <c r="G143" s="152" t="s">
        <v>225</v>
      </c>
      <c r="H143" s="186" t="s">
        <v>172</v>
      </c>
      <c r="I143" s="156" t="s">
        <v>173</v>
      </c>
      <c r="J143" s="157" t="s">
        <v>281</v>
      </c>
      <c r="K143" s="171" t="s">
        <v>39</v>
      </c>
      <c r="L143" s="191">
        <v>125033</v>
      </c>
      <c r="M143" s="165">
        <v>1450000</v>
      </c>
      <c r="N143" s="185"/>
      <c r="O143" s="160">
        <v>2700000</v>
      </c>
      <c r="P143" s="187"/>
      <c r="Q143" s="187"/>
      <c r="R143" s="188"/>
      <c r="S143" s="160">
        <f t="shared" si="7"/>
        <v>216000</v>
      </c>
      <c r="T143" s="161">
        <f t="shared" si="8"/>
        <v>4366000</v>
      </c>
      <c r="U143" s="152"/>
      <c r="V143" s="162"/>
    </row>
    <row r="144" spans="1:22" s="190" customFormat="1" ht="32.25" customHeight="1" x14ac:dyDescent="0.2">
      <c r="A144" s="155">
        <f t="shared" si="9"/>
        <v>40</v>
      </c>
      <c r="B144" s="192">
        <v>45880</v>
      </c>
      <c r="C144" s="157">
        <v>261611944</v>
      </c>
      <c r="D144" s="166"/>
      <c r="E144" s="171">
        <v>1</v>
      </c>
      <c r="F144" s="157" t="s">
        <v>497</v>
      </c>
      <c r="G144" s="152" t="s">
        <v>213</v>
      </c>
      <c r="H144" s="186" t="s">
        <v>172</v>
      </c>
      <c r="I144" s="156" t="s">
        <v>173</v>
      </c>
      <c r="J144" s="157" t="s">
        <v>281</v>
      </c>
      <c r="K144" s="171" t="s">
        <v>39</v>
      </c>
      <c r="L144" s="201" t="s">
        <v>503</v>
      </c>
      <c r="M144" s="165">
        <v>1450000</v>
      </c>
      <c r="N144" s="185"/>
      <c r="O144" s="160">
        <v>2700000</v>
      </c>
      <c r="P144" s="187"/>
      <c r="Q144" s="187"/>
      <c r="R144" s="188"/>
      <c r="S144" s="160">
        <f t="shared" si="7"/>
        <v>216000</v>
      </c>
      <c r="T144" s="161">
        <f t="shared" si="8"/>
        <v>4366000</v>
      </c>
      <c r="U144" s="152" t="s">
        <v>176</v>
      </c>
      <c r="V144" s="162"/>
    </row>
    <row r="145" spans="1:22" s="190" customFormat="1" ht="32.25" customHeight="1" x14ac:dyDescent="0.2">
      <c r="A145" s="155">
        <f t="shared" si="9"/>
        <v>41</v>
      </c>
      <c r="B145" s="192">
        <v>45880</v>
      </c>
      <c r="C145" s="157">
        <v>261611944</v>
      </c>
      <c r="D145" s="166"/>
      <c r="E145" s="171">
        <v>1</v>
      </c>
      <c r="F145" s="171" t="s">
        <v>1134</v>
      </c>
      <c r="G145" s="152" t="s">
        <v>204</v>
      </c>
      <c r="H145" s="186" t="s">
        <v>172</v>
      </c>
      <c r="I145" s="156" t="s">
        <v>173</v>
      </c>
      <c r="J145" s="157" t="s">
        <v>281</v>
      </c>
      <c r="K145" s="171" t="s">
        <v>39</v>
      </c>
      <c r="L145" s="201" t="s">
        <v>505</v>
      </c>
      <c r="M145" s="165">
        <v>1450000</v>
      </c>
      <c r="N145" s="185"/>
      <c r="O145" s="160">
        <v>2700000</v>
      </c>
      <c r="P145" s="187"/>
      <c r="Q145" s="187"/>
      <c r="R145" s="188"/>
      <c r="S145" s="160">
        <f t="shared" si="7"/>
        <v>216000</v>
      </c>
      <c r="T145" s="161">
        <f t="shared" si="8"/>
        <v>4366000</v>
      </c>
      <c r="U145" s="152" t="s">
        <v>176</v>
      </c>
      <c r="V145" s="162"/>
    </row>
    <row r="146" spans="1:22" s="190" customFormat="1" ht="32.25" customHeight="1" x14ac:dyDescent="0.2">
      <c r="A146" s="155">
        <f t="shared" si="9"/>
        <v>42</v>
      </c>
      <c r="B146" s="192">
        <v>45880</v>
      </c>
      <c r="C146" s="157">
        <v>261611944</v>
      </c>
      <c r="D146" s="166"/>
      <c r="E146" s="171">
        <v>1</v>
      </c>
      <c r="F146" s="157" t="s">
        <v>508</v>
      </c>
      <c r="G146" s="152" t="s">
        <v>216</v>
      </c>
      <c r="H146" s="186" t="s">
        <v>172</v>
      </c>
      <c r="I146" s="156" t="s">
        <v>173</v>
      </c>
      <c r="J146" s="157" t="s">
        <v>281</v>
      </c>
      <c r="K146" s="171" t="s">
        <v>39</v>
      </c>
      <c r="L146" s="172" t="s">
        <v>507</v>
      </c>
      <c r="M146" s="165">
        <v>1450000</v>
      </c>
      <c r="N146" s="185"/>
      <c r="O146" s="160">
        <v>2700000</v>
      </c>
      <c r="P146" s="187"/>
      <c r="Q146" s="187"/>
      <c r="R146" s="188"/>
      <c r="S146" s="160">
        <f t="shared" ref="S146:S209" si="10">O146*0.08</f>
        <v>216000</v>
      </c>
      <c r="T146" s="161">
        <f t="shared" si="8"/>
        <v>4366000</v>
      </c>
      <c r="U146" s="152" t="s">
        <v>176</v>
      </c>
      <c r="V146" s="162"/>
    </row>
    <row r="147" spans="1:22" s="190" customFormat="1" ht="32.25" customHeight="1" x14ac:dyDescent="0.2">
      <c r="A147" s="155">
        <f t="shared" si="9"/>
        <v>43</v>
      </c>
      <c r="B147" s="192">
        <v>45880</v>
      </c>
      <c r="C147" s="157" t="s">
        <v>514</v>
      </c>
      <c r="D147" s="166"/>
      <c r="E147" s="171">
        <v>1</v>
      </c>
      <c r="F147" s="157" t="s">
        <v>518</v>
      </c>
      <c r="G147" s="152" t="s">
        <v>194</v>
      </c>
      <c r="H147" s="186" t="s">
        <v>172</v>
      </c>
      <c r="I147" s="156" t="s">
        <v>173</v>
      </c>
      <c r="J147" s="157" t="s">
        <v>281</v>
      </c>
      <c r="K147" s="171" t="s">
        <v>39</v>
      </c>
      <c r="L147" s="172" t="s">
        <v>509</v>
      </c>
      <c r="M147" s="165">
        <v>1500000</v>
      </c>
      <c r="N147" s="185"/>
      <c r="O147" s="160">
        <v>2700000</v>
      </c>
      <c r="P147" s="187"/>
      <c r="Q147" s="187"/>
      <c r="R147" s="188"/>
      <c r="S147" s="160">
        <f t="shared" si="10"/>
        <v>216000</v>
      </c>
      <c r="T147" s="161">
        <f t="shared" si="8"/>
        <v>4416000</v>
      </c>
      <c r="U147" s="152" t="s">
        <v>176</v>
      </c>
      <c r="V147" s="162"/>
    </row>
    <row r="148" spans="1:22" s="190" customFormat="1" ht="32.25" customHeight="1" x14ac:dyDescent="0.2">
      <c r="A148" s="155">
        <f t="shared" si="9"/>
        <v>44</v>
      </c>
      <c r="B148" s="192">
        <v>45880</v>
      </c>
      <c r="C148" s="157" t="s">
        <v>514</v>
      </c>
      <c r="D148" s="166"/>
      <c r="E148" s="171">
        <v>1</v>
      </c>
      <c r="F148" s="157" t="s">
        <v>516</v>
      </c>
      <c r="G148" s="152" t="s">
        <v>222</v>
      </c>
      <c r="H148" s="186" t="s">
        <v>172</v>
      </c>
      <c r="I148" s="156" t="s">
        <v>173</v>
      </c>
      <c r="J148" s="157" t="s">
        <v>281</v>
      </c>
      <c r="K148" s="171" t="s">
        <v>39</v>
      </c>
      <c r="L148" s="167" t="s">
        <v>511</v>
      </c>
      <c r="M148" s="165">
        <f>1500000+453600</f>
        <v>1953600</v>
      </c>
      <c r="N148" s="185"/>
      <c r="O148" s="160">
        <v>2700000</v>
      </c>
      <c r="P148" s="187"/>
      <c r="Q148" s="187"/>
      <c r="R148" s="188"/>
      <c r="S148" s="160">
        <f t="shared" si="10"/>
        <v>216000</v>
      </c>
      <c r="T148" s="161">
        <f t="shared" ref="T148:T211" si="11">S148+P148+O148+N148+M148</f>
        <v>4869600</v>
      </c>
      <c r="U148" s="152" t="s">
        <v>176</v>
      </c>
      <c r="V148" s="162"/>
    </row>
    <row r="149" spans="1:22" s="190" customFormat="1" ht="32.25" customHeight="1" x14ac:dyDescent="0.2">
      <c r="A149" s="155">
        <f t="shared" si="9"/>
        <v>45</v>
      </c>
      <c r="B149" s="192">
        <v>45880</v>
      </c>
      <c r="C149" s="157" t="s">
        <v>514</v>
      </c>
      <c r="D149" s="166"/>
      <c r="E149" s="171">
        <v>1</v>
      </c>
      <c r="F149" s="157" t="s">
        <v>520</v>
      </c>
      <c r="G149" s="152" t="s">
        <v>204</v>
      </c>
      <c r="H149" s="186" t="s">
        <v>172</v>
      </c>
      <c r="I149" s="156" t="s">
        <v>173</v>
      </c>
      <c r="J149" s="157" t="s">
        <v>281</v>
      </c>
      <c r="K149" s="171" t="s">
        <v>39</v>
      </c>
      <c r="L149" s="167" t="s">
        <v>513</v>
      </c>
      <c r="M149" s="165">
        <f>1500000+453000</f>
        <v>1953000</v>
      </c>
      <c r="N149" s="185"/>
      <c r="O149" s="160">
        <v>2700000</v>
      </c>
      <c r="P149" s="187"/>
      <c r="Q149" s="187"/>
      <c r="R149" s="188"/>
      <c r="S149" s="160">
        <f t="shared" si="10"/>
        <v>216000</v>
      </c>
      <c r="T149" s="161">
        <f t="shared" si="11"/>
        <v>4869000</v>
      </c>
      <c r="U149" s="152" t="s">
        <v>176</v>
      </c>
      <c r="V149" s="162"/>
    </row>
    <row r="150" spans="1:22" s="190" customFormat="1" ht="32.25" customHeight="1" x14ac:dyDescent="0.2">
      <c r="A150" s="155">
        <f t="shared" si="9"/>
        <v>46</v>
      </c>
      <c r="B150" s="192">
        <v>45880</v>
      </c>
      <c r="C150" s="157" t="s">
        <v>514</v>
      </c>
      <c r="D150" s="166"/>
      <c r="E150" s="171">
        <v>1</v>
      </c>
      <c r="F150" s="157" t="s">
        <v>519</v>
      </c>
      <c r="G150" s="152" t="s">
        <v>219</v>
      </c>
      <c r="H150" s="186" t="s">
        <v>255</v>
      </c>
      <c r="I150" s="155" t="s">
        <v>256</v>
      </c>
      <c r="J150" s="157" t="s">
        <v>39</v>
      </c>
      <c r="K150" s="157" t="s">
        <v>461</v>
      </c>
      <c r="L150" s="164">
        <v>12094</v>
      </c>
      <c r="M150" s="165">
        <v>1500000</v>
      </c>
      <c r="N150" s="185"/>
      <c r="O150" s="160">
        <v>4500000</v>
      </c>
      <c r="P150" s="187"/>
      <c r="Q150" s="187"/>
      <c r="R150" s="188"/>
      <c r="S150" s="160">
        <f t="shared" si="10"/>
        <v>360000</v>
      </c>
      <c r="T150" s="161">
        <f t="shared" si="11"/>
        <v>6360000</v>
      </c>
      <c r="U150" s="152"/>
      <c r="V150" s="162"/>
    </row>
    <row r="151" spans="1:22" s="190" customFormat="1" ht="32.25" customHeight="1" x14ac:dyDescent="0.2">
      <c r="A151" s="155">
        <f t="shared" si="9"/>
        <v>47</v>
      </c>
      <c r="B151" s="192">
        <v>45880</v>
      </c>
      <c r="C151" s="157" t="s">
        <v>514</v>
      </c>
      <c r="D151" s="166"/>
      <c r="E151" s="171">
        <v>1</v>
      </c>
      <c r="F151" s="157" t="s">
        <v>515</v>
      </c>
      <c r="G151" s="152" t="s">
        <v>225</v>
      </c>
      <c r="H151" s="186" t="s">
        <v>255</v>
      </c>
      <c r="I151" s="155" t="s">
        <v>256</v>
      </c>
      <c r="J151" s="157" t="s">
        <v>39</v>
      </c>
      <c r="K151" s="157" t="s">
        <v>461</v>
      </c>
      <c r="L151" s="167" t="s">
        <v>517</v>
      </c>
      <c r="M151" s="165">
        <v>1500000</v>
      </c>
      <c r="N151" s="185"/>
      <c r="O151" s="160">
        <v>4500000</v>
      </c>
      <c r="P151" s="187"/>
      <c r="Q151" s="187"/>
      <c r="R151" s="188"/>
      <c r="S151" s="160">
        <f t="shared" si="10"/>
        <v>360000</v>
      </c>
      <c r="T151" s="161">
        <f t="shared" si="11"/>
        <v>6360000</v>
      </c>
      <c r="U151" s="152" t="s">
        <v>176</v>
      </c>
      <c r="V151" s="162"/>
    </row>
    <row r="152" spans="1:22" s="190" customFormat="1" ht="32.25" customHeight="1" x14ac:dyDescent="0.2">
      <c r="A152" s="155">
        <f t="shared" si="9"/>
        <v>48</v>
      </c>
      <c r="B152" s="192">
        <v>45911</v>
      </c>
      <c r="C152" s="157" t="s">
        <v>535</v>
      </c>
      <c r="D152" s="166"/>
      <c r="E152" s="171">
        <v>1</v>
      </c>
      <c r="F152" s="157" t="s">
        <v>538</v>
      </c>
      <c r="G152" s="152" t="s">
        <v>368</v>
      </c>
      <c r="H152" s="186" t="s">
        <v>255</v>
      </c>
      <c r="I152" s="155" t="s">
        <v>256</v>
      </c>
      <c r="J152" s="157" t="s">
        <v>39</v>
      </c>
      <c r="K152" s="157" t="s">
        <v>461</v>
      </c>
      <c r="L152" s="164">
        <v>7548</v>
      </c>
      <c r="M152" s="165">
        <v>1500000</v>
      </c>
      <c r="N152" s="185"/>
      <c r="O152" s="160">
        <v>4500000</v>
      </c>
      <c r="P152" s="187"/>
      <c r="Q152" s="187"/>
      <c r="R152" s="188"/>
      <c r="S152" s="160">
        <f t="shared" si="10"/>
        <v>360000</v>
      </c>
      <c r="T152" s="161">
        <f t="shared" si="11"/>
        <v>6360000</v>
      </c>
      <c r="U152" s="152"/>
      <c r="V152" s="162"/>
    </row>
    <row r="153" spans="1:22" s="190" customFormat="1" ht="32.25" customHeight="1" x14ac:dyDescent="0.2">
      <c r="A153" s="155">
        <f t="shared" si="9"/>
        <v>49</v>
      </c>
      <c r="B153" s="192">
        <v>45911</v>
      </c>
      <c r="C153" s="157" t="s">
        <v>535</v>
      </c>
      <c r="D153" s="166"/>
      <c r="E153" s="171">
        <v>1</v>
      </c>
      <c r="F153" s="157" t="s">
        <v>536</v>
      </c>
      <c r="G153" s="152" t="s">
        <v>210</v>
      </c>
      <c r="H153" s="186" t="s">
        <v>255</v>
      </c>
      <c r="I153" s="155" t="s">
        <v>256</v>
      </c>
      <c r="J153" s="157" t="s">
        <v>39</v>
      </c>
      <c r="K153" s="157" t="s">
        <v>461</v>
      </c>
      <c r="L153" s="164">
        <v>405060</v>
      </c>
      <c r="M153" s="165">
        <v>1500000</v>
      </c>
      <c r="N153" s="185"/>
      <c r="O153" s="160">
        <v>4500000</v>
      </c>
      <c r="P153" s="187"/>
      <c r="Q153" s="187"/>
      <c r="R153" s="188"/>
      <c r="S153" s="160">
        <f t="shared" si="10"/>
        <v>360000</v>
      </c>
      <c r="T153" s="161">
        <f t="shared" si="11"/>
        <v>6360000</v>
      </c>
      <c r="U153" s="152" t="s">
        <v>176</v>
      </c>
      <c r="V153" s="162"/>
    </row>
    <row r="154" spans="1:22" s="190" customFormat="1" ht="32.25" customHeight="1" x14ac:dyDescent="0.2">
      <c r="A154" s="155">
        <f t="shared" si="9"/>
        <v>50</v>
      </c>
      <c r="B154" s="192">
        <v>45911</v>
      </c>
      <c r="C154" s="157">
        <v>261611944</v>
      </c>
      <c r="D154" s="166"/>
      <c r="E154" s="171">
        <v>1</v>
      </c>
      <c r="F154" s="157" t="s">
        <v>1135</v>
      </c>
      <c r="G154" s="152" t="s">
        <v>216</v>
      </c>
      <c r="H154" s="186" t="s">
        <v>255</v>
      </c>
      <c r="I154" s="155" t="s">
        <v>256</v>
      </c>
      <c r="J154" s="157" t="s">
        <v>39</v>
      </c>
      <c r="K154" s="157" t="s">
        <v>461</v>
      </c>
      <c r="L154" s="164">
        <v>405181</v>
      </c>
      <c r="M154" s="165">
        <v>1500000</v>
      </c>
      <c r="N154" s="185"/>
      <c r="O154" s="160">
        <v>4500000</v>
      </c>
      <c r="P154" s="187"/>
      <c r="Q154" s="187"/>
      <c r="R154" s="188"/>
      <c r="S154" s="160">
        <f t="shared" si="10"/>
        <v>360000</v>
      </c>
      <c r="T154" s="161">
        <f t="shared" si="11"/>
        <v>6360000</v>
      </c>
      <c r="U154" s="152" t="s">
        <v>176</v>
      </c>
      <c r="V154" s="162"/>
    </row>
    <row r="155" spans="1:22" s="190" customFormat="1" ht="32.25" customHeight="1" x14ac:dyDescent="0.2">
      <c r="A155" s="155">
        <f t="shared" si="9"/>
        <v>51</v>
      </c>
      <c r="B155" s="192">
        <v>45911</v>
      </c>
      <c r="C155" s="157">
        <v>261611944</v>
      </c>
      <c r="D155" s="166"/>
      <c r="E155" s="171">
        <v>1</v>
      </c>
      <c r="F155" s="157" t="s">
        <v>1136</v>
      </c>
      <c r="G155" s="152" t="s">
        <v>368</v>
      </c>
      <c r="H155" s="186" t="s">
        <v>172</v>
      </c>
      <c r="I155" s="156" t="s">
        <v>173</v>
      </c>
      <c r="J155" s="157" t="s">
        <v>281</v>
      </c>
      <c r="K155" s="171" t="s">
        <v>39</v>
      </c>
      <c r="L155" s="172" t="s">
        <v>522</v>
      </c>
      <c r="M155" s="165">
        <v>1500000</v>
      </c>
      <c r="N155" s="185"/>
      <c r="O155" s="160">
        <v>2700000</v>
      </c>
      <c r="P155" s="187"/>
      <c r="Q155" s="187"/>
      <c r="R155" s="188"/>
      <c r="S155" s="160">
        <f t="shared" si="10"/>
        <v>216000</v>
      </c>
      <c r="T155" s="161">
        <f t="shared" si="11"/>
        <v>4416000</v>
      </c>
      <c r="U155" s="152"/>
      <c r="V155" s="162"/>
    </row>
    <row r="156" spans="1:22" s="190" customFormat="1" ht="32.25" customHeight="1" x14ac:dyDescent="0.2">
      <c r="A156" s="155">
        <f t="shared" si="9"/>
        <v>52</v>
      </c>
      <c r="B156" s="192">
        <v>45911</v>
      </c>
      <c r="C156" s="157">
        <v>261611944</v>
      </c>
      <c r="D156" s="166"/>
      <c r="E156" s="171">
        <v>1</v>
      </c>
      <c r="F156" s="157" t="s">
        <v>501</v>
      </c>
      <c r="G156" s="152" t="s">
        <v>204</v>
      </c>
      <c r="H156" s="186" t="s">
        <v>172</v>
      </c>
      <c r="I156" s="156" t="s">
        <v>173</v>
      </c>
      <c r="J156" s="157" t="s">
        <v>281</v>
      </c>
      <c r="K156" s="171" t="s">
        <v>39</v>
      </c>
      <c r="L156" s="172" t="s">
        <v>524</v>
      </c>
      <c r="M156" s="165">
        <v>1450000</v>
      </c>
      <c r="N156" s="185"/>
      <c r="O156" s="160">
        <v>2700000</v>
      </c>
      <c r="P156" s="187"/>
      <c r="Q156" s="187"/>
      <c r="R156" s="188"/>
      <c r="S156" s="160">
        <f t="shared" si="10"/>
        <v>216000</v>
      </c>
      <c r="T156" s="161">
        <f t="shared" si="11"/>
        <v>4366000</v>
      </c>
      <c r="U156" s="152" t="s">
        <v>176</v>
      </c>
      <c r="V156" s="162"/>
    </row>
    <row r="157" spans="1:22" s="190" customFormat="1" ht="32.25" customHeight="1" x14ac:dyDescent="0.2">
      <c r="A157" s="155">
        <f t="shared" si="9"/>
        <v>53</v>
      </c>
      <c r="B157" s="192">
        <v>45911</v>
      </c>
      <c r="C157" s="182">
        <v>261614090</v>
      </c>
      <c r="D157" s="170"/>
      <c r="E157" s="203">
        <v>1</v>
      </c>
      <c r="F157" s="182" t="s">
        <v>525</v>
      </c>
      <c r="G157" s="152" t="s">
        <v>207</v>
      </c>
      <c r="H157" s="204" t="s">
        <v>172</v>
      </c>
      <c r="I157" s="193" t="s">
        <v>173</v>
      </c>
      <c r="J157" s="182" t="s">
        <v>281</v>
      </c>
      <c r="K157" s="203" t="s">
        <v>39</v>
      </c>
      <c r="L157" s="172" t="s">
        <v>526</v>
      </c>
      <c r="M157" s="165">
        <v>1500000</v>
      </c>
      <c r="N157" s="185"/>
      <c r="O157" s="160">
        <v>2700000</v>
      </c>
      <c r="P157" s="187"/>
      <c r="Q157" s="187"/>
      <c r="R157" s="188"/>
      <c r="S157" s="160">
        <f t="shared" si="10"/>
        <v>216000</v>
      </c>
      <c r="T157" s="161">
        <f t="shared" si="11"/>
        <v>4416000</v>
      </c>
      <c r="U157" s="152" t="s">
        <v>176</v>
      </c>
      <c r="V157" s="162"/>
    </row>
    <row r="158" spans="1:22" s="190" customFormat="1" ht="32.25" customHeight="1" x14ac:dyDescent="0.2">
      <c r="A158" s="155">
        <f t="shared" si="9"/>
        <v>54</v>
      </c>
      <c r="B158" s="192">
        <v>45911</v>
      </c>
      <c r="C158" s="157">
        <v>261614090</v>
      </c>
      <c r="D158" s="166"/>
      <c r="E158" s="171">
        <v>1</v>
      </c>
      <c r="F158" s="171" t="s">
        <v>523</v>
      </c>
      <c r="G158" s="152" t="s">
        <v>305</v>
      </c>
      <c r="H158" s="186" t="s">
        <v>180</v>
      </c>
      <c r="I158" s="156" t="s">
        <v>181</v>
      </c>
      <c r="J158" s="157" t="s">
        <v>39</v>
      </c>
      <c r="K158" s="157" t="s">
        <v>233</v>
      </c>
      <c r="L158" s="172" t="s">
        <v>529</v>
      </c>
      <c r="M158" s="165">
        <v>1500000</v>
      </c>
      <c r="N158" s="185"/>
      <c r="O158" s="160">
        <v>4500000</v>
      </c>
      <c r="P158" s="187"/>
      <c r="Q158" s="187"/>
      <c r="R158" s="188"/>
      <c r="S158" s="160">
        <f t="shared" si="10"/>
        <v>360000</v>
      </c>
      <c r="T158" s="161">
        <f t="shared" si="11"/>
        <v>6360000</v>
      </c>
      <c r="U158" s="152"/>
      <c r="V158" s="162"/>
    </row>
    <row r="159" spans="1:22" s="190" customFormat="1" ht="32.25" customHeight="1" x14ac:dyDescent="0.2">
      <c r="A159" s="155">
        <f t="shared" si="9"/>
        <v>55</v>
      </c>
      <c r="B159" s="192">
        <v>45911</v>
      </c>
      <c r="C159" s="157">
        <v>261614090</v>
      </c>
      <c r="D159" s="166"/>
      <c r="E159" s="171">
        <v>1</v>
      </c>
      <c r="F159" s="157" t="s">
        <v>521</v>
      </c>
      <c r="G159" s="152" t="s">
        <v>219</v>
      </c>
      <c r="H159" s="186" t="s">
        <v>180</v>
      </c>
      <c r="I159" s="156" t="s">
        <v>181</v>
      </c>
      <c r="J159" s="157" t="s">
        <v>39</v>
      </c>
      <c r="K159" s="157" t="s">
        <v>233</v>
      </c>
      <c r="L159" s="173">
        <v>405709</v>
      </c>
      <c r="M159" s="165">
        <v>1500000</v>
      </c>
      <c r="N159" s="185"/>
      <c r="O159" s="160">
        <v>4500000</v>
      </c>
      <c r="P159" s="187"/>
      <c r="Q159" s="187"/>
      <c r="R159" s="188"/>
      <c r="S159" s="160">
        <f t="shared" si="10"/>
        <v>360000</v>
      </c>
      <c r="T159" s="161">
        <f t="shared" si="11"/>
        <v>6360000</v>
      </c>
      <c r="U159" s="152"/>
      <c r="V159" s="162"/>
    </row>
    <row r="160" spans="1:22" s="190" customFormat="1" ht="32.25" customHeight="1" x14ac:dyDescent="0.2">
      <c r="A160" s="155">
        <f t="shared" si="9"/>
        <v>56</v>
      </c>
      <c r="B160" s="192">
        <v>45911</v>
      </c>
      <c r="C160" s="157" t="s">
        <v>554</v>
      </c>
      <c r="D160" s="166"/>
      <c r="E160" s="171">
        <v>1</v>
      </c>
      <c r="F160" s="157" t="s">
        <v>562</v>
      </c>
      <c r="G160" s="152" t="s">
        <v>222</v>
      </c>
      <c r="H160" s="186" t="s">
        <v>180</v>
      </c>
      <c r="I160" s="156" t="s">
        <v>181</v>
      </c>
      <c r="J160" s="157" t="s">
        <v>39</v>
      </c>
      <c r="K160" s="157" t="s">
        <v>233</v>
      </c>
      <c r="L160" s="172" t="s">
        <v>532</v>
      </c>
      <c r="M160" s="165">
        <v>1500000</v>
      </c>
      <c r="N160" s="185"/>
      <c r="O160" s="160">
        <v>4500000</v>
      </c>
      <c r="P160" s="187"/>
      <c r="Q160" s="187"/>
      <c r="R160" s="188"/>
      <c r="S160" s="160">
        <f t="shared" si="10"/>
        <v>360000</v>
      </c>
      <c r="T160" s="161">
        <f t="shared" si="11"/>
        <v>6360000</v>
      </c>
      <c r="U160" s="152"/>
      <c r="V160" s="162"/>
    </row>
    <row r="161" spans="1:22" s="190" customFormat="1" ht="32.25" customHeight="1" x14ac:dyDescent="0.2">
      <c r="A161" s="155">
        <f t="shared" si="9"/>
        <v>57</v>
      </c>
      <c r="B161" s="192">
        <v>45911</v>
      </c>
      <c r="C161" s="157" t="s">
        <v>554</v>
      </c>
      <c r="D161" s="166"/>
      <c r="E161" s="171">
        <v>1</v>
      </c>
      <c r="F161" s="157" t="s">
        <v>559</v>
      </c>
      <c r="G161" s="152" t="s">
        <v>228</v>
      </c>
      <c r="H161" s="186" t="s">
        <v>180</v>
      </c>
      <c r="I161" s="156" t="s">
        <v>181</v>
      </c>
      <c r="J161" s="157" t="s">
        <v>39</v>
      </c>
      <c r="K161" s="157" t="s">
        <v>233</v>
      </c>
      <c r="L161" s="201" t="s">
        <v>534</v>
      </c>
      <c r="M161" s="165">
        <v>1500000</v>
      </c>
      <c r="N161" s="185"/>
      <c r="O161" s="160">
        <v>4500000</v>
      </c>
      <c r="P161" s="187"/>
      <c r="Q161" s="187"/>
      <c r="R161" s="188"/>
      <c r="S161" s="160">
        <f t="shared" si="10"/>
        <v>360000</v>
      </c>
      <c r="T161" s="161">
        <f t="shared" si="11"/>
        <v>6360000</v>
      </c>
      <c r="U161" s="152"/>
      <c r="V161" s="162"/>
    </row>
    <row r="162" spans="1:22" s="190" customFormat="1" ht="32.25" customHeight="1" x14ac:dyDescent="0.2">
      <c r="A162" s="155">
        <f t="shared" si="9"/>
        <v>58</v>
      </c>
      <c r="B162" s="192">
        <v>45911</v>
      </c>
      <c r="C162" s="157" t="s">
        <v>554</v>
      </c>
      <c r="D162" s="166"/>
      <c r="E162" s="171">
        <v>1</v>
      </c>
      <c r="F162" s="157" t="s">
        <v>555</v>
      </c>
      <c r="G162" s="152" t="s">
        <v>210</v>
      </c>
      <c r="H162" s="186" t="s">
        <v>172</v>
      </c>
      <c r="I162" s="156" t="s">
        <v>173</v>
      </c>
      <c r="J162" s="157" t="s">
        <v>537</v>
      </c>
      <c r="K162" s="198" t="s">
        <v>39</v>
      </c>
      <c r="L162" s="200"/>
      <c r="M162" s="165">
        <v>0</v>
      </c>
      <c r="N162" s="185"/>
      <c r="O162" s="160">
        <v>2700000</v>
      </c>
      <c r="P162" s="187"/>
      <c r="Q162" s="187"/>
      <c r="R162" s="188"/>
      <c r="S162" s="160">
        <f t="shared" si="10"/>
        <v>216000</v>
      </c>
      <c r="T162" s="161">
        <f t="shared" si="11"/>
        <v>2916000</v>
      </c>
      <c r="U162" s="152" t="s">
        <v>176</v>
      </c>
      <c r="V162" s="162"/>
    </row>
    <row r="163" spans="1:22" s="190" customFormat="1" ht="32.25" customHeight="1" x14ac:dyDescent="0.2">
      <c r="A163" s="155">
        <f t="shared" si="9"/>
        <v>59</v>
      </c>
      <c r="B163" s="192">
        <v>45911</v>
      </c>
      <c r="C163" s="182" t="s">
        <v>554</v>
      </c>
      <c r="D163" s="170"/>
      <c r="E163" s="203">
        <v>1</v>
      </c>
      <c r="F163" s="182" t="s">
        <v>565</v>
      </c>
      <c r="G163" s="152" t="s">
        <v>302</v>
      </c>
      <c r="H163" s="204" t="s">
        <v>172</v>
      </c>
      <c r="I163" s="193" t="s">
        <v>173</v>
      </c>
      <c r="J163" s="182" t="s">
        <v>537</v>
      </c>
      <c r="K163" s="205" t="s">
        <v>39</v>
      </c>
      <c r="L163" s="200"/>
      <c r="M163" s="165">
        <v>0</v>
      </c>
      <c r="N163" s="185"/>
      <c r="O163" s="160">
        <v>2700000</v>
      </c>
      <c r="P163" s="187"/>
      <c r="Q163" s="187"/>
      <c r="R163" s="188"/>
      <c r="S163" s="160">
        <f t="shared" si="10"/>
        <v>216000</v>
      </c>
      <c r="T163" s="161">
        <f t="shared" si="11"/>
        <v>2916000</v>
      </c>
      <c r="U163" s="152" t="s">
        <v>176</v>
      </c>
      <c r="V163" s="162"/>
    </row>
    <row r="164" spans="1:22" s="190" customFormat="1" ht="32.25" customHeight="1" x14ac:dyDescent="0.2">
      <c r="A164" s="155">
        <f t="shared" si="9"/>
        <v>60</v>
      </c>
      <c r="B164" s="194">
        <v>45911</v>
      </c>
      <c r="C164" s="171" t="s">
        <v>554</v>
      </c>
      <c r="D164" s="171"/>
      <c r="E164" s="171">
        <v>1</v>
      </c>
      <c r="F164" s="157" t="s">
        <v>568</v>
      </c>
      <c r="G164" s="152" t="s">
        <v>308</v>
      </c>
      <c r="H164" s="186" t="s">
        <v>180</v>
      </c>
      <c r="I164" s="156" t="s">
        <v>181</v>
      </c>
      <c r="J164" s="157" t="s">
        <v>39</v>
      </c>
      <c r="K164" s="157" t="s">
        <v>174</v>
      </c>
      <c r="L164" s="201" t="s">
        <v>541</v>
      </c>
      <c r="M164" s="165">
        <v>1500000</v>
      </c>
      <c r="N164" s="185">
        <v>2400000</v>
      </c>
      <c r="O164" s="160">
        <v>4500000</v>
      </c>
      <c r="P164" s="187"/>
      <c r="Q164" s="187"/>
      <c r="R164" s="188"/>
      <c r="S164" s="160">
        <f t="shared" si="10"/>
        <v>360000</v>
      </c>
      <c r="T164" s="161">
        <f t="shared" si="11"/>
        <v>8760000</v>
      </c>
      <c r="U164" s="152"/>
      <c r="V164" s="162"/>
    </row>
    <row r="165" spans="1:22" s="190" customFormat="1" ht="32.25" customHeight="1" x14ac:dyDescent="0.2">
      <c r="A165" s="155">
        <f t="shared" si="9"/>
        <v>61</v>
      </c>
      <c r="B165" s="194">
        <v>45911</v>
      </c>
      <c r="C165" s="171" t="s">
        <v>548</v>
      </c>
      <c r="D165" s="166"/>
      <c r="E165" s="171">
        <v>1</v>
      </c>
      <c r="F165" s="157" t="s">
        <v>549</v>
      </c>
      <c r="G165" s="152" t="s">
        <v>198</v>
      </c>
      <c r="H165" s="186" t="s">
        <v>180</v>
      </c>
      <c r="I165" s="156" t="s">
        <v>181</v>
      </c>
      <c r="J165" s="157" t="s">
        <v>39</v>
      </c>
      <c r="K165" s="157" t="s">
        <v>174</v>
      </c>
      <c r="L165" s="201" t="s">
        <v>543</v>
      </c>
      <c r="M165" s="165">
        <v>1500000</v>
      </c>
      <c r="N165" s="185">
        <v>3500000</v>
      </c>
      <c r="O165" s="160">
        <v>4500000</v>
      </c>
      <c r="P165" s="187"/>
      <c r="Q165" s="187"/>
      <c r="R165" s="188"/>
      <c r="S165" s="160">
        <f t="shared" si="10"/>
        <v>360000</v>
      </c>
      <c r="T165" s="161">
        <f t="shared" si="11"/>
        <v>9860000</v>
      </c>
      <c r="U165" s="152"/>
      <c r="V165" s="162"/>
    </row>
    <row r="166" spans="1:22" s="190" customFormat="1" ht="32.25" customHeight="1" x14ac:dyDescent="0.2">
      <c r="A166" s="155">
        <f t="shared" si="9"/>
        <v>62</v>
      </c>
      <c r="B166" s="194">
        <v>45911</v>
      </c>
      <c r="C166" s="203" t="s">
        <v>548</v>
      </c>
      <c r="D166" s="170"/>
      <c r="E166" s="203">
        <v>1</v>
      </c>
      <c r="F166" s="182" t="s">
        <v>553</v>
      </c>
      <c r="G166" s="152" t="s">
        <v>194</v>
      </c>
      <c r="H166" s="204" t="s">
        <v>180</v>
      </c>
      <c r="I166" s="193" t="s">
        <v>181</v>
      </c>
      <c r="J166" s="182" t="s">
        <v>39</v>
      </c>
      <c r="K166" s="182" t="s">
        <v>174</v>
      </c>
      <c r="L166" s="201" t="s">
        <v>545</v>
      </c>
      <c r="M166" s="165">
        <v>1500000</v>
      </c>
      <c r="N166" s="185"/>
      <c r="O166" s="160">
        <v>4500000</v>
      </c>
      <c r="P166" s="187"/>
      <c r="Q166" s="187"/>
      <c r="R166" s="188"/>
      <c r="S166" s="160">
        <f t="shared" si="10"/>
        <v>360000</v>
      </c>
      <c r="T166" s="161">
        <f t="shared" si="11"/>
        <v>6360000</v>
      </c>
      <c r="U166" s="152"/>
      <c r="V166" s="162"/>
    </row>
    <row r="167" spans="1:22" s="190" customFormat="1" ht="32.25" customHeight="1" x14ac:dyDescent="0.2">
      <c r="A167" s="155">
        <f t="shared" si="9"/>
        <v>63</v>
      </c>
      <c r="B167" s="194">
        <v>45911</v>
      </c>
      <c r="C167" s="203" t="s">
        <v>548</v>
      </c>
      <c r="D167" s="203"/>
      <c r="E167" s="203">
        <v>1</v>
      </c>
      <c r="F167" s="182" t="s">
        <v>551</v>
      </c>
      <c r="G167" s="152" t="s">
        <v>171</v>
      </c>
      <c r="H167" s="204" t="s">
        <v>255</v>
      </c>
      <c r="I167" s="181" t="s">
        <v>256</v>
      </c>
      <c r="J167" s="182" t="s">
        <v>39</v>
      </c>
      <c r="K167" s="203" t="s">
        <v>201</v>
      </c>
      <c r="L167" s="200">
        <v>30274</v>
      </c>
      <c r="M167" s="165">
        <v>1566000</v>
      </c>
      <c r="N167" s="185"/>
      <c r="O167" s="160">
        <v>4500000</v>
      </c>
      <c r="P167" s="187"/>
      <c r="Q167" s="187"/>
      <c r="R167" s="188"/>
      <c r="S167" s="160">
        <f t="shared" si="10"/>
        <v>360000</v>
      </c>
      <c r="T167" s="161">
        <f t="shared" si="11"/>
        <v>6426000</v>
      </c>
      <c r="U167" s="152" t="s">
        <v>176</v>
      </c>
      <c r="V167" s="162"/>
    </row>
    <row r="168" spans="1:22" s="190" customFormat="1" ht="32.25" customHeight="1" x14ac:dyDescent="0.2">
      <c r="A168" s="155">
        <f t="shared" si="9"/>
        <v>64</v>
      </c>
      <c r="B168" s="194">
        <v>45911</v>
      </c>
      <c r="C168" s="157" t="s">
        <v>539</v>
      </c>
      <c r="D168" s="171"/>
      <c r="E168" s="171">
        <v>1</v>
      </c>
      <c r="F168" s="157" t="s">
        <v>540</v>
      </c>
      <c r="G168" s="157" t="s">
        <v>248</v>
      </c>
      <c r="H168" s="152" t="s">
        <v>180</v>
      </c>
      <c r="I168" s="156" t="s">
        <v>181</v>
      </c>
      <c r="J168" s="157" t="s">
        <v>39</v>
      </c>
      <c r="K168" s="171" t="s">
        <v>550</v>
      </c>
      <c r="L168" s="200">
        <v>7577</v>
      </c>
      <c r="M168" s="165">
        <v>1500000</v>
      </c>
      <c r="N168" s="185"/>
      <c r="O168" s="160">
        <v>4500000</v>
      </c>
      <c r="P168" s="187"/>
      <c r="Q168" s="187"/>
      <c r="R168" s="188"/>
      <c r="S168" s="160">
        <f t="shared" si="10"/>
        <v>360000</v>
      </c>
      <c r="T168" s="161">
        <f t="shared" si="11"/>
        <v>6360000</v>
      </c>
      <c r="U168" s="152"/>
      <c r="V168" s="162"/>
    </row>
    <row r="169" spans="1:22" s="190" customFormat="1" ht="32.25" customHeight="1" x14ac:dyDescent="0.2">
      <c r="A169" s="155">
        <f t="shared" si="9"/>
        <v>65</v>
      </c>
      <c r="B169" s="194">
        <v>45911</v>
      </c>
      <c r="C169" s="157" t="s">
        <v>539</v>
      </c>
      <c r="D169" s="171"/>
      <c r="E169" s="171">
        <v>1</v>
      </c>
      <c r="F169" s="157" t="s">
        <v>542</v>
      </c>
      <c r="G169" s="157" t="s">
        <v>552</v>
      </c>
      <c r="H169" s="152" t="s">
        <v>180</v>
      </c>
      <c r="I169" s="156" t="s">
        <v>181</v>
      </c>
      <c r="J169" s="157" t="s">
        <v>39</v>
      </c>
      <c r="K169" s="171" t="s">
        <v>550</v>
      </c>
      <c r="L169" s="200">
        <v>7579</v>
      </c>
      <c r="M169" s="165">
        <v>1500000</v>
      </c>
      <c r="N169" s="185"/>
      <c r="O169" s="160">
        <v>4500000</v>
      </c>
      <c r="P169" s="187"/>
      <c r="Q169" s="187"/>
      <c r="R169" s="188"/>
      <c r="S169" s="160">
        <f t="shared" si="10"/>
        <v>360000</v>
      </c>
      <c r="T169" s="161">
        <f t="shared" si="11"/>
        <v>6360000</v>
      </c>
      <c r="U169" s="152"/>
      <c r="V169" s="162"/>
    </row>
    <row r="170" spans="1:22" s="190" customFormat="1" ht="32.25" customHeight="1" x14ac:dyDescent="0.2">
      <c r="A170" s="155">
        <f t="shared" si="9"/>
        <v>66</v>
      </c>
      <c r="B170" s="194">
        <v>45911</v>
      </c>
      <c r="C170" s="157" t="s">
        <v>539</v>
      </c>
      <c r="D170" s="171"/>
      <c r="E170" s="171">
        <v>1</v>
      </c>
      <c r="F170" s="157" t="s">
        <v>544</v>
      </c>
      <c r="G170" s="157" t="s">
        <v>323</v>
      </c>
      <c r="H170" s="152" t="s">
        <v>180</v>
      </c>
      <c r="I170" s="156" t="s">
        <v>181</v>
      </c>
      <c r="J170" s="157" t="s">
        <v>39</v>
      </c>
      <c r="K170" s="171" t="s">
        <v>550</v>
      </c>
      <c r="L170" s="152">
        <v>7585</v>
      </c>
      <c r="M170" s="165">
        <v>1500000</v>
      </c>
      <c r="N170" s="185"/>
      <c r="O170" s="160">
        <v>4500000</v>
      </c>
      <c r="P170" s="187"/>
      <c r="Q170" s="187"/>
      <c r="R170" s="188"/>
      <c r="S170" s="160">
        <f t="shared" si="10"/>
        <v>360000</v>
      </c>
      <c r="T170" s="161">
        <f t="shared" si="11"/>
        <v>6360000</v>
      </c>
      <c r="U170" s="152"/>
      <c r="V170" s="162"/>
    </row>
    <row r="171" spans="1:22" s="190" customFormat="1" ht="32.25" customHeight="1" x14ac:dyDescent="0.2">
      <c r="A171" s="155">
        <f t="shared" si="9"/>
        <v>67</v>
      </c>
      <c r="B171" s="194">
        <v>45911</v>
      </c>
      <c r="C171" s="206" t="s">
        <v>527</v>
      </c>
      <c r="D171" s="207"/>
      <c r="E171" s="207">
        <v>1</v>
      </c>
      <c r="F171" s="198" t="s">
        <v>533</v>
      </c>
      <c r="G171" s="198" t="s">
        <v>556</v>
      </c>
      <c r="H171" s="195" t="s">
        <v>180</v>
      </c>
      <c r="I171" s="197" t="s">
        <v>181</v>
      </c>
      <c r="J171" s="198" t="s">
        <v>39</v>
      </c>
      <c r="K171" s="198" t="s">
        <v>557</v>
      </c>
      <c r="L171" s="201" t="s">
        <v>558</v>
      </c>
      <c r="M171" s="165">
        <v>1500000</v>
      </c>
      <c r="N171" s="185"/>
      <c r="O171" s="160">
        <v>4500000</v>
      </c>
      <c r="P171" s="187"/>
      <c r="Q171" s="187"/>
      <c r="R171" s="188"/>
      <c r="S171" s="160">
        <f t="shared" si="10"/>
        <v>360000</v>
      </c>
      <c r="T171" s="161">
        <f t="shared" si="11"/>
        <v>6360000</v>
      </c>
      <c r="U171" s="152"/>
      <c r="V171" s="162"/>
    </row>
    <row r="172" spans="1:22" s="190" customFormat="1" ht="32.25" customHeight="1" x14ac:dyDescent="0.2">
      <c r="A172" s="155">
        <f t="shared" ref="A172:A235" si="12">ROW()-104</f>
        <v>68</v>
      </c>
      <c r="B172" s="194">
        <v>45911</v>
      </c>
      <c r="C172" s="171" t="s">
        <v>527</v>
      </c>
      <c r="D172" s="203"/>
      <c r="E172" s="203">
        <v>1</v>
      </c>
      <c r="F172" s="157" t="s">
        <v>528</v>
      </c>
      <c r="G172" s="157" t="s">
        <v>560</v>
      </c>
      <c r="H172" s="195" t="s">
        <v>180</v>
      </c>
      <c r="I172" s="156" t="s">
        <v>181</v>
      </c>
      <c r="J172" s="157" t="s">
        <v>39</v>
      </c>
      <c r="K172" s="198" t="s">
        <v>557</v>
      </c>
      <c r="L172" s="201" t="s">
        <v>561</v>
      </c>
      <c r="M172" s="165">
        <v>1500000</v>
      </c>
      <c r="N172" s="185"/>
      <c r="O172" s="160">
        <v>4500000</v>
      </c>
      <c r="P172" s="187"/>
      <c r="Q172" s="187"/>
      <c r="R172" s="188"/>
      <c r="S172" s="160">
        <f t="shared" si="10"/>
        <v>360000</v>
      </c>
      <c r="T172" s="161">
        <f t="shared" si="11"/>
        <v>6360000</v>
      </c>
      <c r="U172" s="152"/>
      <c r="V172" s="162"/>
    </row>
    <row r="173" spans="1:22" s="190" customFormat="1" ht="32.25" customHeight="1" x14ac:dyDescent="0.2">
      <c r="A173" s="155">
        <f t="shared" si="12"/>
        <v>69</v>
      </c>
      <c r="B173" s="194">
        <v>45911</v>
      </c>
      <c r="C173" s="171" t="s">
        <v>527</v>
      </c>
      <c r="D173" s="203"/>
      <c r="E173" s="203">
        <v>1</v>
      </c>
      <c r="F173" s="157" t="s">
        <v>531</v>
      </c>
      <c r="G173" s="157" t="s">
        <v>563</v>
      </c>
      <c r="H173" s="195" t="s">
        <v>180</v>
      </c>
      <c r="I173" s="156" t="s">
        <v>181</v>
      </c>
      <c r="J173" s="157" t="s">
        <v>39</v>
      </c>
      <c r="K173" s="198" t="s">
        <v>557</v>
      </c>
      <c r="L173" s="201" t="s">
        <v>564</v>
      </c>
      <c r="M173" s="165">
        <v>1500000</v>
      </c>
      <c r="N173" s="185"/>
      <c r="O173" s="160">
        <v>4500000</v>
      </c>
      <c r="P173" s="187"/>
      <c r="Q173" s="187"/>
      <c r="R173" s="188"/>
      <c r="S173" s="160">
        <f t="shared" si="10"/>
        <v>360000</v>
      </c>
      <c r="T173" s="161">
        <f t="shared" si="11"/>
        <v>6360000</v>
      </c>
      <c r="U173" s="152"/>
      <c r="V173" s="162"/>
    </row>
    <row r="174" spans="1:22" s="190" customFormat="1" ht="32.25" customHeight="1" x14ac:dyDescent="0.2">
      <c r="A174" s="155">
        <f t="shared" si="12"/>
        <v>70</v>
      </c>
      <c r="B174" s="194">
        <v>45911</v>
      </c>
      <c r="C174" s="171" t="s">
        <v>527</v>
      </c>
      <c r="D174" s="203"/>
      <c r="E174" s="203">
        <v>1</v>
      </c>
      <c r="F174" s="157" t="s">
        <v>530</v>
      </c>
      <c r="G174" s="157" t="s">
        <v>566</v>
      </c>
      <c r="H174" s="195" t="s">
        <v>180</v>
      </c>
      <c r="I174" s="156" t="s">
        <v>181</v>
      </c>
      <c r="J174" s="157" t="s">
        <v>39</v>
      </c>
      <c r="K174" s="198" t="s">
        <v>557</v>
      </c>
      <c r="L174" s="201" t="s">
        <v>567</v>
      </c>
      <c r="M174" s="165">
        <v>1500000</v>
      </c>
      <c r="N174" s="185"/>
      <c r="O174" s="160">
        <v>4500000</v>
      </c>
      <c r="P174" s="187"/>
      <c r="Q174" s="187"/>
      <c r="R174" s="188"/>
      <c r="S174" s="160">
        <f t="shared" si="10"/>
        <v>360000</v>
      </c>
      <c r="T174" s="161">
        <f t="shared" si="11"/>
        <v>6360000</v>
      </c>
      <c r="U174" s="152"/>
      <c r="V174" s="162"/>
    </row>
    <row r="175" spans="1:22" s="190" customFormat="1" ht="32.25" customHeight="1" x14ac:dyDescent="0.2">
      <c r="A175" s="155">
        <f t="shared" si="12"/>
        <v>71</v>
      </c>
      <c r="B175" s="194">
        <v>45941</v>
      </c>
      <c r="C175" s="171" t="s">
        <v>546</v>
      </c>
      <c r="D175" s="171"/>
      <c r="E175" s="203">
        <v>1</v>
      </c>
      <c r="F175" s="157" t="s">
        <v>547</v>
      </c>
      <c r="G175" s="174" t="s">
        <v>569</v>
      </c>
      <c r="H175" s="195" t="s">
        <v>180</v>
      </c>
      <c r="I175" s="156" t="s">
        <v>181</v>
      </c>
      <c r="J175" s="157" t="s">
        <v>39</v>
      </c>
      <c r="K175" s="198" t="s">
        <v>557</v>
      </c>
      <c r="L175" s="200">
        <v>70430</v>
      </c>
      <c r="M175" s="165">
        <v>1450000</v>
      </c>
      <c r="N175" s="185"/>
      <c r="O175" s="160">
        <v>4500000</v>
      </c>
      <c r="P175" s="187"/>
      <c r="Q175" s="187"/>
      <c r="R175" s="188"/>
      <c r="S175" s="160">
        <f t="shared" si="10"/>
        <v>360000</v>
      </c>
      <c r="T175" s="161">
        <f t="shared" si="11"/>
        <v>6310000</v>
      </c>
      <c r="U175" s="152" t="s">
        <v>176</v>
      </c>
      <c r="V175" s="162"/>
    </row>
    <row r="176" spans="1:22" s="190" customFormat="1" ht="32.25" customHeight="1" x14ac:dyDescent="0.2">
      <c r="A176" s="155">
        <f t="shared" si="12"/>
        <v>72</v>
      </c>
      <c r="B176" s="163">
        <v>45941</v>
      </c>
      <c r="C176" s="157" t="s">
        <v>570</v>
      </c>
      <c r="D176" s="166"/>
      <c r="E176" s="171">
        <v>1</v>
      </c>
      <c r="F176" s="157" t="s">
        <v>575</v>
      </c>
      <c r="G176" s="157" t="s">
        <v>287</v>
      </c>
      <c r="H176" s="152" t="s">
        <v>255</v>
      </c>
      <c r="I176" s="155" t="s">
        <v>256</v>
      </c>
      <c r="J176" s="157" t="s">
        <v>39</v>
      </c>
      <c r="K176" s="171" t="s">
        <v>201</v>
      </c>
      <c r="L176" s="201" t="s">
        <v>572</v>
      </c>
      <c r="M176" s="165">
        <v>1566000</v>
      </c>
      <c r="N176" s="185"/>
      <c r="O176" s="160">
        <v>4500000</v>
      </c>
      <c r="P176" s="187"/>
      <c r="Q176" s="187"/>
      <c r="R176" s="188"/>
      <c r="S176" s="160">
        <f t="shared" si="10"/>
        <v>360000</v>
      </c>
      <c r="T176" s="161">
        <f t="shared" si="11"/>
        <v>6426000</v>
      </c>
      <c r="U176" s="152"/>
      <c r="V176" s="162"/>
    </row>
    <row r="177" spans="1:22" s="190" customFormat="1" ht="32.25" customHeight="1" x14ac:dyDescent="0.2">
      <c r="A177" s="155">
        <f t="shared" si="12"/>
        <v>73</v>
      </c>
      <c r="B177" s="163">
        <v>45941</v>
      </c>
      <c r="C177" s="157" t="s">
        <v>570</v>
      </c>
      <c r="D177" s="166"/>
      <c r="E177" s="171">
        <v>1</v>
      </c>
      <c r="F177" s="171" t="s">
        <v>573</v>
      </c>
      <c r="G177" s="157" t="s">
        <v>262</v>
      </c>
      <c r="H177" s="152" t="s">
        <v>255</v>
      </c>
      <c r="I177" s="155" t="s">
        <v>256</v>
      </c>
      <c r="J177" s="157" t="s">
        <v>39</v>
      </c>
      <c r="K177" s="171" t="s">
        <v>201</v>
      </c>
      <c r="L177" s="201" t="s">
        <v>574</v>
      </c>
      <c r="M177" s="165">
        <v>1566000</v>
      </c>
      <c r="N177" s="185">
        <v>1000000</v>
      </c>
      <c r="O177" s="160">
        <v>4500000</v>
      </c>
      <c r="P177" s="187"/>
      <c r="Q177" s="187"/>
      <c r="R177" s="188"/>
      <c r="S177" s="160">
        <f t="shared" si="10"/>
        <v>360000</v>
      </c>
      <c r="T177" s="161">
        <f t="shared" si="11"/>
        <v>7426000</v>
      </c>
      <c r="U177" s="152"/>
      <c r="V177" s="162"/>
    </row>
    <row r="178" spans="1:22" s="190" customFormat="1" ht="32.25" customHeight="1" x14ac:dyDescent="0.2">
      <c r="A178" s="155">
        <f t="shared" si="12"/>
        <v>74</v>
      </c>
      <c r="B178" s="163">
        <v>45941</v>
      </c>
      <c r="C178" s="157" t="s">
        <v>570</v>
      </c>
      <c r="D178" s="166"/>
      <c r="E178" s="171">
        <v>1</v>
      </c>
      <c r="F178" s="157" t="s">
        <v>571</v>
      </c>
      <c r="G178" s="157" t="s">
        <v>576</v>
      </c>
      <c r="H178" s="152" t="s">
        <v>255</v>
      </c>
      <c r="I178" s="155" t="s">
        <v>256</v>
      </c>
      <c r="J178" s="157" t="s">
        <v>39</v>
      </c>
      <c r="K178" s="171" t="s">
        <v>201</v>
      </c>
      <c r="L178" s="201" t="s">
        <v>577</v>
      </c>
      <c r="M178" s="165">
        <v>1566000</v>
      </c>
      <c r="N178" s="185"/>
      <c r="O178" s="160">
        <v>4500000</v>
      </c>
      <c r="P178" s="187"/>
      <c r="Q178" s="187"/>
      <c r="R178" s="188"/>
      <c r="S178" s="160">
        <f t="shared" si="10"/>
        <v>360000</v>
      </c>
      <c r="T178" s="161">
        <f t="shared" si="11"/>
        <v>6426000</v>
      </c>
      <c r="U178" s="152"/>
      <c r="V178" s="162"/>
    </row>
    <row r="179" spans="1:22" s="190" customFormat="1" ht="32.25" customHeight="1" x14ac:dyDescent="0.2">
      <c r="A179" s="155">
        <f t="shared" si="12"/>
        <v>75</v>
      </c>
      <c r="B179" s="163">
        <v>45941</v>
      </c>
      <c r="C179" s="157">
        <v>261509029</v>
      </c>
      <c r="D179" s="166"/>
      <c r="E179" s="171">
        <v>1</v>
      </c>
      <c r="F179" s="157" t="s">
        <v>595</v>
      </c>
      <c r="G179" s="152" t="s">
        <v>171</v>
      </c>
      <c r="H179" s="152" t="s">
        <v>172</v>
      </c>
      <c r="I179" s="156" t="s">
        <v>173</v>
      </c>
      <c r="J179" s="157" t="s">
        <v>281</v>
      </c>
      <c r="K179" s="171" t="s">
        <v>39</v>
      </c>
      <c r="L179" s="201" t="s">
        <v>579</v>
      </c>
      <c r="M179" s="165">
        <v>1500000</v>
      </c>
      <c r="N179" s="185"/>
      <c r="O179" s="160">
        <v>2700000</v>
      </c>
      <c r="P179" s="187"/>
      <c r="Q179" s="187"/>
      <c r="R179" s="188"/>
      <c r="S179" s="160">
        <f t="shared" si="10"/>
        <v>216000</v>
      </c>
      <c r="T179" s="161">
        <f t="shared" si="11"/>
        <v>4416000</v>
      </c>
      <c r="U179" s="152"/>
      <c r="V179" s="162"/>
    </row>
    <row r="180" spans="1:22" s="190" customFormat="1" ht="32.25" customHeight="1" x14ac:dyDescent="0.2">
      <c r="A180" s="155">
        <f t="shared" si="12"/>
        <v>76</v>
      </c>
      <c r="B180" s="163">
        <v>45941</v>
      </c>
      <c r="C180" s="157">
        <v>261509029</v>
      </c>
      <c r="D180" s="166"/>
      <c r="E180" s="171">
        <v>1</v>
      </c>
      <c r="F180" s="157" t="s">
        <v>593</v>
      </c>
      <c r="G180" s="152" t="s">
        <v>171</v>
      </c>
      <c r="H180" s="152" t="s">
        <v>172</v>
      </c>
      <c r="I180" s="156" t="s">
        <v>173</v>
      </c>
      <c r="J180" s="157" t="s">
        <v>281</v>
      </c>
      <c r="K180" s="171" t="s">
        <v>39</v>
      </c>
      <c r="L180" s="201" t="s">
        <v>581</v>
      </c>
      <c r="M180" s="165">
        <v>1500000</v>
      </c>
      <c r="N180" s="185"/>
      <c r="O180" s="160">
        <v>2700000</v>
      </c>
      <c r="P180" s="187"/>
      <c r="Q180" s="187"/>
      <c r="R180" s="188"/>
      <c r="S180" s="160">
        <f t="shared" si="10"/>
        <v>216000</v>
      </c>
      <c r="T180" s="161">
        <f t="shared" si="11"/>
        <v>4416000</v>
      </c>
      <c r="U180" s="152"/>
      <c r="V180" s="162"/>
    </row>
    <row r="181" spans="1:22" s="190" customFormat="1" ht="32.25" customHeight="1" x14ac:dyDescent="0.2">
      <c r="A181" s="155">
        <f t="shared" si="12"/>
        <v>77</v>
      </c>
      <c r="B181" s="163">
        <v>45941</v>
      </c>
      <c r="C181" s="157">
        <v>261509029</v>
      </c>
      <c r="D181" s="166"/>
      <c r="E181" s="171">
        <v>1</v>
      </c>
      <c r="F181" s="157" t="s">
        <v>590</v>
      </c>
      <c r="G181" s="152" t="s">
        <v>305</v>
      </c>
      <c r="H181" s="152" t="s">
        <v>172</v>
      </c>
      <c r="I181" s="156" t="s">
        <v>173</v>
      </c>
      <c r="J181" s="157" t="s">
        <v>281</v>
      </c>
      <c r="K181" s="171" t="s">
        <v>39</v>
      </c>
      <c r="L181" s="201" t="s">
        <v>583</v>
      </c>
      <c r="M181" s="165">
        <v>1500000</v>
      </c>
      <c r="N181" s="185"/>
      <c r="O181" s="160">
        <v>2700000</v>
      </c>
      <c r="P181" s="187"/>
      <c r="Q181" s="187"/>
      <c r="R181" s="188"/>
      <c r="S181" s="160">
        <f t="shared" si="10"/>
        <v>216000</v>
      </c>
      <c r="T181" s="161">
        <f t="shared" si="11"/>
        <v>4416000</v>
      </c>
      <c r="U181" s="152"/>
      <c r="V181" s="162"/>
    </row>
    <row r="182" spans="1:22" s="190" customFormat="1" ht="32.25" customHeight="1" x14ac:dyDescent="0.2">
      <c r="A182" s="155">
        <f t="shared" si="12"/>
        <v>78</v>
      </c>
      <c r="B182" s="163">
        <v>45941</v>
      </c>
      <c r="C182" s="157">
        <v>261509029</v>
      </c>
      <c r="D182" s="166"/>
      <c r="E182" s="171">
        <v>1</v>
      </c>
      <c r="F182" s="157" t="s">
        <v>597</v>
      </c>
      <c r="G182" s="152" t="s">
        <v>225</v>
      </c>
      <c r="H182" s="152" t="s">
        <v>172</v>
      </c>
      <c r="I182" s="156" t="s">
        <v>173</v>
      </c>
      <c r="J182" s="157" t="s">
        <v>281</v>
      </c>
      <c r="K182" s="171" t="s">
        <v>39</v>
      </c>
      <c r="L182" s="201" t="s">
        <v>585</v>
      </c>
      <c r="M182" s="165">
        <v>1500000</v>
      </c>
      <c r="N182" s="185"/>
      <c r="O182" s="160">
        <v>2700000</v>
      </c>
      <c r="P182" s="187"/>
      <c r="Q182" s="187"/>
      <c r="R182" s="188"/>
      <c r="S182" s="160">
        <f t="shared" si="10"/>
        <v>216000</v>
      </c>
      <c r="T182" s="161">
        <f t="shared" si="11"/>
        <v>4416000</v>
      </c>
      <c r="U182" s="152"/>
      <c r="V182" s="162"/>
    </row>
    <row r="183" spans="1:22" s="190" customFormat="1" ht="32.25" customHeight="1" x14ac:dyDescent="0.2">
      <c r="A183" s="155">
        <f t="shared" si="12"/>
        <v>79</v>
      </c>
      <c r="B183" s="163">
        <v>45941</v>
      </c>
      <c r="C183" s="157">
        <v>261509029</v>
      </c>
      <c r="D183" s="166"/>
      <c r="E183" s="171">
        <v>1</v>
      </c>
      <c r="F183" s="171" t="s">
        <v>599</v>
      </c>
      <c r="G183" s="152" t="s">
        <v>308</v>
      </c>
      <c r="H183" s="152" t="s">
        <v>172</v>
      </c>
      <c r="I183" s="156" t="s">
        <v>173</v>
      </c>
      <c r="J183" s="157" t="s">
        <v>281</v>
      </c>
      <c r="K183" s="171" t="s">
        <v>39</v>
      </c>
      <c r="L183" s="201" t="s">
        <v>587</v>
      </c>
      <c r="M183" s="165">
        <v>1500000</v>
      </c>
      <c r="N183" s="185"/>
      <c r="O183" s="160">
        <v>2700000</v>
      </c>
      <c r="P183" s="187"/>
      <c r="Q183" s="187"/>
      <c r="R183" s="188"/>
      <c r="S183" s="160">
        <f t="shared" si="10"/>
        <v>216000</v>
      </c>
      <c r="T183" s="161">
        <f t="shared" si="11"/>
        <v>4416000</v>
      </c>
      <c r="U183" s="152"/>
      <c r="V183" s="162"/>
    </row>
    <row r="184" spans="1:22" s="190" customFormat="1" ht="32.25" customHeight="1" x14ac:dyDescent="0.2">
      <c r="A184" s="155">
        <f t="shared" si="12"/>
        <v>80</v>
      </c>
      <c r="B184" s="163">
        <v>45941</v>
      </c>
      <c r="C184" s="157">
        <v>2313829131</v>
      </c>
      <c r="D184" s="166"/>
      <c r="E184" s="171">
        <v>1</v>
      </c>
      <c r="F184" s="157" t="s">
        <v>589</v>
      </c>
      <c r="G184" s="152" t="s">
        <v>216</v>
      </c>
      <c r="H184" s="152" t="s">
        <v>199</v>
      </c>
      <c r="I184" s="156" t="s">
        <v>200</v>
      </c>
      <c r="J184" s="179" t="s">
        <v>233</v>
      </c>
      <c r="K184" s="171" t="s">
        <v>39</v>
      </c>
      <c r="L184" s="200">
        <v>412273</v>
      </c>
      <c r="M184" s="165">
        <v>1500000</v>
      </c>
      <c r="N184" s="185"/>
      <c r="O184" s="160">
        <v>4700000</v>
      </c>
      <c r="P184" s="187"/>
      <c r="Q184" s="187"/>
      <c r="R184" s="188"/>
      <c r="S184" s="160">
        <f t="shared" si="10"/>
        <v>376000</v>
      </c>
      <c r="T184" s="161">
        <f t="shared" si="11"/>
        <v>6576000</v>
      </c>
      <c r="U184" s="152"/>
      <c r="V184" s="162"/>
    </row>
    <row r="185" spans="1:22" s="190" customFormat="1" ht="32.25" customHeight="1" x14ac:dyDescent="0.2">
      <c r="A185" s="155">
        <f t="shared" si="12"/>
        <v>81</v>
      </c>
      <c r="B185" s="163">
        <v>45941</v>
      </c>
      <c r="C185" s="157">
        <v>2313829131</v>
      </c>
      <c r="D185" s="166"/>
      <c r="E185" s="171">
        <v>1</v>
      </c>
      <c r="F185" s="157" t="s">
        <v>588</v>
      </c>
      <c r="G185" s="157" t="s">
        <v>354</v>
      </c>
      <c r="H185" s="152" t="s">
        <v>199</v>
      </c>
      <c r="I185" s="156" t="s">
        <v>200</v>
      </c>
      <c r="J185" s="179" t="s">
        <v>233</v>
      </c>
      <c r="K185" s="206" t="s">
        <v>39</v>
      </c>
      <c r="L185" s="200">
        <v>406096</v>
      </c>
      <c r="M185" s="165">
        <v>1500000</v>
      </c>
      <c r="N185" s="185"/>
      <c r="O185" s="160">
        <v>4700000</v>
      </c>
      <c r="P185" s="187"/>
      <c r="Q185" s="187"/>
      <c r="R185" s="188"/>
      <c r="S185" s="160">
        <f t="shared" si="10"/>
        <v>376000</v>
      </c>
      <c r="T185" s="161">
        <f t="shared" si="11"/>
        <v>6576000</v>
      </c>
      <c r="U185" s="152"/>
      <c r="V185" s="162"/>
    </row>
    <row r="186" spans="1:22" s="190" customFormat="1" ht="32.25" customHeight="1" x14ac:dyDescent="0.2">
      <c r="A186" s="155">
        <f t="shared" si="12"/>
        <v>82</v>
      </c>
      <c r="B186" s="163">
        <v>45941</v>
      </c>
      <c r="C186" s="157">
        <v>261614124</v>
      </c>
      <c r="D186" s="166"/>
      <c r="E186" s="171">
        <v>1</v>
      </c>
      <c r="F186" s="157" t="s">
        <v>578</v>
      </c>
      <c r="G186" s="157" t="s">
        <v>591</v>
      </c>
      <c r="H186" s="152" t="s">
        <v>298</v>
      </c>
      <c r="I186" s="156" t="s">
        <v>299</v>
      </c>
      <c r="J186" s="206" t="s">
        <v>433</v>
      </c>
      <c r="K186" s="206" t="s">
        <v>39</v>
      </c>
      <c r="L186" s="201" t="s">
        <v>592</v>
      </c>
      <c r="M186" s="165">
        <v>1450000</v>
      </c>
      <c r="N186" s="185"/>
      <c r="O186" s="160">
        <v>5300000</v>
      </c>
      <c r="P186" s="187"/>
      <c r="Q186" s="187"/>
      <c r="R186" s="188"/>
      <c r="S186" s="160">
        <f t="shared" si="10"/>
        <v>424000</v>
      </c>
      <c r="T186" s="161">
        <f t="shared" si="11"/>
        <v>7174000</v>
      </c>
      <c r="U186" s="152"/>
      <c r="V186" s="162"/>
    </row>
    <row r="187" spans="1:22" s="190" customFormat="1" ht="32.25" customHeight="1" x14ac:dyDescent="0.2">
      <c r="A187" s="155">
        <f t="shared" si="12"/>
        <v>83</v>
      </c>
      <c r="B187" s="163">
        <v>45941</v>
      </c>
      <c r="C187" s="157">
        <v>261614124</v>
      </c>
      <c r="D187" s="166"/>
      <c r="E187" s="171">
        <v>1</v>
      </c>
      <c r="F187" s="157" t="s">
        <v>580</v>
      </c>
      <c r="G187" s="152" t="s">
        <v>219</v>
      </c>
      <c r="H187" s="152" t="s">
        <v>298</v>
      </c>
      <c r="I187" s="156" t="s">
        <v>299</v>
      </c>
      <c r="J187" s="206" t="s">
        <v>433</v>
      </c>
      <c r="K187" s="206" t="s">
        <v>39</v>
      </c>
      <c r="L187" s="201" t="s">
        <v>594</v>
      </c>
      <c r="M187" s="165">
        <v>1450000</v>
      </c>
      <c r="N187" s="185"/>
      <c r="O187" s="160">
        <v>5300000</v>
      </c>
      <c r="P187" s="187"/>
      <c r="Q187" s="187"/>
      <c r="R187" s="188"/>
      <c r="S187" s="160">
        <f t="shared" si="10"/>
        <v>424000</v>
      </c>
      <c r="T187" s="161">
        <f t="shared" si="11"/>
        <v>7174000</v>
      </c>
      <c r="U187" s="152"/>
      <c r="V187" s="162"/>
    </row>
    <row r="188" spans="1:22" s="190" customFormat="1" ht="32.25" customHeight="1" x14ac:dyDescent="0.2">
      <c r="A188" s="155">
        <f t="shared" si="12"/>
        <v>84</v>
      </c>
      <c r="B188" s="163">
        <v>45941</v>
      </c>
      <c r="C188" s="157">
        <v>261614124</v>
      </c>
      <c r="D188" s="166"/>
      <c r="E188" s="171">
        <v>1</v>
      </c>
      <c r="F188" s="157" t="s">
        <v>582</v>
      </c>
      <c r="G188" s="152" t="s">
        <v>171</v>
      </c>
      <c r="H188" s="152" t="s">
        <v>298</v>
      </c>
      <c r="I188" s="156" t="s">
        <v>299</v>
      </c>
      <c r="J188" s="206" t="s">
        <v>433</v>
      </c>
      <c r="K188" s="206" t="s">
        <v>39</v>
      </c>
      <c r="L188" s="201" t="s">
        <v>596</v>
      </c>
      <c r="M188" s="165">
        <v>1450000</v>
      </c>
      <c r="N188" s="185"/>
      <c r="O188" s="160">
        <v>5300000</v>
      </c>
      <c r="P188" s="187"/>
      <c r="Q188" s="187"/>
      <c r="R188" s="188"/>
      <c r="S188" s="160">
        <f t="shared" si="10"/>
        <v>424000</v>
      </c>
      <c r="T188" s="161">
        <f t="shared" si="11"/>
        <v>7174000</v>
      </c>
      <c r="U188" s="152"/>
      <c r="V188" s="162"/>
    </row>
    <row r="189" spans="1:22" s="190" customFormat="1" ht="32.25" customHeight="1" x14ac:dyDescent="0.2">
      <c r="A189" s="155">
        <f t="shared" si="12"/>
        <v>85</v>
      </c>
      <c r="B189" s="163">
        <v>45941</v>
      </c>
      <c r="C189" s="157">
        <v>261614124</v>
      </c>
      <c r="D189" s="166"/>
      <c r="E189" s="171">
        <v>1</v>
      </c>
      <c r="F189" s="157" t="s">
        <v>584</v>
      </c>
      <c r="G189" s="152" t="s">
        <v>207</v>
      </c>
      <c r="H189" s="152" t="s">
        <v>298</v>
      </c>
      <c r="I189" s="156" t="s">
        <v>299</v>
      </c>
      <c r="J189" s="206" t="s">
        <v>433</v>
      </c>
      <c r="K189" s="206" t="s">
        <v>39</v>
      </c>
      <c r="L189" s="201" t="s">
        <v>598</v>
      </c>
      <c r="M189" s="165">
        <v>1450000</v>
      </c>
      <c r="N189" s="185"/>
      <c r="O189" s="160">
        <v>5300000</v>
      </c>
      <c r="P189" s="187"/>
      <c r="Q189" s="187"/>
      <c r="R189" s="188"/>
      <c r="S189" s="160">
        <f t="shared" si="10"/>
        <v>424000</v>
      </c>
      <c r="T189" s="161">
        <f t="shared" si="11"/>
        <v>7174000</v>
      </c>
      <c r="U189" s="152"/>
      <c r="V189" s="162"/>
    </row>
    <row r="190" spans="1:22" s="190" customFormat="1" ht="32.25" customHeight="1" x14ac:dyDescent="0.2">
      <c r="A190" s="155">
        <f t="shared" si="12"/>
        <v>86</v>
      </c>
      <c r="B190" s="163">
        <v>45941</v>
      </c>
      <c r="C190" s="157">
        <v>261614124</v>
      </c>
      <c r="D190" s="166"/>
      <c r="E190" s="171">
        <v>1</v>
      </c>
      <c r="F190" s="157" t="s">
        <v>586</v>
      </c>
      <c r="G190" s="152" t="s">
        <v>222</v>
      </c>
      <c r="H190" s="152" t="s">
        <v>298</v>
      </c>
      <c r="I190" s="156" t="s">
        <v>299</v>
      </c>
      <c r="J190" s="206" t="s">
        <v>433</v>
      </c>
      <c r="K190" s="206" t="s">
        <v>39</v>
      </c>
      <c r="L190" s="201" t="s">
        <v>600</v>
      </c>
      <c r="M190" s="165">
        <v>1450000</v>
      </c>
      <c r="N190" s="185"/>
      <c r="O190" s="160">
        <v>5300000</v>
      </c>
      <c r="P190" s="187"/>
      <c r="Q190" s="187"/>
      <c r="R190" s="188"/>
      <c r="S190" s="160">
        <f t="shared" si="10"/>
        <v>424000</v>
      </c>
      <c r="T190" s="161">
        <f t="shared" si="11"/>
        <v>7174000</v>
      </c>
      <c r="U190" s="152"/>
      <c r="V190" s="162"/>
    </row>
    <row r="191" spans="1:22" s="190" customFormat="1" ht="32.25" customHeight="1" x14ac:dyDescent="0.2">
      <c r="A191" s="155">
        <f t="shared" si="12"/>
        <v>87</v>
      </c>
      <c r="B191" s="163">
        <v>45941</v>
      </c>
      <c r="C191" s="157">
        <v>261509240</v>
      </c>
      <c r="D191" s="166"/>
      <c r="E191" s="171">
        <v>1</v>
      </c>
      <c r="F191" s="171" t="s">
        <v>1137</v>
      </c>
      <c r="G191" s="152" t="s">
        <v>341</v>
      </c>
      <c r="H191" s="152" t="s">
        <v>255</v>
      </c>
      <c r="I191" s="155" t="s">
        <v>256</v>
      </c>
      <c r="J191" s="206" t="s">
        <v>433</v>
      </c>
      <c r="K191" s="206" t="s">
        <v>39</v>
      </c>
      <c r="L191" s="201" t="s">
        <v>602</v>
      </c>
      <c r="M191" s="165">
        <v>1450000</v>
      </c>
      <c r="N191" s="185"/>
      <c r="O191" s="160">
        <f>4700000+500000</f>
        <v>5200000</v>
      </c>
      <c r="P191" s="187"/>
      <c r="Q191" s="187"/>
      <c r="R191" s="188"/>
      <c r="S191" s="160">
        <f t="shared" si="10"/>
        <v>416000</v>
      </c>
      <c r="T191" s="161">
        <f t="shared" si="11"/>
        <v>7066000</v>
      </c>
      <c r="U191" s="152"/>
      <c r="V191" s="162"/>
    </row>
    <row r="192" spans="1:22" s="190" customFormat="1" ht="32.25" customHeight="1" x14ac:dyDescent="0.2">
      <c r="A192" s="155">
        <f t="shared" si="12"/>
        <v>88</v>
      </c>
      <c r="B192" s="163">
        <v>45941</v>
      </c>
      <c r="C192" s="157">
        <v>261509240</v>
      </c>
      <c r="D192" s="166"/>
      <c r="E192" s="171">
        <v>1</v>
      </c>
      <c r="F192" s="157" t="s">
        <v>612</v>
      </c>
      <c r="G192" s="157" t="s">
        <v>604</v>
      </c>
      <c r="H192" s="152" t="s">
        <v>255</v>
      </c>
      <c r="I192" s="155" t="s">
        <v>256</v>
      </c>
      <c r="J192" s="206" t="s">
        <v>433</v>
      </c>
      <c r="K192" s="206" t="s">
        <v>39</v>
      </c>
      <c r="L192" s="201" t="s">
        <v>605</v>
      </c>
      <c r="M192" s="165">
        <v>1450000</v>
      </c>
      <c r="N192" s="185"/>
      <c r="O192" s="160">
        <f>4700000+500000</f>
        <v>5200000</v>
      </c>
      <c r="P192" s="187"/>
      <c r="Q192" s="187"/>
      <c r="R192" s="188"/>
      <c r="S192" s="160">
        <f t="shared" si="10"/>
        <v>416000</v>
      </c>
      <c r="T192" s="161">
        <f t="shared" si="11"/>
        <v>7066000</v>
      </c>
      <c r="U192" s="152"/>
      <c r="V192" s="162"/>
    </row>
    <row r="193" spans="1:22" s="190" customFormat="1" ht="32.25" customHeight="1" x14ac:dyDescent="0.2">
      <c r="A193" s="155">
        <f t="shared" si="12"/>
        <v>89</v>
      </c>
      <c r="B193" s="163">
        <v>45941</v>
      </c>
      <c r="C193" s="157">
        <v>261509240</v>
      </c>
      <c r="D193" s="166"/>
      <c r="E193" s="171">
        <v>1</v>
      </c>
      <c r="F193" s="208" t="s">
        <v>603</v>
      </c>
      <c r="G193" s="157" t="s">
        <v>287</v>
      </c>
      <c r="H193" s="152" t="s">
        <v>607</v>
      </c>
      <c r="I193" s="156" t="s">
        <v>608</v>
      </c>
      <c r="J193" s="206" t="s">
        <v>433</v>
      </c>
      <c r="K193" s="206" t="s">
        <v>39</v>
      </c>
      <c r="L193" s="201" t="s">
        <v>609</v>
      </c>
      <c r="M193" s="165">
        <v>1450000</v>
      </c>
      <c r="N193" s="185"/>
      <c r="O193" s="160">
        <f>4700000+2000000</f>
        <v>6700000</v>
      </c>
      <c r="P193" s="187"/>
      <c r="Q193" s="187"/>
      <c r="R193" s="188"/>
      <c r="S193" s="160">
        <f t="shared" si="10"/>
        <v>536000</v>
      </c>
      <c r="T193" s="161">
        <f t="shared" si="11"/>
        <v>8686000</v>
      </c>
      <c r="U193" s="152"/>
      <c r="V193" s="162"/>
    </row>
    <row r="194" spans="1:22" s="190" customFormat="1" ht="32.25" customHeight="1" x14ac:dyDescent="0.2">
      <c r="A194" s="155">
        <f t="shared" si="12"/>
        <v>90</v>
      </c>
      <c r="B194" s="163">
        <v>45941</v>
      </c>
      <c r="C194" s="157">
        <v>261509240</v>
      </c>
      <c r="D194" s="166"/>
      <c r="E194" s="171">
        <v>1</v>
      </c>
      <c r="F194" s="208" t="s">
        <v>610</v>
      </c>
      <c r="G194" s="157" t="s">
        <v>262</v>
      </c>
      <c r="H194" s="152" t="s">
        <v>607</v>
      </c>
      <c r="I194" s="156" t="s">
        <v>608</v>
      </c>
      <c r="J194" s="206" t="s">
        <v>433</v>
      </c>
      <c r="K194" s="206" t="s">
        <v>39</v>
      </c>
      <c r="L194" s="201" t="s">
        <v>611</v>
      </c>
      <c r="M194" s="165">
        <v>1450000</v>
      </c>
      <c r="N194" s="185"/>
      <c r="O194" s="160">
        <f t="shared" ref="O194:O196" si="13">4700000+2000000</f>
        <v>6700000</v>
      </c>
      <c r="P194" s="187"/>
      <c r="Q194" s="187"/>
      <c r="R194" s="188"/>
      <c r="S194" s="160">
        <f t="shared" si="10"/>
        <v>536000</v>
      </c>
      <c r="T194" s="161">
        <f t="shared" si="11"/>
        <v>8686000</v>
      </c>
      <c r="U194" s="152"/>
      <c r="V194" s="162"/>
    </row>
    <row r="195" spans="1:22" s="190" customFormat="1" ht="32.25" customHeight="1" x14ac:dyDescent="0.2">
      <c r="A195" s="155">
        <f t="shared" si="12"/>
        <v>91</v>
      </c>
      <c r="B195" s="163">
        <v>45941</v>
      </c>
      <c r="C195" s="157">
        <v>261509240</v>
      </c>
      <c r="D195" s="166"/>
      <c r="E195" s="171">
        <v>1</v>
      </c>
      <c r="F195" s="208" t="s">
        <v>601</v>
      </c>
      <c r="G195" s="157" t="s">
        <v>284</v>
      </c>
      <c r="H195" s="152" t="s">
        <v>607</v>
      </c>
      <c r="I195" s="156" t="s">
        <v>608</v>
      </c>
      <c r="J195" s="206" t="s">
        <v>433</v>
      </c>
      <c r="K195" s="206" t="s">
        <v>39</v>
      </c>
      <c r="L195" s="201" t="s">
        <v>613</v>
      </c>
      <c r="M195" s="165">
        <v>1450000</v>
      </c>
      <c r="N195" s="185"/>
      <c r="O195" s="160">
        <f t="shared" si="13"/>
        <v>6700000</v>
      </c>
      <c r="P195" s="187"/>
      <c r="Q195" s="187"/>
      <c r="R195" s="188"/>
      <c r="S195" s="160">
        <f t="shared" si="10"/>
        <v>536000</v>
      </c>
      <c r="T195" s="161">
        <f t="shared" si="11"/>
        <v>8686000</v>
      </c>
      <c r="U195" s="152"/>
      <c r="V195" s="162"/>
    </row>
    <row r="196" spans="1:22" s="190" customFormat="1" ht="32.25" customHeight="1" x14ac:dyDescent="0.2">
      <c r="A196" s="155">
        <f t="shared" si="12"/>
        <v>92</v>
      </c>
      <c r="B196" s="163">
        <v>45972</v>
      </c>
      <c r="C196" s="157" t="s">
        <v>1608</v>
      </c>
      <c r="D196" s="166"/>
      <c r="E196" s="171">
        <v>1</v>
      </c>
      <c r="F196" s="152" t="s">
        <v>624</v>
      </c>
      <c r="G196" s="157" t="s">
        <v>248</v>
      </c>
      <c r="H196" s="152" t="s">
        <v>607</v>
      </c>
      <c r="I196" s="156" t="s">
        <v>608</v>
      </c>
      <c r="J196" s="206" t="s">
        <v>433</v>
      </c>
      <c r="K196" s="206" t="s">
        <v>39</v>
      </c>
      <c r="L196" s="201" t="s">
        <v>614</v>
      </c>
      <c r="M196" s="165">
        <v>1450000</v>
      </c>
      <c r="N196" s="185"/>
      <c r="O196" s="160">
        <f t="shared" si="13"/>
        <v>6700000</v>
      </c>
      <c r="P196" s="187"/>
      <c r="Q196" s="187"/>
      <c r="R196" s="188"/>
      <c r="S196" s="160">
        <f t="shared" si="10"/>
        <v>536000</v>
      </c>
      <c r="T196" s="161">
        <f t="shared" si="11"/>
        <v>8686000</v>
      </c>
      <c r="U196" s="152"/>
      <c r="V196" s="162"/>
    </row>
    <row r="197" spans="1:22" s="190" customFormat="1" ht="32.25" customHeight="1" x14ac:dyDescent="0.2">
      <c r="A197" s="155">
        <f t="shared" si="12"/>
        <v>93</v>
      </c>
      <c r="B197" s="163">
        <v>45972</v>
      </c>
      <c r="C197" s="171" t="s">
        <v>1608</v>
      </c>
      <c r="D197" s="171"/>
      <c r="E197" s="171">
        <v>1</v>
      </c>
      <c r="F197" s="157" t="s">
        <v>618</v>
      </c>
      <c r="G197" s="157" t="s">
        <v>616</v>
      </c>
      <c r="H197" s="152" t="s">
        <v>180</v>
      </c>
      <c r="I197" s="156" t="s">
        <v>181</v>
      </c>
      <c r="J197" s="171" t="s">
        <v>39</v>
      </c>
      <c r="K197" s="171" t="s">
        <v>617</v>
      </c>
      <c r="L197" s="200">
        <v>223273</v>
      </c>
      <c r="M197" s="165">
        <v>1500000</v>
      </c>
      <c r="N197" s="185"/>
      <c r="O197" s="160">
        <f>4500000+300000</f>
        <v>4800000</v>
      </c>
      <c r="P197" s="187"/>
      <c r="Q197" s="187"/>
      <c r="R197" s="188"/>
      <c r="S197" s="160">
        <f t="shared" si="10"/>
        <v>384000</v>
      </c>
      <c r="T197" s="161">
        <f t="shared" si="11"/>
        <v>6684000</v>
      </c>
      <c r="U197" s="152"/>
      <c r="V197" s="162"/>
    </row>
    <row r="198" spans="1:22" s="190" customFormat="1" ht="32.25" customHeight="1" x14ac:dyDescent="0.2">
      <c r="A198" s="155">
        <f t="shared" si="12"/>
        <v>94</v>
      </c>
      <c r="B198" s="163">
        <v>45972</v>
      </c>
      <c r="C198" s="171" t="s">
        <v>1608</v>
      </c>
      <c r="D198" s="171"/>
      <c r="E198" s="171">
        <v>1</v>
      </c>
      <c r="F198" s="157" t="s">
        <v>621</v>
      </c>
      <c r="G198" s="157" t="s">
        <v>619</v>
      </c>
      <c r="H198" s="152" t="s">
        <v>298</v>
      </c>
      <c r="I198" s="156" t="s">
        <v>299</v>
      </c>
      <c r="J198" s="171" t="s">
        <v>39</v>
      </c>
      <c r="K198" s="157" t="s">
        <v>461</v>
      </c>
      <c r="L198" s="201" t="s">
        <v>620</v>
      </c>
      <c r="M198" s="165">
        <v>1500000</v>
      </c>
      <c r="N198" s="185"/>
      <c r="O198" s="160">
        <v>5300000</v>
      </c>
      <c r="P198" s="187"/>
      <c r="Q198" s="187"/>
      <c r="R198" s="188"/>
      <c r="S198" s="160">
        <f t="shared" si="10"/>
        <v>424000</v>
      </c>
      <c r="T198" s="161">
        <f t="shared" si="11"/>
        <v>7224000</v>
      </c>
      <c r="U198" s="152"/>
      <c r="V198" s="162"/>
    </row>
    <row r="199" spans="1:22" s="190" customFormat="1" ht="32.25" customHeight="1" x14ac:dyDescent="0.2">
      <c r="A199" s="155">
        <f t="shared" si="12"/>
        <v>95</v>
      </c>
      <c r="B199" s="163">
        <v>45972</v>
      </c>
      <c r="C199" s="171" t="s">
        <v>632</v>
      </c>
      <c r="D199" s="166"/>
      <c r="E199" s="171">
        <v>1</v>
      </c>
      <c r="F199" s="157" t="s">
        <v>633</v>
      </c>
      <c r="G199" s="157" t="s">
        <v>622</v>
      </c>
      <c r="H199" s="152" t="s">
        <v>298</v>
      </c>
      <c r="I199" s="156" t="s">
        <v>299</v>
      </c>
      <c r="J199" s="171" t="s">
        <v>39</v>
      </c>
      <c r="K199" s="157" t="s">
        <v>461</v>
      </c>
      <c r="L199" s="201" t="s">
        <v>623</v>
      </c>
      <c r="M199" s="165">
        <v>1500000</v>
      </c>
      <c r="N199" s="185"/>
      <c r="O199" s="160">
        <v>5300000</v>
      </c>
      <c r="P199" s="187"/>
      <c r="Q199" s="187"/>
      <c r="R199" s="188"/>
      <c r="S199" s="160">
        <f t="shared" si="10"/>
        <v>424000</v>
      </c>
      <c r="T199" s="161">
        <f t="shared" si="11"/>
        <v>7224000</v>
      </c>
      <c r="U199" s="152"/>
      <c r="V199" s="162"/>
    </row>
    <row r="200" spans="1:22" s="190" customFormat="1" ht="32.25" customHeight="1" x14ac:dyDescent="0.2">
      <c r="A200" s="155">
        <f t="shared" si="12"/>
        <v>96</v>
      </c>
      <c r="B200" s="163">
        <v>45972</v>
      </c>
      <c r="C200" s="171" t="s">
        <v>635</v>
      </c>
      <c r="D200" s="166"/>
      <c r="E200" s="171">
        <v>1</v>
      </c>
      <c r="F200" s="157" t="s">
        <v>638</v>
      </c>
      <c r="G200" s="152" t="s">
        <v>225</v>
      </c>
      <c r="H200" s="152" t="s">
        <v>298</v>
      </c>
      <c r="I200" s="156" t="s">
        <v>299</v>
      </c>
      <c r="J200" s="171" t="s">
        <v>39</v>
      </c>
      <c r="K200" s="157" t="s">
        <v>461</v>
      </c>
      <c r="L200" s="201" t="s">
        <v>625</v>
      </c>
      <c r="M200" s="165">
        <v>1500000</v>
      </c>
      <c r="N200" s="185"/>
      <c r="O200" s="160">
        <v>5300000</v>
      </c>
      <c r="P200" s="187"/>
      <c r="Q200" s="187"/>
      <c r="R200" s="188"/>
      <c r="S200" s="160">
        <f t="shared" si="10"/>
        <v>424000</v>
      </c>
      <c r="T200" s="161">
        <f t="shared" si="11"/>
        <v>7224000</v>
      </c>
      <c r="U200" s="152"/>
      <c r="V200" s="162"/>
    </row>
    <row r="201" spans="1:22" s="190" customFormat="1" ht="32.25" customHeight="1" x14ac:dyDescent="0.2">
      <c r="A201" s="155">
        <f t="shared" si="12"/>
        <v>97</v>
      </c>
      <c r="B201" s="163">
        <v>45972</v>
      </c>
      <c r="C201" s="157" t="s">
        <v>635</v>
      </c>
      <c r="D201" s="171"/>
      <c r="E201" s="171">
        <v>1</v>
      </c>
      <c r="F201" s="157" t="s">
        <v>636</v>
      </c>
      <c r="G201" s="152" t="s">
        <v>305</v>
      </c>
      <c r="H201" s="152" t="s">
        <v>298</v>
      </c>
      <c r="I201" s="156" t="s">
        <v>299</v>
      </c>
      <c r="J201" s="206" t="s">
        <v>441</v>
      </c>
      <c r="K201" s="157" t="s">
        <v>461</v>
      </c>
      <c r="L201" s="201" t="s">
        <v>627</v>
      </c>
      <c r="M201" s="165">
        <v>1500000</v>
      </c>
      <c r="N201" s="185"/>
      <c r="O201" s="160">
        <f>5300000+260000</f>
        <v>5560000</v>
      </c>
      <c r="P201" s="187"/>
      <c r="Q201" s="187"/>
      <c r="R201" s="188"/>
      <c r="S201" s="160">
        <f t="shared" si="10"/>
        <v>444800</v>
      </c>
      <c r="T201" s="161">
        <f t="shared" si="11"/>
        <v>7504800</v>
      </c>
      <c r="U201" s="152"/>
      <c r="V201" s="162"/>
    </row>
    <row r="202" spans="1:22" s="190" customFormat="1" ht="32.25" customHeight="1" x14ac:dyDescent="0.2">
      <c r="A202" s="155">
        <f t="shared" si="12"/>
        <v>98</v>
      </c>
      <c r="B202" s="163">
        <v>45972</v>
      </c>
      <c r="C202" s="157">
        <v>260736601</v>
      </c>
      <c r="D202" s="166"/>
      <c r="E202" s="171">
        <v>1</v>
      </c>
      <c r="F202" s="157" t="s">
        <v>1138</v>
      </c>
      <c r="G202" s="152" t="s">
        <v>222</v>
      </c>
      <c r="H202" s="152" t="s">
        <v>298</v>
      </c>
      <c r="I202" s="156" t="s">
        <v>299</v>
      </c>
      <c r="J202" s="206" t="s">
        <v>441</v>
      </c>
      <c r="K202" s="157" t="s">
        <v>461</v>
      </c>
      <c r="L202" s="201" t="s">
        <v>629</v>
      </c>
      <c r="M202" s="165">
        <v>1500000</v>
      </c>
      <c r="N202" s="185"/>
      <c r="O202" s="160">
        <f t="shared" ref="O202:O203" si="14">5300000+260000</f>
        <v>5560000</v>
      </c>
      <c r="P202" s="187"/>
      <c r="Q202" s="187"/>
      <c r="R202" s="188"/>
      <c r="S202" s="160">
        <f t="shared" si="10"/>
        <v>444800</v>
      </c>
      <c r="T202" s="161">
        <f t="shared" si="11"/>
        <v>7504800</v>
      </c>
      <c r="U202" s="152"/>
      <c r="V202" s="162"/>
    </row>
    <row r="203" spans="1:22" s="190" customFormat="1" ht="32.25" customHeight="1" x14ac:dyDescent="0.2">
      <c r="A203" s="155">
        <f t="shared" si="12"/>
        <v>99</v>
      </c>
      <c r="B203" s="163">
        <v>45972</v>
      </c>
      <c r="C203" s="157">
        <v>257754105</v>
      </c>
      <c r="D203" s="166"/>
      <c r="E203" s="171">
        <v>1</v>
      </c>
      <c r="F203" s="171" t="s">
        <v>628</v>
      </c>
      <c r="G203" s="152" t="s">
        <v>204</v>
      </c>
      <c r="H203" s="152" t="s">
        <v>298</v>
      </c>
      <c r="I203" s="156" t="s">
        <v>299</v>
      </c>
      <c r="J203" s="206" t="s">
        <v>441</v>
      </c>
      <c r="K203" s="157" t="s">
        <v>461</v>
      </c>
      <c r="L203" s="201" t="s">
        <v>631</v>
      </c>
      <c r="M203" s="165">
        <v>1500000</v>
      </c>
      <c r="N203" s="185"/>
      <c r="O203" s="160">
        <f t="shared" si="14"/>
        <v>5560000</v>
      </c>
      <c r="P203" s="187"/>
      <c r="Q203" s="187"/>
      <c r="R203" s="188"/>
      <c r="S203" s="160">
        <f t="shared" si="10"/>
        <v>444800</v>
      </c>
      <c r="T203" s="161">
        <f t="shared" si="11"/>
        <v>7504800</v>
      </c>
      <c r="U203" s="152" t="s">
        <v>176</v>
      </c>
      <c r="V203" s="162"/>
    </row>
    <row r="204" spans="1:22" s="190" customFormat="1" ht="32.25" customHeight="1" x14ac:dyDescent="0.2">
      <c r="A204" s="155">
        <f t="shared" si="12"/>
        <v>100</v>
      </c>
      <c r="B204" s="163">
        <v>45972</v>
      </c>
      <c r="C204" s="157">
        <v>257754105</v>
      </c>
      <c r="D204" s="166"/>
      <c r="E204" s="171">
        <v>1</v>
      </c>
      <c r="F204" s="157" t="s">
        <v>630</v>
      </c>
      <c r="G204" s="152" t="s">
        <v>302</v>
      </c>
      <c r="H204" s="152" t="s">
        <v>180</v>
      </c>
      <c r="I204" s="156" t="s">
        <v>181</v>
      </c>
      <c r="J204" s="171" t="s">
        <v>39</v>
      </c>
      <c r="K204" s="157" t="s">
        <v>174</v>
      </c>
      <c r="L204" s="201" t="s">
        <v>634</v>
      </c>
      <c r="M204" s="165">
        <v>1500000</v>
      </c>
      <c r="N204" s="185"/>
      <c r="O204" s="160">
        <v>4500000</v>
      </c>
      <c r="P204" s="187"/>
      <c r="Q204" s="187"/>
      <c r="R204" s="188"/>
      <c r="S204" s="160">
        <f t="shared" si="10"/>
        <v>360000</v>
      </c>
      <c r="T204" s="161">
        <f t="shared" si="11"/>
        <v>6360000</v>
      </c>
      <c r="U204" s="152"/>
      <c r="V204" s="162"/>
    </row>
    <row r="205" spans="1:22" s="190" customFormat="1" ht="32.25" customHeight="1" x14ac:dyDescent="0.2">
      <c r="A205" s="155">
        <f t="shared" si="12"/>
        <v>101</v>
      </c>
      <c r="B205" s="163">
        <v>45972</v>
      </c>
      <c r="C205" s="171">
        <v>257754105</v>
      </c>
      <c r="D205" s="171"/>
      <c r="E205" s="171">
        <v>1</v>
      </c>
      <c r="F205" s="157" t="s">
        <v>626</v>
      </c>
      <c r="G205" s="174" t="s">
        <v>254</v>
      </c>
      <c r="H205" s="152" t="s">
        <v>255</v>
      </c>
      <c r="I205" s="155" t="s">
        <v>256</v>
      </c>
      <c r="J205" s="171" t="s">
        <v>39</v>
      </c>
      <c r="K205" s="157" t="s">
        <v>174</v>
      </c>
      <c r="L205" s="201" t="s">
        <v>637</v>
      </c>
      <c r="M205" s="165">
        <v>1500000</v>
      </c>
      <c r="N205" s="185"/>
      <c r="O205" s="160">
        <v>4500000</v>
      </c>
      <c r="P205" s="187"/>
      <c r="Q205" s="187"/>
      <c r="R205" s="188"/>
      <c r="S205" s="160">
        <f t="shared" si="10"/>
        <v>360000</v>
      </c>
      <c r="T205" s="161">
        <f t="shared" si="11"/>
        <v>6360000</v>
      </c>
      <c r="U205" s="152"/>
      <c r="V205" s="162"/>
    </row>
    <row r="206" spans="1:22" s="190" customFormat="1" ht="32.25" customHeight="1" x14ac:dyDescent="0.2">
      <c r="A206" s="155">
        <f t="shared" si="12"/>
        <v>102</v>
      </c>
      <c r="B206" s="163">
        <v>45972</v>
      </c>
      <c r="C206" s="171">
        <v>261509311</v>
      </c>
      <c r="D206" s="166"/>
      <c r="E206" s="171">
        <v>1</v>
      </c>
      <c r="F206" s="157" t="s">
        <v>606</v>
      </c>
      <c r="G206" s="157" t="s">
        <v>354</v>
      </c>
      <c r="H206" s="152" t="s">
        <v>255</v>
      </c>
      <c r="I206" s="155" t="s">
        <v>256</v>
      </c>
      <c r="J206" s="171" t="s">
        <v>39</v>
      </c>
      <c r="K206" s="157" t="s">
        <v>174</v>
      </c>
      <c r="L206" s="201" t="s">
        <v>639</v>
      </c>
      <c r="M206" s="165">
        <v>1500000</v>
      </c>
      <c r="N206" s="185"/>
      <c r="O206" s="160">
        <v>4500000</v>
      </c>
      <c r="P206" s="187"/>
      <c r="Q206" s="187"/>
      <c r="R206" s="188"/>
      <c r="S206" s="160">
        <f t="shared" si="10"/>
        <v>360000</v>
      </c>
      <c r="T206" s="161">
        <f t="shared" si="11"/>
        <v>6360000</v>
      </c>
      <c r="U206" s="152"/>
      <c r="V206" s="162"/>
    </row>
    <row r="207" spans="1:22" s="190" customFormat="1" ht="32.25" customHeight="1" x14ac:dyDescent="0.2">
      <c r="A207" s="155">
        <f t="shared" si="12"/>
        <v>103</v>
      </c>
      <c r="B207" s="163">
        <v>46002</v>
      </c>
      <c r="C207" s="157" t="s">
        <v>665</v>
      </c>
      <c r="D207" s="166"/>
      <c r="E207" s="171">
        <v>1</v>
      </c>
      <c r="F207" s="157" t="s">
        <v>666</v>
      </c>
      <c r="G207" s="157" t="s">
        <v>619</v>
      </c>
      <c r="H207" s="152" t="s">
        <v>172</v>
      </c>
      <c r="I207" s="156" t="s">
        <v>173</v>
      </c>
      <c r="J207" s="171" t="s">
        <v>281</v>
      </c>
      <c r="K207" s="157" t="s">
        <v>39</v>
      </c>
      <c r="L207" s="201" t="s">
        <v>641</v>
      </c>
      <c r="M207" s="165">
        <v>1500000</v>
      </c>
      <c r="N207" s="185"/>
      <c r="O207" s="160">
        <v>2700000</v>
      </c>
      <c r="P207" s="187"/>
      <c r="Q207" s="187"/>
      <c r="R207" s="188"/>
      <c r="S207" s="160">
        <f t="shared" si="10"/>
        <v>216000</v>
      </c>
      <c r="T207" s="161">
        <f t="shared" si="11"/>
        <v>4416000</v>
      </c>
      <c r="U207" s="152"/>
      <c r="V207" s="162"/>
    </row>
    <row r="208" spans="1:22" s="190" customFormat="1" ht="32.25" customHeight="1" x14ac:dyDescent="0.2">
      <c r="A208" s="155">
        <f t="shared" si="12"/>
        <v>104</v>
      </c>
      <c r="B208" s="163">
        <v>46002</v>
      </c>
      <c r="C208" s="157" t="s">
        <v>665</v>
      </c>
      <c r="D208" s="166"/>
      <c r="E208" s="171">
        <v>1</v>
      </c>
      <c r="F208" s="157"/>
      <c r="G208" s="152" t="s">
        <v>302</v>
      </c>
      <c r="H208" s="152" t="s">
        <v>172</v>
      </c>
      <c r="I208" s="156" t="s">
        <v>173</v>
      </c>
      <c r="J208" s="171" t="s">
        <v>281</v>
      </c>
      <c r="K208" s="157" t="s">
        <v>39</v>
      </c>
      <c r="L208" s="201" t="s">
        <v>643</v>
      </c>
      <c r="M208" s="165">
        <v>1500000</v>
      </c>
      <c r="N208" s="185"/>
      <c r="O208" s="160">
        <v>2700000</v>
      </c>
      <c r="P208" s="187"/>
      <c r="Q208" s="187"/>
      <c r="R208" s="188"/>
      <c r="S208" s="160">
        <f t="shared" si="10"/>
        <v>216000</v>
      </c>
      <c r="T208" s="161">
        <f t="shared" si="11"/>
        <v>4416000</v>
      </c>
      <c r="U208" s="152" t="s">
        <v>176</v>
      </c>
      <c r="V208" s="162"/>
    </row>
    <row r="209" spans="1:22" s="190" customFormat="1" ht="32.25" customHeight="1" x14ac:dyDescent="0.2">
      <c r="A209" s="155">
        <f t="shared" si="12"/>
        <v>105</v>
      </c>
      <c r="B209" s="163">
        <v>46002</v>
      </c>
      <c r="C209" s="157" t="s">
        <v>665</v>
      </c>
      <c r="D209" s="166"/>
      <c r="E209" s="171">
        <v>1</v>
      </c>
      <c r="F209" s="157" t="s">
        <v>667</v>
      </c>
      <c r="G209" s="152" t="s">
        <v>308</v>
      </c>
      <c r="H209" s="152" t="s">
        <v>172</v>
      </c>
      <c r="I209" s="156" t="s">
        <v>173</v>
      </c>
      <c r="J209" s="206" t="s">
        <v>39</v>
      </c>
      <c r="K209" s="179" t="s">
        <v>645</v>
      </c>
      <c r="L209" s="201" t="s">
        <v>646</v>
      </c>
      <c r="M209" s="165">
        <v>1500000</v>
      </c>
      <c r="N209" s="185"/>
      <c r="O209" s="160">
        <v>2700000</v>
      </c>
      <c r="P209" s="187"/>
      <c r="Q209" s="187"/>
      <c r="R209" s="188"/>
      <c r="S209" s="160">
        <f t="shared" si="10"/>
        <v>216000</v>
      </c>
      <c r="T209" s="161">
        <f t="shared" si="11"/>
        <v>4416000</v>
      </c>
      <c r="U209" s="152"/>
      <c r="V209" s="162"/>
    </row>
    <row r="210" spans="1:22" s="190" customFormat="1" ht="32.25" customHeight="1" x14ac:dyDescent="0.2">
      <c r="A210" s="155">
        <f t="shared" si="12"/>
        <v>106</v>
      </c>
      <c r="B210" s="163">
        <v>46002</v>
      </c>
      <c r="C210" s="157">
        <v>261670478</v>
      </c>
      <c r="D210" s="166"/>
      <c r="E210" s="171">
        <v>1</v>
      </c>
      <c r="F210" s="157" t="s">
        <v>668</v>
      </c>
      <c r="G210" s="152" t="s">
        <v>204</v>
      </c>
      <c r="H210" s="152" t="s">
        <v>298</v>
      </c>
      <c r="I210" s="156" t="s">
        <v>299</v>
      </c>
      <c r="J210" s="197" t="s">
        <v>39</v>
      </c>
      <c r="K210" s="157" t="s">
        <v>174</v>
      </c>
      <c r="L210" s="201" t="s">
        <v>649</v>
      </c>
      <c r="M210" s="165">
        <v>1500000</v>
      </c>
      <c r="N210" s="185"/>
      <c r="O210" s="160">
        <v>5300000</v>
      </c>
      <c r="P210" s="187"/>
      <c r="Q210" s="187"/>
      <c r="R210" s="188"/>
      <c r="S210" s="160">
        <f t="shared" ref="S210:S273" si="15">O210*0.08</f>
        <v>424000</v>
      </c>
      <c r="T210" s="161">
        <f t="shared" si="11"/>
        <v>7224000</v>
      </c>
      <c r="U210" s="152"/>
      <c r="V210" s="162"/>
    </row>
    <row r="211" spans="1:22" s="190" customFormat="1" ht="32.25" customHeight="1" x14ac:dyDescent="0.2">
      <c r="A211" s="155">
        <f t="shared" si="12"/>
        <v>107</v>
      </c>
      <c r="B211" s="163">
        <v>46002</v>
      </c>
      <c r="C211" s="157">
        <v>261670478</v>
      </c>
      <c r="D211" s="166"/>
      <c r="E211" s="171">
        <v>1</v>
      </c>
      <c r="F211" s="157"/>
      <c r="G211" s="152" t="s">
        <v>171</v>
      </c>
      <c r="H211" s="152" t="s">
        <v>298</v>
      </c>
      <c r="I211" s="156" t="s">
        <v>299</v>
      </c>
      <c r="J211" s="197" t="s">
        <v>39</v>
      </c>
      <c r="K211" s="157" t="s">
        <v>174</v>
      </c>
      <c r="L211" s="201" t="s">
        <v>651</v>
      </c>
      <c r="M211" s="165">
        <v>1500000</v>
      </c>
      <c r="N211" s="185">
        <v>950000</v>
      </c>
      <c r="O211" s="160">
        <v>5300000</v>
      </c>
      <c r="P211" s="187"/>
      <c r="Q211" s="187"/>
      <c r="R211" s="188"/>
      <c r="S211" s="160">
        <f t="shared" si="15"/>
        <v>424000</v>
      </c>
      <c r="T211" s="161">
        <f t="shared" si="11"/>
        <v>8174000</v>
      </c>
      <c r="U211" s="152"/>
      <c r="V211" s="162"/>
    </row>
    <row r="212" spans="1:22" s="190" customFormat="1" ht="32.25" customHeight="1" x14ac:dyDescent="0.2">
      <c r="A212" s="155">
        <f t="shared" si="12"/>
        <v>108</v>
      </c>
      <c r="B212" s="163">
        <v>46002</v>
      </c>
      <c r="C212" s="157">
        <v>259939738</v>
      </c>
      <c r="D212" s="166"/>
      <c r="E212" s="171">
        <v>1</v>
      </c>
      <c r="F212" s="171" t="s">
        <v>640</v>
      </c>
      <c r="G212" s="152" t="s">
        <v>225</v>
      </c>
      <c r="H212" s="152" t="s">
        <v>298</v>
      </c>
      <c r="I212" s="156" t="s">
        <v>299</v>
      </c>
      <c r="J212" s="197" t="s">
        <v>39</v>
      </c>
      <c r="K212" s="157" t="s">
        <v>174</v>
      </c>
      <c r="L212" s="201" t="s">
        <v>653</v>
      </c>
      <c r="M212" s="165">
        <v>1500000</v>
      </c>
      <c r="N212" s="185"/>
      <c r="O212" s="160">
        <v>5300000</v>
      </c>
      <c r="P212" s="187"/>
      <c r="Q212" s="187"/>
      <c r="R212" s="188"/>
      <c r="S212" s="160">
        <f t="shared" si="15"/>
        <v>424000</v>
      </c>
      <c r="T212" s="161">
        <f t="shared" ref="T212:T275" si="16">S212+P212+O212+N212+M212</f>
        <v>7224000</v>
      </c>
      <c r="U212" s="152"/>
      <c r="V212" s="162"/>
    </row>
    <row r="213" spans="1:22" s="190" customFormat="1" ht="32.25" customHeight="1" x14ac:dyDescent="0.2">
      <c r="A213" s="155">
        <f t="shared" si="12"/>
        <v>109</v>
      </c>
      <c r="B213" s="163">
        <v>46002</v>
      </c>
      <c r="C213" s="171">
        <v>259939738</v>
      </c>
      <c r="D213" s="171"/>
      <c r="E213" s="171">
        <v>1</v>
      </c>
      <c r="F213" s="157" t="s">
        <v>642</v>
      </c>
      <c r="G213" s="152" t="s">
        <v>213</v>
      </c>
      <c r="H213" s="152" t="s">
        <v>180</v>
      </c>
      <c r="I213" s="156" t="s">
        <v>181</v>
      </c>
      <c r="J213" s="197" t="s">
        <v>39</v>
      </c>
      <c r="K213" s="179" t="s">
        <v>361</v>
      </c>
      <c r="L213" s="201" t="s">
        <v>655</v>
      </c>
      <c r="M213" s="165">
        <v>1450000</v>
      </c>
      <c r="N213" s="185"/>
      <c r="O213" s="160">
        <v>4500000</v>
      </c>
      <c r="P213" s="187"/>
      <c r="Q213" s="187"/>
      <c r="R213" s="188"/>
      <c r="S213" s="160">
        <f t="shared" si="15"/>
        <v>360000</v>
      </c>
      <c r="T213" s="161">
        <f t="shared" si="16"/>
        <v>6310000</v>
      </c>
      <c r="U213" s="152"/>
      <c r="V213" s="162"/>
    </row>
    <row r="214" spans="1:22" s="190" customFormat="1" ht="32.25" customHeight="1" x14ac:dyDescent="0.2">
      <c r="A214" s="155">
        <f t="shared" si="12"/>
        <v>110</v>
      </c>
      <c r="B214" s="163">
        <v>46002</v>
      </c>
      <c r="C214" s="171">
        <v>259939738</v>
      </c>
      <c r="D214" s="166"/>
      <c r="E214" s="171">
        <v>1</v>
      </c>
      <c r="F214" s="157" t="s">
        <v>658</v>
      </c>
      <c r="G214" s="152" t="s">
        <v>216</v>
      </c>
      <c r="H214" s="152" t="s">
        <v>180</v>
      </c>
      <c r="I214" s="156" t="s">
        <v>181</v>
      </c>
      <c r="J214" s="197" t="s">
        <v>39</v>
      </c>
      <c r="K214" s="179" t="s">
        <v>361</v>
      </c>
      <c r="L214" s="201" t="s">
        <v>657</v>
      </c>
      <c r="M214" s="165">
        <v>1450000</v>
      </c>
      <c r="N214" s="185"/>
      <c r="O214" s="160">
        <v>4500000</v>
      </c>
      <c r="P214" s="187"/>
      <c r="Q214" s="187"/>
      <c r="R214" s="188"/>
      <c r="S214" s="160">
        <f t="shared" si="15"/>
        <v>360000</v>
      </c>
      <c r="T214" s="161">
        <f t="shared" si="16"/>
        <v>6310000</v>
      </c>
      <c r="U214" s="152"/>
      <c r="V214" s="162"/>
    </row>
    <row r="215" spans="1:22" s="190" customFormat="1" ht="32.25" customHeight="1" x14ac:dyDescent="0.2">
      <c r="A215" s="155">
        <f t="shared" si="12"/>
        <v>111</v>
      </c>
      <c r="B215" s="163">
        <v>46002</v>
      </c>
      <c r="C215" s="171">
        <v>259939738</v>
      </c>
      <c r="D215" s="166"/>
      <c r="E215" s="171">
        <v>1</v>
      </c>
      <c r="F215" s="157" t="s">
        <v>654</v>
      </c>
      <c r="G215" s="152" t="s">
        <v>341</v>
      </c>
      <c r="H215" s="152" t="s">
        <v>180</v>
      </c>
      <c r="I215" s="156" t="s">
        <v>181</v>
      </c>
      <c r="J215" s="197" t="s">
        <v>39</v>
      </c>
      <c r="K215" s="179" t="s">
        <v>361</v>
      </c>
      <c r="L215" s="189" t="s">
        <v>659</v>
      </c>
      <c r="M215" s="165">
        <v>1450000</v>
      </c>
      <c r="N215" s="185"/>
      <c r="O215" s="160">
        <v>4500000</v>
      </c>
      <c r="P215" s="187"/>
      <c r="Q215" s="187"/>
      <c r="R215" s="188"/>
      <c r="S215" s="160">
        <f t="shared" si="15"/>
        <v>360000</v>
      </c>
      <c r="T215" s="161">
        <f t="shared" si="16"/>
        <v>6310000</v>
      </c>
      <c r="U215" s="152"/>
      <c r="V215" s="162"/>
    </row>
    <row r="216" spans="1:22" s="190" customFormat="1" ht="32.25" customHeight="1" x14ac:dyDescent="0.2">
      <c r="A216" s="155">
        <f t="shared" si="12"/>
        <v>112</v>
      </c>
      <c r="B216" s="163">
        <v>46002</v>
      </c>
      <c r="C216" s="171" t="s">
        <v>647</v>
      </c>
      <c r="D216" s="166"/>
      <c r="E216" s="171">
        <v>1</v>
      </c>
      <c r="F216" s="157" t="s">
        <v>660</v>
      </c>
      <c r="G216" s="152" t="s">
        <v>368</v>
      </c>
      <c r="H216" s="152" t="s">
        <v>180</v>
      </c>
      <c r="I216" s="156" t="s">
        <v>181</v>
      </c>
      <c r="J216" s="209" t="s">
        <v>39</v>
      </c>
      <c r="K216" s="179" t="s">
        <v>361</v>
      </c>
      <c r="L216" s="201" t="s">
        <v>661</v>
      </c>
      <c r="M216" s="165">
        <v>1450000</v>
      </c>
      <c r="N216" s="185"/>
      <c r="O216" s="160">
        <v>4500000</v>
      </c>
      <c r="P216" s="187"/>
      <c r="Q216" s="187"/>
      <c r="R216" s="188"/>
      <c r="S216" s="160">
        <f t="shared" si="15"/>
        <v>360000</v>
      </c>
      <c r="T216" s="161">
        <f t="shared" si="16"/>
        <v>6310000</v>
      </c>
      <c r="U216" s="152"/>
      <c r="V216" s="162"/>
    </row>
    <row r="217" spans="1:22" s="190" customFormat="1" ht="32.25" customHeight="1" x14ac:dyDescent="0.2">
      <c r="A217" s="155">
        <f t="shared" si="12"/>
        <v>113</v>
      </c>
      <c r="B217" s="163">
        <v>46002</v>
      </c>
      <c r="C217" s="157" t="s">
        <v>647</v>
      </c>
      <c r="D217" s="166"/>
      <c r="E217" s="171">
        <v>1</v>
      </c>
      <c r="F217" s="157" t="s">
        <v>656</v>
      </c>
      <c r="G217" s="152" t="s">
        <v>222</v>
      </c>
      <c r="H217" s="164" t="s">
        <v>662</v>
      </c>
      <c r="I217" s="156" t="s">
        <v>173</v>
      </c>
      <c r="J217" s="156" t="s">
        <v>39</v>
      </c>
      <c r="K217" s="157" t="s">
        <v>645</v>
      </c>
      <c r="L217" s="201" t="s">
        <v>663</v>
      </c>
      <c r="M217" s="165">
        <v>1500000</v>
      </c>
      <c r="N217" s="185"/>
      <c r="O217" s="160">
        <v>1890000</v>
      </c>
      <c r="P217" s="187"/>
      <c r="Q217" s="187"/>
      <c r="R217" s="188"/>
      <c r="S217" s="160">
        <f t="shared" si="15"/>
        <v>151200</v>
      </c>
      <c r="T217" s="161">
        <f t="shared" si="16"/>
        <v>3541200</v>
      </c>
      <c r="U217" s="152" t="s">
        <v>176</v>
      </c>
      <c r="V217" s="162"/>
    </row>
    <row r="218" spans="1:22" s="190" customFormat="1" ht="32.25" customHeight="1" x14ac:dyDescent="0.2">
      <c r="A218" s="155">
        <f t="shared" si="12"/>
        <v>114</v>
      </c>
      <c r="B218" s="163">
        <v>46002</v>
      </c>
      <c r="C218" s="157" t="s">
        <v>647</v>
      </c>
      <c r="D218" s="166"/>
      <c r="E218" s="171">
        <v>1</v>
      </c>
      <c r="F218" s="157" t="s">
        <v>648</v>
      </c>
      <c r="G218" s="152" t="s">
        <v>213</v>
      </c>
      <c r="H218" s="164" t="s">
        <v>662</v>
      </c>
      <c r="I218" s="156" t="s">
        <v>173</v>
      </c>
      <c r="J218" s="156" t="s">
        <v>39</v>
      </c>
      <c r="K218" s="157" t="s">
        <v>645</v>
      </c>
      <c r="L218" s="201" t="s">
        <v>664</v>
      </c>
      <c r="M218" s="165">
        <v>1500000</v>
      </c>
      <c r="N218" s="185"/>
      <c r="O218" s="160">
        <v>1890000</v>
      </c>
      <c r="P218" s="187"/>
      <c r="Q218" s="187"/>
      <c r="R218" s="188"/>
      <c r="S218" s="160">
        <f t="shared" si="15"/>
        <v>151200</v>
      </c>
      <c r="T218" s="161">
        <f t="shared" si="16"/>
        <v>3541200</v>
      </c>
      <c r="U218" s="152"/>
      <c r="V218" s="162"/>
    </row>
    <row r="219" spans="1:22" s="190" customFormat="1" ht="32.25" customHeight="1" x14ac:dyDescent="0.2">
      <c r="A219" s="155">
        <f t="shared" si="12"/>
        <v>115</v>
      </c>
      <c r="B219" s="163">
        <v>46002</v>
      </c>
      <c r="C219" s="157">
        <v>259011478</v>
      </c>
      <c r="D219" s="166"/>
      <c r="E219" s="171">
        <v>1</v>
      </c>
      <c r="F219" s="157" t="s">
        <v>650</v>
      </c>
      <c r="G219" s="152" t="s">
        <v>341</v>
      </c>
      <c r="H219" s="152" t="s">
        <v>172</v>
      </c>
      <c r="I219" s="156" t="s">
        <v>173</v>
      </c>
      <c r="J219" s="197" t="s">
        <v>480</v>
      </c>
      <c r="K219" s="157" t="s">
        <v>39</v>
      </c>
      <c r="L219" s="200">
        <v>86248</v>
      </c>
      <c r="M219" s="165">
        <v>1500000</v>
      </c>
      <c r="N219" s="185"/>
      <c r="O219" s="160">
        <v>2700000</v>
      </c>
      <c r="P219" s="187"/>
      <c r="Q219" s="187"/>
      <c r="R219" s="188"/>
      <c r="S219" s="160">
        <f t="shared" si="15"/>
        <v>216000</v>
      </c>
      <c r="T219" s="161">
        <f t="shared" si="16"/>
        <v>4416000</v>
      </c>
      <c r="U219" s="152"/>
      <c r="V219" s="162"/>
    </row>
    <row r="220" spans="1:22" s="190" customFormat="1" ht="32.25" customHeight="1" x14ac:dyDescent="0.2">
      <c r="A220" s="155">
        <f t="shared" si="12"/>
        <v>116</v>
      </c>
      <c r="B220" s="163">
        <v>46002</v>
      </c>
      <c r="C220" s="157">
        <v>259011478</v>
      </c>
      <c r="D220" s="166"/>
      <c r="E220" s="171">
        <v>1</v>
      </c>
      <c r="F220" s="157" t="s">
        <v>652</v>
      </c>
      <c r="G220" s="152" t="s">
        <v>216</v>
      </c>
      <c r="H220" s="152" t="s">
        <v>172</v>
      </c>
      <c r="I220" s="156" t="s">
        <v>173</v>
      </c>
      <c r="J220" s="197" t="s">
        <v>480</v>
      </c>
      <c r="K220" s="157" t="s">
        <v>39</v>
      </c>
      <c r="L220" s="200">
        <v>86208</v>
      </c>
      <c r="M220" s="165">
        <v>1500000</v>
      </c>
      <c r="N220" s="185"/>
      <c r="O220" s="160">
        <v>2700000</v>
      </c>
      <c r="P220" s="187"/>
      <c r="Q220" s="187"/>
      <c r="R220" s="188"/>
      <c r="S220" s="160">
        <f t="shared" si="15"/>
        <v>216000</v>
      </c>
      <c r="T220" s="161">
        <f t="shared" si="16"/>
        <v>4416000</v>
      </c>
      <c r="U220" s="152"/>
      <c r="V220" s="162"/>
    </row>
    <row r="221" spans="1:22" s="190" customFormat="1" ht="32.25" customHeight="1" x14ac:dyDescent="0.2">
      <c r="A221" s="155">
        <f t="shared" si="12"/>
        <v>117</v>
      </c>
      <c r="B221" s="163">
        <v>46002</v>
      </c>
      <c r="C221" s="157">
        <v>259011434</v>
      </c>
      <c r="D221" s="166"/>
      <c r="E221" s="171">
        <v>1</v>
      </c>
      <c r="F221" s="171" t="s">
        <v>640</v>
      </c>
      <c r="G221" s="152" t="s">
        <v>222</v>
      </c>
      <c r="H221" s="152" t="s">
        <v>172</v>
      </c>
      <c r="I221" s="156" t="s">
        <v>173</v>
      </c>
      <c r="J221" s="197" t="s">
        <v>480</v>
      </c>
      <c r="K221" s="157" t="s">
        <v>39</v>
      </c>
      <c r="L221" s="200">
        <v>86384</v>
      </c>
      <c r="M221" s="165">
        <v>1500000</v>
      </c>
      <c r="N221" s="185"/>
      <c r="O221" s="160">
        <v>2700000</v>
      </c>
      <c r="P221" s="187"/>
      <c r="Q221" s="187"/>
      <c r="R221" s="188"/>
      <c r="S221" s="160">
        <f t="shared" si="15"/>
        <v>216000</v>
      </c>
      <c r="T221" s="161">
        <f t="shared" si="16"/>
        <v>4416000</v>
      </c>
      <c r="U221" s="152"/>
      <c r="V221" s="162"/>
    </row>
    <row r="222" spans="1:22" s="190" customFormat="1" ht="32.25" customHeight="1" x14ac:dyDescent="0.2">
      <c r="A222" s="155">
        <f t="shared" si="12"/>
        <v>118</v>
      </c>
      <c r="B222" s="163" t="s">
        <v>1612</v>
      </c>
      <c r="C222" s="157" t="s">
        <v>681</v>
      </c>
      <c r="D222" s="166"/>
      <c r="E222" s="171">
        <v>1</v>
      </c>
      <c r="F222" s="157" t="s">
        <v>642</v>
      </c>
      <c r="G222" s="152" t="s">
        <v>368</v>
      </c>
      <c r="H222" s="152" t="s">
        <v>172</v>
      </c>
      <c r="I222" s="156" t="s">
        <v>173</v>
      </c>
      <c r="J222" s="156" t="s">
        <v>39</v>
      </c>
      <c r="K222" s="171" t="s">
        <v>433</v>
      </c>
      <c r="L222" s="201" t="s">
        <v>670</v>
      </c>
      <c r="M222" s="165">
        <v>1500000</v>
      </c>
      <c r="N222" s="185"/>
      <c r="O222" s="160">
        <v>2700000</v>
      </c>
      <c r="P222" s="187"/>
      <c r="Q222" s="187"/>
      <c r="R222" s="188"/>
      <c r="S222" s="160">
        <f t="shared" si="15"/>
        <v>216000</v>
      </c>
      <c r="T222" s="161">
        <f t="shared" si="16"/>
        <v>4416000</v>
      </c>
      <c r="U222" s="152"/>
      <c r="V222" s="162"/>
    </row>
    <row r="223" spans="1:22" s="190" customFormat="1" ht="32.25" customHeight="1" x14ac:dyDescent="0.2">
      <c r="A223" s="155">
        <f t="shared" si="12"/>
        <v>119</v>
      </c>
      <c r="B223" s="163" t="s">
        <v>1612</v>
      </c>
      <c r="C223" s="157" t="s">
        <v>681</v>
      </c>
      <c r="D223" s="166"/>
      <c r="E223" s="171">
        <v>1</v>
      </c>
      <c r="F223" s="171" t="s">
        <v>644</v>
      </c>
      <c r="G223" s="152" t="s">
        <v>225</v>
      </c>
      <c r="H223" s="152" t="s">
        <v>172</v>
      </c>
      <c r="I223" s="156" t="s">
        <v>173</v>
      </c>
      <c r="J223" s="156" t="s">
        <v>39</v>
      </c>
      <c r="K223" s="171" t="s">
        <v>433</v>
      </c>
      <c r="L223" s="201" t="s">
        <v>672</v>
      </c>
      <c r="M223" s="165">
        <v>1500000</v>
      </c>
      <c r="N223" s="185"/>
      <c r="O223" s="160">
        <v>2700000</v>
      </c>
      <c r="P223" s="187"/>
      <c r="Q223" s="187"/>
      <c r="R223" s="188"/>
      <c r="S223" s="160">
        <f t="shared" si="15"/>
        <v>216000</v>
      </c>
      <c r="T223" s="161">
        <f t="shared" si="16"/>
        <v>4416000</v>
      </c>
      <c r="U223" s="152"/>
      <c r="V223" s="162"/>
    </row>
    <row r="224" spans="1:22" s="190" customFormat="1" ht="32.25" customHeight="1" x14ac:dyDescent="0.2">
      <c r="A224" s="155">
        <f t="shared" si="12"/>
        <v>120</v>
      </c>
      <c r="B224" s="163" t="s">
        <v>1612</v>
      </c>
      <c r="C224" s="157" t="s">
        <v>681</v>
      </c>
      <c r="D224" s="166"/>
      <c r="E224" s="171">
        <v>1</v>
      </c>
      <c r="F224" s="157" t="s">
        <v>689</v>
      </c>
      <c r="G224" s="152" t="s">
        <v>228</v>
      </c>
      <c r="H224" s="152" t="s">
        <v>172</v>
      </c>
      <c r="I224" s="156" t="s">
        <v>173</v>
      </c>
      <c r="J224" s="156" t="s">
        <v>39</v>
      </c>
      <c r="K224" s="171" t="s">
        <v>433</v>
      </c>
      <c r="L224" s="201" t="s">
        <v>674</v>
      </c>
      <c r="M224" s="165">
        <v>1500000</v>
      </c>
      <c r="N224" s="185"/>
      <c r="O224" s="160">
        <v>2700000</v>
      </c>
      <c r="P224" s="187"/>
      <c r="Q224" s="187"/>
      <c r="R224" s="188"/>
      <c r="S224" s="160">
        <f t="shared" si="15"/>
        <v>216000</v>
      </c>
      <c r="T224" s="161">
        <f t="shared" si="16"/>
        <v>4416000</v>
      </c>
      <c r="U224" s="152"/>
      <c r="V224" s="162"/>
    </row>
    <row r="225" spans="1:22" s="190" customFormat="1" ht="32.25" customHeight="1" x14ac:dyDescent="0.2">
      <c r="A225" s="155">
        <f t="shared" si="12"/>
        <v>121</v>
      </c>
      <c r="B225" s="163" t="s">
        <v>1612</v>
      </c>
      <c r="C225" s="157" t="s">
        <v>681</v>
      </c>
      <c r="D225" s="166"/>
      <c r="E225" s="171">
        <v>1</v>
      </c>
      <c r="F225" s="157" t="s">
        <v>690</v>
      </c>
      <c r="G225" s="152" t="s">
        <v>198</v>
      </c>
      <c r="H225" s="152" t="s">
        <v>172</v>
      </c>
      <c r="I225" s="156" t="s">
        <v>173</v>
      </c>
      <c r="J225" s="156" t="s">
        <v>39</v>
      </c>
      <c r="K225" s="171" t="s">
        <v>433</v>
      </c>
      <c r="L225" s="201" t="s">
        <v>676</v>
      </c>
      <c r="M225" s="165">
        <v>1500000</v>
      </c>
      <c r="N225" s="185"/>
      <c r="O225" s="160">
        <v>2700000</v>
      </c>
      <c r="P225" s="187"/>
      <c r="Q225" s="187"/>
      <c r="R225" s="188"/>
      <c r="S225" s="160">
        <f t="shared" si="15"/>
        <v>216000</v>
      </c>
      <c r="T225" s="161">
        <f t="shared" si="16"/>
        <v>4416000</v>
      </c>
      <c r="U225" s="152"/>
      <c r="V225" s="162"/>
    </row>
    <row r="226" spans="1:22" s="190" customFormat="1" ht="32.25" customHeight="1" x14ac:dyDescent="0.2">
      <c r="A226" s="155">
        <f t="shared" si="12"/>
        <v>122</v>
      </c>
      <c r="B226" s="163" t="s">
        <v>1612</v>
      </c>
      <c r="C226" s="157" t="s">
        <v>681</v>
      </c>
      <c r="D226" s="166"/>
      <c r="E226" s="171">
        <v>1</v>
      </c>
      <c r="F226" s="157" t="s">
        <v>687</v>
      </c>
      <c r="G226" s="152" t="s">
        <v>335</v>
      </c>
      <c r="H226" s="152" t="s">
        <v>172</v>
      </c>
      <c r="I226" s="156" t="s">
        <v>173</v>
      </c>
      <c r="J226" s="156" t="s">
        <v>39</v>
      </c>
      <c r="K226" s="171" t="s">
        <v>433</v>
      </c>
      <c r="L226" s="201" t="s">
        <v>678</v>
      </c>
      <c r="M226" s="165">
        <v>1500000</v>
      </c>
      <c r="N226" s="185"/>
      <c r="O226" s="160">
        <v>2700000</v>
      </c>
      <c r="P226" s="187"/>
      <c r="Q226" s="187"/>
      <c r="R226" s="188"/>
      <c r="S226" s="160">
        <f t="shared" si="15"/>
        <v>216000</v>
      </c>
      <c r="T226" s="161">
        <f t="shared" si="16"/>
        <v>4416000</v>
      </c>
      <c r="U226" s="152"/>
      <c r="V226" s="162"/>
    </row>
    <row r="227" spans="1:22" s="190" customFormat="1" ht="32.25" customHeight="1" x14ac:dyDescent="0.2">
      <c r="A227" s="155">
        <f t="shared" si="12"/>
        <v>123</v>
      </c>
      <c r="B227" s="163" t="s">
        <v>1612</v>
      </c>
      <c r="C227" s="157" t="s">
        <v>681</v>
      </c>
      <c r="D227" s="166"/>
      <c r="E227" s="171">
        <v>1</v>
      </c>
      <c r="F227" s="157" t="s">
        <v>682</v>
      </c>
      <c r="G227" s="152" t="s">
        <v>302</v>
      </c>
      <c r="H227" s="152" t="s">
        <v>172</v>
      </c>
      <c r="I227" s="156" t="s">
        <v>173</v>
      </c>
      <c r="J227" s="197" t="s">
        <v>281</v>
      </c>
      <c r="K227" s="198" t="s">
        <v>39</v>
      </c>
      <c r="L227" s="152">
        <v>15038</v>
      </c>
      <c r="M227" s="165">
        <v>1500000</v>
      </c>
      <c r="N227" s="185"/>
      <c r="O227" s="160">
        <v>2700000</v>
      </c>
      <c r="P227" s="187"/>
      <c r="Q227" s="187"/>
      <c r="R227" s="188"/>
      <c r="S227" s="160">
        <f t="shared" si="15"/>
        <v>216000</v>
      </c>
      <c r="T227" s="161">
        <f t="shared" si="16"/>
        <v>4416000</v>
      </c>
      <c r="U227" s="152"/>
      <c r="V227" s="162"/>
    </row>
    <row r="228" spans="1:22" s="190" customFormat="1" ht="32.25" customHeight="1" x14ac:dyDescent="0.2">
      <c r="A228" s="155">
        <f t="shared" si="12"/>
        <v>124</v>
      </c>
      <c r="B228" s="163" t="s">
        <v>1612</v>
      </c>
      <c r="C228" s="157" t="s">
        <v>681</v>
      </c>
      <c r="D228" s="166"/>
      <c r="E228" s="171">
        <v>1</v>
      </c>
      <c r="F228" s="157" t="s">
        <v>684</v>
      </c>
      <c r="G228" s="152" t="s">
        <v>349</v>
      </c>
      <c r="H228" s="152" t="s">
        <v>172</v>
      </c>
      <c r="I228" s="156" t="s">
        <v>173</v>
      </c>
      <c r="J228" s="197" t="s">
        <v>281</v>
      </c>
      <c r="K228" s="198" t="s">
        <v>39</v>
      </c>
      <c r="L228" s="201" t="s">
        <v>679</v>
      </c>
      <c r="M228" s="165">
        <v>1500000</v>
      </c>
      <c r="N228" s="185"/>
      <c r="O228" s="160">
        <v>2700000</v>
      </c>
      <c r="P228" s="187"/>
      <c r="Q228" s="187"/>
      <c r="R228" s="188"/>
      <c r="S228" s="160">
        <f t="shared" si="15"/>
        <v>216000</v>
      </c>
      <c r="T228" s="161">
        <f t="shared" si="16"/>
        <v>4416000</v>
      </c>
      <c r="U228" s="152"/>
      <c r="V228" s="162"/>
    </row>
    <row r="229" spans="1:22" s="190" customFormat="1" ht="32.25" customHeight="1" x14ac:dyDescent="0.2">
      <c r="A229" s="155">
        <f t="shared" si="12"/>
        <v>125</v>
      </c>
      <c r="B229" s="163" t="s">
        <v>1612</v>
      </c>
      <c r="C229" s="157" t="s">
        <v>681</v>
      </c>
      <c r="D229" s="166"/>
      <c r="E229" s="171">
        <v>1</v>
      </c>
      <c r="F229" s="157" t="s">
        <v>686</v>
      </c>
      <c r="G229" s="152" t="s">
        <v>210</v>
      </c>
      <c r="H229" s="152" t="s">
        <v>172</v>
      </c>
      <c r="I229" s="156" t="s">
        <v>173</v>
      </c>
      <c r="J229" s="197" t="s">
        <v>281</v>
      </c>
      <c r="K229" s="198" t="s">
        <v>39</v>
      </c>
      <c r="L229" s="184">
        <v>15057</v>
      </c>
      <c r="M229" s="165">
        <v>1500000</v>
      </c>
      <c r="N229" s="185"/>
      <c r="O229" s="160">
        <v>2700000</v>
      </c>
      <c r="P229" s="187"/>
      <c r="Q229" s="187"/>
      <c r="R229" s="188"/>
      <c r="S229" s="160">
        <f t="shared" si="15"/>
        <v>216000</v>
      </c>
      <c r="T229" s="161">
        <f t="shared" si="16"/>
        <v>4416000</v>
      </c>
      <c r="U229" s="152"/>
      <c r="V229" s="162"/>
    </row>
    <row r="230" spans="1:22" s="190" customFormat="1" ht="32.25" customHeight="1" x14ac:dyDescent="0.2">
      <c r="A230" s="155">
        <f t="shared" si="12"/>
        <v>126</v>
      </c>
      <c r="B230" s="163" t="s">
        <v>1612</v>
      </c>
      <c r="C230" s="157">
        <v>259068327</v>
      </c>
      <c r="D230" s="166"/>
      <c r="E230" s="171">
        <v>1</v>
      </c>
      <c r="F230" s="157" t="s">
        <v>691</v>
      </c>
      <c r="G230" s="152" t="s">
        <v>305</v>
      </c>
      <c r="H230" s="152" t="s">
        <v>172</v>
      </c>
      <c r="I230" s="156" t="s">
        <v>173</v>
      </c>
      <c r="J230" s="197" t="s">
        <v>281</v>
      </c>
      <c r="K230" s="198" t="s">
        <v>39</v>
      </c>
      <c r="L230" s="201">
        <v>15027</v>
      </c>
      <c r="M230" s="165">
        <v>1500000</v>
      </c>
      <c r="N230" s="185"/>
      <c r="O230" s="160">
        <v>2700000</v>
      </c>
      <c r="P230" s="187"/>
      <c r="Q230" s="187"/>
      <c r="R230" s="188"/>
      <c r="S230" s="160">
        <f t="shared" si="15"/>
        <v>216000</v>
      </c>
      <c r="T230" s="161">
        <f t="shared" si="16"/>
        <v>4416000</v>
      </c>
      <c r="U230" s="152"/>
      <c r="V230" s="162"/>
    </row>
    <row r="231" spans="1:22" s="190" customFormat="1" ht="32.25" customHeight="1" x14ac:dyDescent="0.2">
      <c r="A231" s="155">
        <f t="shared" si="12"/>
        <v>127</v>
      </c>
      <c r="B231" s="163" t="s">
        <v>1612</v>
      </c>
      <c r="C231" s="182">
        <v>259068327</v>
      </c>
      <c r="D231" s="170"/>
      <c r="E231" s="203">
        <v>1</v>
      </c>
      <c r="F231" s="182" t="s">
        <v>685</v>
      </c>
      <c r="G231" s="152" t="s">
        <v>194</v>
      </c>
      <c r="H231" s="180" t="s">
        <v>172</v>
      </c>
      <c r="I231" s="193" t="s">
        <v>173</v>
      </c>
      <c r="J231" s="209" t="s">
        <v>281</v>
      </c>
      <c r="K231" s="205" t="s">
        <v>39</v>
      </c>
      <c r="L231" s="201" t="s">
        <v>680</v>
      </c>
      <c r="M231" s="165">
        <v>1500000</v>
      </c>
      <c r="N231" s="185"/>
      <c r="O231" s="160">
        <v>2700000</v>
      </c>
      <c r="P231" s="187"/>
      <c r="Q231" s="187"/>
      <c r="R231" s="188"/>
      <c r="S231" s="160">
        <f t="shared" si="15"/>
        <v>216000</v>
      </c>
      <c r="T231" s="161">
        <f t="shared" si="16"/>
        <v>4416000</v>
      </c>
      <c r="U231" s="152"/>
      <c r="V231" s="162"/>
    </row>
    <row r="232" spans="1:22" s="190" customFormat="1" ht="32.25" customHeight="1" x14ac:dyDescent="0.2">
      <c r="A232" s="155">
        <f t="shared" si="12"/>
        <v>128</v>
      </c>
      <c r="B232" s="163" t="s">
        <v>1612</v>
      </c>
      <c r="C232" s="157">
        <v>259068327</v>
      </c>
      <c r="D232" s="166"/>
      <c r="E232" s="171">
        <v>1</v>
      </c>
      <c r="F232" s="171" t="s">
        <v>675</v>
      </c>
      <c r="G232" s="152" t="s">
        <v>204</v>
      </c>
      <c r="H232" s="152" t="s">
        <v>298</v>
      </c>
      <c r="I232" s="156" t="s">
        <v>299</v>
      </c>
      <c r="J232" s="156" t="s">
        <v>39</v>
      </c>
      <c r="K232" s="157" t="s">
        <v>683</v>
      </c>
      <c r="L232" s="173">
        <v>22234</v>
      </c>
      <c r="M232" s="165">
        <v>1500000</v>
      </c>
      <c r="N232" s="185"/>
      <c r="O232" s="160">
        <v>5300000</v>
      </c>
      <c r="P232" s="187"/>
      <c r="Q232" s="187"/>
      <c r="R232" s="188"/>
      <c r="S232" s="160">
        <f t="shared" si="15"/>
        <v>424000</v>
      </c>
      <c r="T232" s="161">
        <f t="shared" si="16"/>
        <v>7224000</v>
      </c>
      <c r="U232" s="152"/>
      <c r="V232" s="162"/>
    </row>
    <row r="233" spans="1:22" s="190" customFormat="1" ht="32.25" customHeight="1" x14ac:dyDescent="0.2">
      <c r="A233" s="155">
        <f t="shared" si="12"/>
        <v>129</v>
      </c>
      <c r="B233" s="163" t="s">
        <v>1612</v>
      </c>
      <c r="C233" s="157">
        <v>259068327</v>
      </c>
      <c r="D233" s="166"/>
      <c r="E233" s="171">
        <v>1</v>
      </c>
      <c r="F233" s="157" t="s">
        <v>671</v>
      </c>
      <c r="G233" s="152" t="s">
        <v>213</v>
      </c>
      <c r="H233" s="152" t="s">
        <v>298</v>
      </c>
      <c r="I233" s="156" t="s">
        <v>299</v>
      </c>
      <c r="J233" s="156" t="s">
        <v>39</v>
      </c>
      <c r="K233" s="157" t="s">
        <v>683</v>
      </c>
      <c r="L233" s="173">
        <v>22283</v>
      </c>
      <c r="M233" s="165">
        <v>1500000</v>
      </c>
      <c r="N233" s="185"/>
      <c r="O233" s="160">
        <v>5300000</v>
      </c>
      <c r="P233" s="187"/>
      <c r="Q233" s="187"/>
      <c r="R233" s="188"/>
      <c r="S233" s="160">
        <f t="shared" si="15"/>
        <v>424000</v>
      </c>
      <c r="T233" s="161">
        <f t="shared" si="16"/>
        <v>7224000</v>
      </c>
      <c r="U233" s="152"/>
      <c r="V233" s="162"/>
    </row>
    <row r="234" spans="1:22" s="190" customFormat="1" ht="32.25" customHeight="1" x14ac:dyDescent="0.2">
      <c r="A234" s="155">
        <f t="shared" si="12"/>
        <v>130</v>
      </c>
      <c r="B234" s="163" t="s">
        <v>1612</v>
      </c>
      <c r="C234" s="157">
        <v>259068327</v>
      </c>
      <c r="D234" s="166"/>
      <c r="E234" s="171">
        <v>1</v>
      </c>
      <c r="F234" s="157" t="s">
        <v>669</v>
      </c>
      <c r="G234" s="152" t="s">
        <v>171</v>
      </c>
      <c r="H234" s="152" t="s">
        <v>298</v>
      </c>
      <c r="I234" s="156" t="s">
        <v>299</v>
      </c>
      <c r="J234" s="156" t="s">
        <v>39</v>
      </c>
      <c r="K234" s="157" t="s">
        <v>683</v>
      </c>
      <c r="L234" s="173">
        <v>22279</v>
      </c>
      <c r="M234" s="165">
        <v>1500000</v>
      </c>
      <c r="N234" s="185"/>
      <c r="O234" s="160">
        <v>5300000</v>
      </c>
      <c r="P234" s="187"/>
      <c r="Q234" s="187"/>
      <c r="R234" s="188"/>
      <c r="S234" s="160">
        <f t="shared" si="15"/>
        <v>424000</v>
      </c>
      <c r="T234" s="161">
        <f t="shared" si="16"/>
        <v>7224000</v>
      </c>
      <c r="U234" s="152"/>
      <c r="V234" s="162"/>
    </row>
    <row r="235" spans="1:22" s="190" customFormat="1" ht="32.25" customHeight="1" x14ac:dyDescent="0.2">
      <c r="A235" s="155">
        <f t="shared" si="12"/>
        <v>131</v>
      </c>
      <c r="B235" s="163" t="s">
        <v>1612</v>
      </c>
      <c r="C235" s="157">
        <v>261474878</v>
      </c>
      <c r="D235" s="166"/>
      <c r="E235" s="171">
        <v>1</v>
      </c>
      <c r="F235" s="157" t="s">
        <v>677</v>
      </c>
      <c r="G235" s="152" t="s">
        <v>308</v>
      </c>
      <c r="H235" s="152" t="s">
        <v>298</v>
      </c>
      <c r="I235" s="156" t="s">
        <v>299</v>
      </c>
      <c r="J235" s="156" t="s">
        <v>39</v>
      </c>
      <c r="K235" s="157" t="s">
        <v>683</v>
      </c>
      <c r="L235" s="200">
        <v>12697</v>
      </c>
      <c r="M235" s="165">
        <v>1500000</v>
      </c>
      <c r="N235" s="185"/>
      <c r="O235" s="160">
        <v>5300000</v>
      </c>
      <c r="P235" s="187"/>
      <c r="Q235" s="187"/>
      <c r="R235" s="188"/>
      <c r="S235" s="160">
        <f t="shared" si="15"/>
        <v>424000</v>
      </c>
      <c r="T235" s="161">
        <f t="shared" si="16"/>
        <v>7224000</v>
      </c>
      <c r="U235" s="152"/>
      <c r="V235" s="162"/>
    </row>
    <row r="236" spans="1:22" s="190" customFormat="1" ht="32.25" customHeight="1" x14ac:dyDescent="0.2">
      <c r="A236" s="155">
        <f t="shared" ref="A236:A299" si="17">ROW()-104</f>
        <v>132</v>
      </c>
      <c r="B236" s="163" t="s">
        <v>1612</v>
      </c>
      <c r="C236" s="157">
        <v>261474878</v>
      </c>
      <c r="D236" s="166"/>
      <c r="E236" s="171">
        <v>1</v>
      </c>
      <c r="F236" s="171" t="s">
        <v>673</v>
      </c>
      <c r="G236" s="152" t="s">
        <v>688</v>
      </c>
      <c r="H236" s="152" t="s">
        <v>298</v>
      </c>
      <c r="I236" s="156" t="s">
        <v>299</v>
      </c>
      <c r="J236" s="156" t="s">
        <v>39</v>
      </c>
      <c r="K236" s="157" t="s">
        <v>683</v>
      </c>
      <c r="L236" s="200">
        <v>12760</v>
      </c>
      <c r="M236" s="165">
        <v>1500000</v>
      </c>
      <c r="N236" s="185"/>
      <c r="O236" s="160">
        <v>5300000</v>
      </c>
      <c r="P236" s="187"/>
      <c r="Q236" s="187"/>
      <c r="R236" s="188"/>
      <c r="S236" s="160">
        <f t="shared" si="15"/>
        <v>424000</v>
      </c>
      <c r="T236" s="161">
        <f t="shared" si="16"/>
        <v>7224000</v>
      </c>
      <c r="U236" s="152"/>
      <c r="V236" s="162"/>
    </row>
    <row r="237" spans="1:22" s="190" customFormat="1" ht="32.25" customHeight="1" x14ac:dyDescent="0.2">
      <c r="A237" s="155">
        <f t="shared" si="17"/>
        <v>133</v>
      </c>
      <c r="B237" s="163" t="s">
        <v>1612</v>
      </c>
      <c r="C237" s="157">
        <v>261474878</v>
      </c>
      <c r="D237" s="166"/>
      <c r="E237" s="171">
        <v>1</v>
      </c>
      <c r="F237" s="157" t="s">
        <v>675</v>
      </c>
      <c r="G237" s="152" t="s">
        <v>341</v>
      </c>
      <c r="H237" s="152" t="s">
        <v>298</v>
      </c>
      <c r="I237" s="156" t="s">
        <v>299</v>
      </c>
      <c r="J237" s="156" t="s">
        <v>39</v>
      </c>
      <c r="K237" s="157" t="s">
        <v>683</v>
      </c>
      <c r="L237" s="173">
        <v>22295</v>
      </c>
      <c r="M237" s="165">
        <v>1500000</v>
      </c>
      <c r="N237" s="185">
        <v>15000000</v>
      </c>
      <c r="O237" s="160">
        <v>5300000</v>
      </c>
      <c r="P237" s="187"/>
      <c r="Q237" s="187"/>
      <c r="R237" s="188"/>
      <c r="S237" s="160">
        <f t="shared" si="15"/>
        <v>424000</v>
      </c>
      <c r="T237" s="161">
        <f t="shared" si="16"/>
        <v>22224000</v>
      </c>
      <c r="U237" s="152"/>
      <c r="V237" s="162"/>
    </row>
    <row r="238" spans="1:22" s="190" customFormat="1" ht="32.25" customHeight="1" x14ac:dyDescent="0.2">
      <c r="A238" s="155">
        <f t="shared" si="17"/>
        <v>134</v>
      </c>
      <c r="B238" s="163" t="s">
        <v>1612</v>
      </c>
      <c r="C238" s="157">
        <v>261474878</v>
      </c>
      <c r="D238" s="166"/>
      <c r="E238" s="171">
        <v>1</v>
      </c>
      <c r="F238" s="171" t="s">
        <v>671</v>
      </c>
      <c r="G238" s="152" t="s">
        <v>191</v>
      </c>
      <c r="H238" s="152" t="s">
        <v>298</v>
      </c>
      <c r="I238" s="156" t="s">
        <v>299</v>
      </c>
      <c r="J238" s="156" t="s">
        <v>39</v>
      </c>
      <c r="K238" s="157" t="s">
        <v>683</v>
      </c>
      <c r="L238" s="200">
        <v>12759</v>
      </c>
      <c r="M238" s="165">
        <v>1500000</v>
      </c>
      <c r="N238" s="185"/>
      <c r="O238" s="160">
        <v>5300000</v>
      </c>
      <c r="P238" s="187"/>
      <c r="Q238" s="187"/>
      <c r="R238" s="188"/>
      <c r="S238" s="160">
        <f t="shared" si="15"/>
        <v>424000</v>
      </c>
      <c r="T238" s="161">
        <f t="shared" si="16"/>
        <v>7224000</v>
      </c>
      <c r="U238" s="152"/>
      <c r="V238" s="162"/>
    </row>
    <row r="239" spans="1:22" s="190" customFormat="1" ht="32.25" customHeight="1" x14ac:dyDescent="0.2">
      <c r="A239" s="155">
        <f t="shared" si="17"/>
        <v>135</v>
      </c>
      <c r="B239" s="163" t="s">
        <v>1612</v>
      </c>
      <c r="C239" s="157">
        <v>261474878</v>
      </c>
      <c r="D239" s="166"/>
      <c r="E239" s="171">
        <v>1</v>
      </c>
      <c r="F239" s="157" t="s">
        <v>669</v>
      </c>
      <c r="G239" s="152" t="s">
        <v>335</v>
      </c>
      <c r="H239" s="152" t="s">
        <v>298</v>
      </c>
      <c r="I239" s="156" t="s">
        <v>299</v>
      </c>
      <c r="J239" s="156" t="s">
        <v>39</v>
      </c>
      <c r="K239" s="157" t="s">
        <v>683</v>
      </c>
      <c r="L239" s="200">
        <v>12747</v>
      </c>
      <c r="M239" s="165">
        <v>1500000</v>
      </c>
      <c r="N239" s="185"/>
      <c r="O239" s="160">
        <v>5300000</v>
      </c>
      <c r="P239" s="187"/>
      <c r="Q239" s="187"/>
      <c r="R239" s="188"/>
      <c r="S239" s="160">
        <f t="shared" si="15"/>
        <v>424000</v>
      </c>
      <c r="T239" s="161">
        <f t="shared" si="16"/>
        <v>7224000</v>
      </c>
      <c r="U239" s="152"/>
      <c r="V239" s="162"/>
    </row>
    <row r="240" spans="1:22" s="190" customFormat="1" ht="32.25" customHeight="1" x14ac:dyDescent="0.2">
      <c r="A240" s="155">
        <f t="shared" si="17"/>
        <v>136</v>
      </c>
      <c r="B240" s="163" t="s">
        <v>1613</v>
      </c>
      <c r="C240" s="157" t="s">
        <v>692</v>
      </c>
      <c r="D240" s="166"/>
      <c r="E240" s="171">
        <v>1</v>
      </c>
      <c r="F240" s="157" t="s">
        <v>677</v>
      </c>
      <c r="G240" s="152" t="s">
        <v>302</v>
      </c>
      <c r="H240" s="152" t="s">
        <v>298</v>
      </c>
      <c r="I240" s="156" t="s">
        <v>299</v>
      </c>
      <c r="J240" s="156" t="s">
        <v>39</v>
      </c>
      <c r="K240" s="171" t="s">
        <v>201</v>
      </c>
      <c r="L240" s="201" t="s">
        <v>694</v>
      </c>
      <c r="M240" s="165">
        <v>1566000</v>
      </c>
      <c r="N240" s="185"/>
      <c r="O240" s="160">
        <v>5300000</v>
      </c>
      <c r="P240" s="187"/>
      <c r="Q240" s="187"/>
      <c r="R240" s="188"/>
      <c r="S240" s="160">
        <f t="shared" si="15"/>
        <v>424000</v>
      </c>
      <c r="T240" s="161">
        <f t="shared" si="16"/>
        <v>7290000</v>
      </c>
      <c r="U240" s="152"/>
      <c r="V240" s="162"/>
    </row>
    <row r="241" spans="1:22" s="190" customFormat="1" ht="32.25" customHeight="1" x14ac:dyDescent="0.2">
      <c r="A241" s="155">
        <f t="shared" si="17"/>
        <v>137</v>
      </c>
      <c r="B241" s="163" t="s">
        <v>1613</v>
      </c>
      <c r="C241" s="157" t="s">
        <v>695</v>
      </c>
      <c r="D241" s="166"/>
      <c r="E241" s="171">
        <v>1</v>
      </c>
      <c r="F241" s="157" t="s">
        <v>673</v>
      </c>
      <c r="G241" s="152" t="s">
        <v>191</v>
      </c>
      <c r="H241" s="152" t="s">
        <v>180</v>
      </c>
      <c r="I241" s="156" t="s">
        <v>181</v>
      </c>
      <c r="J241" s="156" t="s">
        <v>39</v>
      </c>
      <c r="K241" s="157" t="s">
        <v>697</v>
      </c>
      <c r="L241" s="201" t="s">
        <v>698</v>
      </c>
      <c r="M241" s="165">
        <v>1512000</v>
      </c>
      <c r="N241" s="185"/>
      <c r="O241" s="160">
        <v>4500000</v>
      </c>
      <c r="P241" s="187"/>
      <c r="Q241" s="187"/>
      <c r="R241" s="188"/>
      <c r="S241" s="160">
        <f t="shared" si="15"/>
        <v>360000</v>
      </c>
      <c r="T241" s="161">
        <f t="shared" si="16"/>
        <v>6372000</v>
      </c>
      <c r="U241" s="152"/>
      <c r="V241" s="162"/>
    </row>
    <row r="242" spans="1:22" s="190" customFormat="1" ht="32.25" customHeight="1" x14ac:dyDescent="0.2">
      <c r="A242" s="155">
        <f t="shared" si="17"/>
        <v>138</v>
      </c>
      <c r="B242" s="163" t="s">
        <v>1613</v>
      </c>
      <c r="C242" s="157" t="s">
        <v>695</v>
      </c>
      <c r="D242" s="166"/>
      <c r="E242" s="171">
        <v>1</v>
      </c>
      <c r="F242" s="157" t="s">
        <v>693</v>
      </c>
      <c r="G242" s="152" t="s">
        <v>302</v>
      </c>
      <c r="H242" s="152" t="s">
        <v>180</v>
      </c>
      <c r="I242" s="156" t="s">
        <v>181</v>
      </c>
      <c r="J242" s="156" t="s">
        <v>39</v>
      </c>
      <c r="K242" s="157" t="s">
        <v>697</v>
      </c>
      <c r="L242" s="201" t="s">
        <v>700</v>
      </c>
      <c r="M242" s="165">
        <v>1512000</v>
      </c>
      <c r="N242" s="185"/>
      <c r="O242" s="160">
        <v>4500000</v>
      </c>
      <c r="P242" s="187"/>
      <c r="Q242" s="187"/>
      <c r="R242" s="188"/>
      <c r="S242" s="160">
        <f t="shared" si="15"/>
        <v>360000</v>
      </c>
      <c r="T242" s="161">
        <f t="shared" si="16"/>
        <v>6372000</v>
      </c>
      <c r="U242" s="152" t="s">
        <v>176</v>
      </c>
      <c r="V242" s="162"/>
    </row>
    <row r="243" spans="1:22" s="190" customFormat="1" ht="32.25" customHeight="1" x14ac:dyDescent="0.2">
      <c r="A243" s="155">
        <f t="shared" si="17"/>
        <v>139</v>
      </c>
      <c r="B243" s="163" t="s">
        <v>1613</v>
      </c>
      <c r="C243" s="157" t="s">
        <v>695</v>
      </c>
      <c r="D243" s="166"/>
      <c r="E243" s="171">
        <v>1</v>
      </c>
      <c r="F243" s="157" t="s">
        <v>696</v>
      </c>
      <c r="G243" s="152" t="s">
        <v>335</v>
      </c>
      <c r="H243" s="152" t="s">
        <v>180</v>
      </c>
      <c r="I243" s="156" t="s">
        <v>181</v>
      </c>
      <c r="J243" s="156" t="s">
        <v>39</v>
      </c>
      <c r="K243" s="157" t="s">
        <v>697</v>
      </c>
      <c r="L243" s="201" t="s">
        <v>702</v>
      </c>
      <c r="M243" s="165">
        <v>1512000</v>
      </c>
      <c r="N243" s="185"/>
      <c r="O243" s="160">
        <v>4500000</v>
      </c>
      <c r="P243" s="187"/>
      <c r="Q243" s="187"/>
      <c r="R243" s="188"/>
      <c r="S243" s="160">
        <f t="shared" si="15"/>
        <v>360000</v>
      </c>
      <c r="T243" s="161">
        <f t="shared" si="16"/>
        <v>6372000</v>
      </c>
      <c r="U243" s="152"/>
      <c r="V243" s="162"/>
    </row>
    <row r="244" spans="1:22" s="190" customFormat="1" ht="32.25" customHeight="1" x14ac:dyDescent="0.2">
      <c r="A244" s="155">
        <f t="shared" si="17"/>
        <v>140</v>
      </c>
      <c r="B244" s="163" t="s">
        <v>1613</v>
      </c>
      <c r="C244" s="157" t="s">
        <v>695</v>
      </c>
      <c r="D244" s="166"/>
      <c r="E244" s="171">
        <v>1</v>
      </c>
      <c r="F244" s="157" t="s">
        <v>699</v>
      </c>
      <c r="G244" s="152" t="s">
        <v>171</v>
      </c>
      <c r="H244" s="152" t="s">
        <v>180</v>
      </c>
      <c r="I244" s="156" t="s">
        <v>181</v>
      </c>
      <c r="J244" s="156" t="s">
        <v>39</v>
      </c>
      <c r="K244" s="157" t="s">
        <v>697</v>
      </c>
      <c r="L244" s="201" t="s">
        <v>704</v>
      </c>
      <c r="M244" s="165">
        <v>1512000</v>
      </c>
      <c r="N244" s="185"/>
      <c r="O244" s="160">
        <v>4500000</v>
      </c>
      <c r="P244" s="187"/>
      <c r="Q244" s="187"/>
      <c r="R244" s="188"/>
      <c r="S244" s="160">
        <f t="shared" si="15"/>
        <v>360000</v>
      </c>
      <c r="T244" s="161">
        <f t="shared" si="16"/>
        <v>6372000</v>
      </c>
      <c r="U244" s="152"/>
      <c r="V244" s="162"/>
    </row>
    <row r="245" spans="1:22" s="190" customFormat="1" ht="32.25" customHeight="1" x14ac:dyDescent="0.2">
      <c r="A245" s="155">
        <f t="shared" si="17"/>
        <v>141</v>
      </c>
      <c r="B245" s="168" t="s">
        <v>1613</v>
      </c>
      <c r="C245" s="182" t="s">
        <v>695</v>
      </c>
      <c r="D245" s="170"/>
      <c r="E245" s="203">
        <v>1</v>
      </c>
      <c r="F245" s="182" t="s">
        <v>703</v>
      </c>
      <c r="G245" s="152" t="s">
        <v>688</v>
      </c>
      <c r="H245" s="180" t="s">
        <v>180</v>
      </c>
      <c r="I245" s="193" t="s">
        <v>181</v>
      </c>
      <c r="J245" s="193" t="s">
        <v>39</v>
      </c>
      <c r="K245" s="182" t="s">
        <v>697</v>
      </c>
      <c r="L245" s="201">
        <v>73716</v>
      </c>
      <c r="M245" s="165">
        <v>1512000</v>
      </c>
      <c r="N245" s="185"/>
      <c r="O245" s="160">
        <v>4500000</v>
      </c>
      <c r="P245" s="187"/>
      <c r="Q245" s="187"/>
      <c r="R245" s="188"/>
      <c r="S245" s="160">
        <f t="shared" si="15"/>
        <v>360000</v>
      </c>
      <c r="T245" s="161">
        <f t="shared" si="16"/>
        <v>6372000</v>
      </c>
      <c r="U245" s="152"/>
      <c r="V245" s="162"/>
    </row>
    <row r="246" spans="1:22" s="190" customFormat="1" ht="32.25" customHeight="1" x14ac:dyDescent="0.2">
      <c r="A246" s="155">
        <f t="shared" si="17"/>
        <v>142</v>
      </c>
      <c r="B246" s="163" t="s">
        <v>1613</v>
      </c>
      <c r="C246" s="157" t="s">
        <v>724</v>
      </c>
      <c r="D246" s="166"/>
      <c r="E246" s="171">
        <v>1</v>
      </c>
      <c r="F246" s="171" t="s">
        <v>705</v>
      </c>
      <c r="G246" s="152" t="s">
        <v>341</v>
      </c>
      <c r="H246" s="171" t="s">
        <v>172</v>
      </c>
      <c r="I246" s="156" t="s">
        <v>173</v>
      </c>
      <c r="J246" s="157" t="s">
        <v>480</v>
      </c>
      <c r="K246" s="157" t="s">
        <v>39</v>
      </c>
      <c r="L246" s="201" t="s">
        <v>707</v>
      </c>
      <c r="M246" s="165">
        <v>1450000</v>
      </c>
      <c r="N246" s="185"/>
      <c r="O246" s="160">
        <v>2700000</v>
      </c>
      <c r="P246" s="187"/>
      <c r="Q246" s="187"/>
      <c r="R246" s="188"/>
      <c r="S246" s="160">
        <f t="shared" si="15"/>
        <v>216000</v>
      </c>
      <c r="T246" s="161">
        <f t="shared" si="16"/>
        <v>4366000</v>
      </c>
      <c r="U246" s="152"/>
      <c r="V246" s="162"/>
    </row>
    <row r="247" spans="1:22" s="190" customFormat="1" ht="32.25" customHeight="1" x14ac:dyDescent="0.2">
      <c r="A247" s="155">
        <f t="shared" si="17"/>
        <v>143</v>
      </c>
      <c r="B247" s="163" t="s">
        <v>1613</v>
      </c>
      <c r="C247" s="157" t="s">
        <v>724</v>
      </c>
      <c r="D247" s="166"/>
      <c r="E247" s="171">
        <v>1</v>
      </c>
      <c r="F247" s="157" t="s">
        <v>701</v>
      </c>
      <c r="G247" s="152" t="s">
        <v>191</v>
      </c>
      <c r="H247" s="171" t="s">
        <v>172</v>
      </c>
      <c r="I247" s="156" t="s">
        <v>173</v>
      </c>
      <c r="J247" s="157" t="s">
        <v>480</v>
      </c>
      <c r="K247" s="157" t="s">
        <v>39</v>
      </c>
      <c r="L247" s="200">
        <v>300416</v>
      </c>
      <c r="M247" s="165">
        <v>1500000</v>
      </c>
      <c r="N247" s="185"/>
      <c r="O247" s="160">
        <v>2700000</v>
      </c>
      <c r="P247" s="187"/>
      <c r="Q247" s="187"/>
      <c r="R247" s="188"/>
      <c r="S247" s="160">
        <f t="shared" si="15"/>
        <v>216000</v>
      </c>
      <c r="T247" s="161">
        <f t="shared" si="16"/>
        <v>4416000</v>
      </c>
      <c r="U247" s="152"/>
      <c r="V247" s="162"/>
    </row>
    <row r="248" spans="1:22" s="190" customFormat="1" ht="32.25" customHeight="1" x14ac:dyDescent="0.2">
      <c r="A248" s="155">
        <f t="shared" si="17"/>
        <v>144</v>
      </c>
      <c r="B248" s="163" t="s">
        <v>1613</v>
      </c>
      <c r="C248" s="208">
        <v>261525960</v>
      </c>
      <c r="D248" s="166"/>
      <c r="E248" s="171">
        <v>1</v>
      </c>
      <c r="F248" s="157" t="s">
        <v>725</v>
      </c>
      <c r="G248" s="152" t="s">
        <v>335</v>
      </c>
      <c r="H248" s="171" t="s">
        <v>180</v>
      </c>
      <c r="I248" s="156" t="s">
        <v>181</v>
      </c>
      <c r="J248" s="157" t="s">
        <v>39</v>
      </c>
      <c r="K248" s="171" t="s">
        <v>433</v>
      </c>
      <c r="L248" s="201" t="s">
        <v>710</v>
      </c>
      <c r="M248" s="165">
        <v>1500000</v>
      </c>
      <c r="N248" s="185"/>
      <c r="O248" s="160">
        <v>4500000</v>
      </c>
      <c r="P248" s="187"/>
      <c r="Q248" s="187"/>
      <c r="R248" s="188"/>
      <c r="S248" s="160">
        <f t="shared" si="15"/>
        <v>360000</v>
      </c>
      <c r="T248" s="161">
        <f t="shared" si="16"/>
        <v>6360000</v>
      </c>
      <c r="U248" s="152"/>
      <c r="V248" s="162"/>
    </row>
    <row r="249" spans="1:22" s="190" customFormat="1" ht="32.25" customHeight="1" x14ac:dyDescent="0.2">
      <c r="A249" s="155">
        <f t="shared" si="17"/>
        <v>145</v>
      </c>
      <c r="B249" s="163" t="s">
        <v>1613</v>
      </c>
      <c r="C249" s="208">
        <v>261525960</v>
      </c>
      <c r="D249" s="166"/>
      <c r="E249" s="171">
        <v>1</v>
      </c>
      <c r="F249" s="157" t="s">
        <v>727</v>
      </c>
      <c r="G249" s="152" t="s">
        <v>302</v>
      </c>
      <c r="H249" s="171" t="s">
        <v>180</v>
      </c>
      <c r="I249" s="156" t="s">
        <v>181</v>
      </c>
      <c r="J249" s="157" t="s">
        <v>39</v>
      </c>
      <c r="K249" s="171" t="s">
        <v>433</v>
      </c>
      <c r="L249" s="201" t="s">
        <v>712</v>
      </c>
      <c r="M249" s="165">
        <v>1500000</v>
      </c>
      <c r="N249" s="185"/>
      <c r="O249" s="160">
        <v>4500000</v>
      </c>
      <c r="P249" s="187"/>
      <c r="Q249" s="187"/>
      <c r="R249" s="188"/>
      <c r="S249" s="160">
        <f t="shared" si="15"/>
        <v>360000</v>
      </c>
      <c r="T249" s="161">
        <f t="shared" si="16"/>
        <v>6360000</v>
      </c>
      <c r="U249" s="152" t="s">
        <v>176</v>
      </c>
      <c r="V249" s="162"/>
    </row>
    <row r="250" spans="1:22" s="190" customFormat="1" ht="32.25" customHeight="1" x14ac:dyDescent="0.2">
      <c r="A250" s="155">
        <f t="shared" si="17"/>
        <v>146</v>
      </c>
      <c r="B250" s="163" t="s">
        <v>1614</v>
      </c>
      <c r="C250" s="208">
        <v>258474297</v>
      </c>
      <c r="D250" s="166"/>
      <c r="E250" s="171">
        <v>1</v>
      </c>
      <c r="F250" s="157" t="s">
        <v>708</v>
      </c>
      <c r="G250" s="152" t="s">
        <v>191</v>
      </c>
      <c r="H250" s="171" t="s">
        <v>180</v>
      </c>
      <c r="I250" s="156" t="s">
        <v>181</v>
      </c>
      <c r="J250" s="157" t="s">
        <v>39</v>
      </c>
      <c r="K250" s="171" t="s">
        <v>433</v>
      </c>
      <c r="L250" s="201" t="s">
        <v>714</v>
      </c>
      <c r="M250" s="165">
        <v>1450000</v>
      </c>
      <c r="N250" s="185"/>
      <c r="O250" s="160">
        <v>4500000</v>
      </c>
      <c r="P250" s="187"/>
      <c r="Q250" s="187"/>
      <c r="R250" s="188"/>
      <c r="S250" s="160">
        <f t="shared" si="15"/>
        <v>360000</v>
      </c>
      <c r="T250" s="161">
        <f t="shared" si="16"/>
        <v>6310000</v>
      </c>
      <c r="U250" s="152"/>
      <c r="V250" s="162"/>
    </row>
    <row r="251" spans="1:22" s="190" customFormat="1" ht="32.25" customHeight="1" x14ac:dyDescent="0.2">
      <c r="A251" s="155">
        <f t="shared" si="17"/>
        <v>147</v>
      </c>
      <c r="B251" s="163" t="s">
        <v>1614</v>
      </c>
      <c r="C251" s="157">
        <v>258474297</v>
      </c>
      <c r="D251" s="166"/>
      <c r="E251" s="171">
        <v>1</v>
      </c>
      <c r="F251" s="157" t="s">
        <v>706</v>
      </c>
      <c r="G251" s="152" t="s">
        <v>302</v>
      </c>
      <c r="H251" s="206" t="s">
        <v>715</v>
      </c>
      <c r="I251" s="156" t="s">
        <v>173</v>
      </c>
      <c r="J251" s="198"/>
      <c r="K251" s="198" t="s">
        <v>39</v>
      </c>
      <c r="L251" s="184" t="s">
        <v>716</v>
      </c>
      <c r="M251" s="165">
        <v>1500000</v>
      </c>
      <c r="N251" s="185"/>
      <c r="O251" s="160">
        <v>1890000</v>
      </c>
      <c r="P251" s="187"/>
      <c r="Q251" s="187"/>
      <c r="R251" s="188"/>
      <c r="S251" s="160">
        <f t="shared" si="15"/>
        <v>151200</v>
      </c>
      <c r="T251" s="161">
        <f t="shared" si="16"/>
        <v>3541200</v>
      </c>
      <c r="U251" s="152" t="s">
        <v>176</v>
      </c>
      <c r="V251" s="162"/>
    </row>
    <row r="252" spans="1:22" s="190" customFormat="1" ht="32.25" customHeight="1" x14ac:dyDescent="0.2">
      <c r="A252" s="155">
        <f t="shared" si="17"/>
        <v>148</v>
      </c>
      <c r="B252" s="163" t="s">
        <v>1614</v>
      </c>
      <c r="C252" s="157">
        <v>258474297</v>
      </c>
      <c r="D252" s="166"/>
      <c r="E252" s="171">
        <v>1</v>
      </c>
      <c r="F252" s="157" t="s">
        <v>711</v>
      </c>
      <c r="G252" s="152" t="s">
        <v>335</v>
      </c>
      <c r="H252" s="206" t="s">
        <v>715</v>
      </c>
      <c r="I252" s="156" t="s">
        <v>173</v>
      </c>
      <c r="J252" s="198"/>
      <c r="K252" s="198" t="s">
        <v>39</v>
      </c>
      <c r="L252" s="201" t="s">
        <v>717</v>
      </c>
      <c r="M252" s="165">
        <v>1500000</v>
      </c>
      <c r="N252" s="185"/>
      <c r="O252" s="160">
        <v>1890000</v>
      </c>
      <c r="P252" s="187"/>
      <c r="Q252" s="187"/>
      <c r="R252" s="188"/>
      <c r="S252" s="160">
        <f t="shared" si="15"/>
        <v>151200</v>
      </c>
      <c r="T252" s="161">
        <f t="shared" si="16"/>
        <v>3541200</v>
      </c>
      <c r="U252" s="152"/>
      <c r="V252" s="162"/>
    </row>
    <row r="253" spans="1:22" s="190" customFormat="1" ht="32.25" customHeight="1" x14ac:dyDescent="0.2">
      <c r="A253" s="155">
        <f t="shared" si="17"/>
        <v>149</v>
      </c>
      <c r="B253" s="163" t="s">
        <v>1614</v>
      </c>
      <c r="C253" s="208">
        <v>261841260</v>
      </c>
      <c r="D253" s="166"/>
      <c r="E253" s="171">
        <v>1</v>
      </c>
      <c r="F253" s="157" t="s">
        <v>713</v>
      </c>
      <c r="G253" s="152" t="s">
        <v>171</v>
      </c>
      <c r="H253" s="171" t="s">
        <v>719</v>
      </c>
      <c r="I253" s="156" t="s">
        <v>720</v>
      </c>
      <c r="J253" s="157" t="s">
        <v>39</v>
      </c>
      <c r="K253" s="171" t="s">
        <v>433</v>
      </c>
      <c r="L253" s="201" t="s">
        <v>721</v>
      </c>
      <c r="M253" s="165">
        <v>1450000</v>
      </c>
      <c r="N253" s="185"/>
      <c r="O253" s="160">
        <v>4000000</v>
      </c>
      <c r="P253" s="187"/>
      <c r="Q253" s="187"/>
      <c r="R253" s="188"/>
      <c r="S253" s="160">
        <f t="shared" si="15"/>
        <v>320000</v>
      </c>
      <c r="T253" s="161">
        <f t="shared" si="16"/>
        <v>5770000</v>
      </c>
      <c r="U253" s="152"/>
      <c r="V253" s="162"/>
    </row>
    <row r="254" spans="1:22" s="190" customFormat="1" ht="32.25" customHeight="1" x14ac:dyDescent="0.2">
      <c r="A254" s="155">
        <f t="shared" si="17"/>
        <v>150</v>
      </c>
      <c r="B254" s="163" t="s">
        <v>1614</v>
      </c>
      <c r="C254" s="208">
        <v>261841260</v>
      </c>
      <c r="D254" s="166"/>
      <c r="E254" s="171">
        <v>1</v>
      </c>
      <c r="F254" s="157" t="s">
        <v>709</v>
      </c>
      <c r="G254" s="152" t="s">
        <v>688</v>
      </c>
      <c r="H254" s="171" t="s">
        <v>719</v>
      </c>
      <c r="I254" s="156" t="s">
        <v>720</v>
      </c>
      <c r="J254" s="157" t="s">
        <v>39</v>
      </c>
      <c r="K254" s="171" t="s">
        <v>433</v>
      </c>
      <c r="L254" s="201" t="s">
        <v>723</v>
      </c>
      <c r="M254" s="165">
        <v>1450000</v>
      </c>
      <c r="N254" s="185"/>
      <c r="O254" s="160">
        <v>4000000</v>
      </c>
      <c r="P254" s="187"/>
      <c r="Q254" s="187"/>
      <c r="R254" s="188"/>
      <c r="S254" s="160">
        <f t="shared" si="15"/>
        <v>320000</v>
      </c>
      <c r="T254" s="161">
        <f t="shared" si="16"/>
        <v>5770000</v>
      </c>
      <c r="U254" s="152"/>
      <c r="V254" s="162"/>
    </row>
    <row r="255" spans="1:22" s="190" customFormat="1" ht="32.25" customHeight="1" x14ac:dyDescent="0.2">
      <c r="A255" s="155">
        <f t="shared" si="17"/>
        <v>151</v>
      </c>
      <c r="B255" s="163" t="s">
        <v>1614</v>
      </c>
      <c r="C255" s="157">
        <v>259710463</v>
      </c>
      <c r="D255" s="166"/>
      <c r="E255" s="171">
        <v>1</v>
      </c>
      <c r="F255" s="157" t="s">
        <v>711</v>
      </c>
      <c r="G255" s="157" t="s">
        <v>726</v>
      </c>
      <c r="H255" s="171" t="s">
        <v>255</v>
      </c>
      <c r="I255" s="155" t="s">
        <v>256</v>
      </c>
      <c r="J255" s="157" t="s">
        <v>39</v>
      </c>
      <c r="K255" s="157" t="s">
        <v>182</v>
      </c>
      <c r="L255" s="200">
        <v>7714</v>
      </c>
      <c r="M255" s="165">
        <v>1500000</v>
      </c>
      <c r="N255" s="185"/>
      <c r="O255" s="160">
        <v>4500000</v>
      </c>
      <c r="P255" s="187"/>
      <c r="Q255" s="187"/>
      <c r="R255" s="188"/>
      <c r="S255" s="160">
        <f t="shared" si="15"/>
        <v>360000</v>
      </c>
      <c r="T255" s="161">
        <f t="shared" si="16"/>
        <v>6360000</v>
      </c>
      <c r="U255" s="152"/>
      <c r="V255" s="162"/>
    </row>
    <row r="256" spans="1:22" s="190" customFormat="1" ht="32.25" customHeight="1" x14ac:dyDescent="0.2">
      <c r="A256" s="155">
        <f t="shared" si="17"/>
        <v>152</v>
      </c>
      <c r="B256" s="163" t="s">
        <v>1614</v>
      </c>
      <c r="C256" s="157">
        <v>259931083</v>
      </c>
      <c r="D256" s="166"/>
      <c r="E256" s="171">
        <v>1</v>
      </c>
      <c r="F256" s="157" t="s">
        <v>709</v>
      </c>
      <c r="G256" s="210" t="s">
        <v>728</v>
      </c>
      <c r="H256" s="171" t="s">
        <v>255</v>
      </c>
      <c r="I256" s="155" t="s">
        <v>256</v>
      </c>
      <c r="J256" s="157" t="s">
        <v>39</v>
      </c>
      <c r="K256" s="157" t="s">
        <v>182</v>
      </c>
      <c r="L256" s="201" t="s">
        <v>729</v>
      </c>
      <c r="M256" s="165">
        <v>1500000</v>
      </c>
      <c r="N256" s="185"/>
      <c r="O256" s="160">
        <v>4500000</v>
      </c>
      <c r="P256" s="187"/>
      <c r="Q256" s="187"/>
      <c r="R256" s="188"/>
      <c r="S256" s="160">
        <f t="shared" si="15"/>
        <v>360000</v>
      </c>
      <c r="T256" s="161">
        <f t="shared" si="16"/>
        <v>6360000</v>
      </c>
      <c r="U256" s="152"/>
      <c r="V256" s="162"/>
    </row>
    <row r="257" spans="1:22" s="190" customFormat="1" ht="32.25" customHeight="1" x14ac:dyDescent="0.2">
      <c r="A257" s="155">
        <f t="shared" si="17"/>
        <v>153</v>
      </c>
      <c r="B257" s="163" t="s">
        <v>1614</v>
      </c>
      <c r="C257" s="198" t="s">
        <v>1609</v>
      </c>
      <c r="D257" s="176"/>
      <c r="E257" s="206">
        <v>1</v>
      </c>
      <c r="F257" s="198" t="s">
        <v>718</v>
      </c>
      <c r="G257" s="152" t="s">
        <v>341</v>
      </c>
      <c r="H257" s="206" t="s">
        <v>298</v>
      </c>
      <c r="I257" s="197" t="s">
        <v>299</v>
      </c>
      <c r="J257" s="198" t="s">
        <v>39</v>
      </c>
      <c r="K257" s="179" t="s">
        <v>732</v>
      </c>
      <c r="L257" s="201" t="s">
        <v>733</v>
      </c>
      <c r="M257" s="165">
        <v>1500000</v>
      </c>
      <c r="N257" s="185"/>
      <c r="O257" s="160">
        <v>5300000</v>
      </c>
      <c r="P257" s="187"/>
      <c r="Q257" s="187"/>
      <c r="R257" s="188"/>
      <c r="S257" s="160">
        <f t="shared" si="15"/>
        <v>424000</v>
      </c>
      <c r="T257" s="161">
        <f t="shared" si="16"/>
        <v>7224000</v>
      </c>
      <c r="U257" s="152"/>
      <c r="V257" s="162"/>
    </row>
    <row r="258" spans="1:22" s="190" customFormat="1" ht="32.25" customHeight="1" x14ac:dyDescent="0.2">
      <c r="A258" s="155">
        <f t="shared" si="17"/>
        <v>154</v>
      </c>
      <c r="B258" s="163" t="s">
        <v>1615</v>
      </c>
      <c r="C258" s="157" t="s">
        <v>730</v>
      </c>
      <c r="D258" s="166"/>
      <c r="E258" s="171">
        <v>1</v>
      </c>
      <c r="F258" s="157" t="s">
        <v>722</v>
      </c>
      <c r="G258" s="152" t="s">
        <v>308</v>
      </c>
      <c r="H258" s="206" t="s">
        <v>298</v>
      </c>
      <c r="I258" s="156" t="s">
        <v>299</v>
      </c>
      <c r="J258" s="157" t="s">
        <v>39</v>
      </c>
      <c r="K258" s="171" t="s">
        <v>732</v>
      </c>
      <c r="L258" s="200">
        <v>28080</v>
      </c>
      <c r="M258" s="165">
        <v>1500000</v>
      </c>
      <c r="N258" s="185"/>
      <c r="O258" s="160">
        <v>5300000</v>
      </c>
      <c r="P258" s="187"/>
      <c r="Q258" s="187"/>
      <c r="R258" s="188"/>
      <c r="S258" s="160">
        <f t="shared" si="15"/>
        <v>424000</v>
      </c>
      <c r="T258" s="161">
        <f t="shared" si="16"/>
        <v>7224000</v>
      </c>
      <c r="U258" s="152"/>
      <c r="V258" s="162"/>
    </row>
    <row r="259" spans="1:22" s="190" customFormat="1" ht="32.25" customHeight="1" x14ac:dyDescent="0.2">
      <c r="A259" s="155">
        <f t="shared" si="17"/>
        <v>155</v>
      </c>
      <c r="B259" s="163" t="s">
        <v>1615</v>
      </c>
      <c r="C259" s="157" t="s">
        <v>730</v>
      </c>
      <c r="D259" s="166"/>
      <c r="E259" s="171">
        <v>1</v>
      </c>
      <c r="F259" s="157" t="s">
        <v>525</v>
      </c>
      <c r="G259" s="152" t="s">
        <v>305</v>
      </c>
      <c r="H259" s="206" t="s">
        <v>298</v>
      </c>
      <c r="I259" s="156" t="s">
        <v>299</v>
      </c>
      <c r="J259" s="157" t="s">
        <v>39</v>
      </c>
      <c r="K259" s="171" t="s">
        <v>732</v>
      </c>
      <c r="L259" s="200">
        <v>13093</v>
      </c>
      <c r="M259" s="165">
        <v>1500000</v>
      </c>
      <c r="N259" s="185"/>
      <c r="O259" s="160">
        <v>5300000</v>
      </c>
      <c r="P259" s="187"/>
      <c r="Q259" s="187"/>
      <c r="R259" s="188"/>
      <c r="S259" s="160">
        <f t="shared" si="15"/>
        <v>424000</v>
      </c>
      <c r="T259" s="161">
        <f t="shared" si="16"/>
        <v>7224000</v>
      </c>
      <c r="U259" s="152"/>
      <c r="V259" s="162"/>
    </row>
    <row r="260" spans="1:22" s="190" customFormat="1" ht="32.25" customHeight="1" x14ac:dyDescent="0.2">
      <c r="A260" s="155">
        <f t="shared" si="17"/>
        <v>156</v>
      </c>
      <c r="B260" s="163" t="s">
        <v>1615</v>
      </c>
      <c r="C260" s="157" t="s">
        <v>730</v>
      </c>
      <c r="D260" s="166"/>
      <c r="E260" s="171">
        <v>1</v>
      </c>
      <c r="F260" s="157" t="s">
        <v>738</v>
      </c>
      <c r="G260" s="152" t="s">
        <v>302</v>
      </c>
      <c r="H260" s="206" t="s">
        <v>298</v>
      </c>
      <c r="I260" s="156" t="s">
        <v>299</v>
      </c>
      <c r="J260" s="157" t="s">
        <v>39</v>
      </c>
      <c r="K260" s="171" t="s">
        <v>732</v>
      </c>
      <c r="L260" s="200">
        <v>13123</v>
      </c>
      <c r="M260" s="165">
        <v>1500000</v>
      </c>
      <c r="N260" s="185"/>
      <c r="O260" s="160">
        <v>5300000</v>
      </c>
      <c r="P260" s="187"/>
      <c r="Q260" s="187"/>
      <c r="R260" s="188"/>
      <c r="S260" s="160">
        <f t="shared" si="15"/>
        <v>424000</v>
      </c>
      <c r="T260" s="161">
        <f t="shared" si="16"/>
        <v>7224000</v>
      </c>
      <c r="U260" s="152" t="s">
        <v>176</v>
      </c>
      <c r="V260" s="162"/>
    </row>
    <row r="261" spans="1:22" s="190" customFormat="1" ht="32.25" customHeight="1" x14ac:dyDescent="0.2">
      <c r="A261" s="155">
        <f t="shared" si="17"/>
        <v>157</v>
      </c>
      <c r="B261" s="163" t="s">
        <v>1615</v>
      </c>
      <c r="C261" s="157" t="s">
        <v>730</v>
      </c>
      <c r="D261" s="166"/>
      <c r="E261" s="171">
        <v>1</v>
      </c>
      <c r="F261" s="171" t="s">
        <v>731</v>
      </c>
      <c r="G261" s="152" t="s">
        <v>213</v>
      </c>
      <c r="H261" s="206" t="s">
        <v>298</v>
      </c>
      <c r="I261" s="156" t="s">
        <v>299</v>
      </c>
      <c r="J261" s="157" t="s">
        <v>39</v>
      </c>
      <c r="K261" s="171" t="s">
        <v>732</v>
      </c>
      <c r="L261" s="200">
        <v>28076</v>
      </c>
      <c r="M261" s="165">
        <v>1500000</v>
      </c>
      <c r="N261" s="185"/>
      <c r="O261" s="160">
        <v>5300000</v>
      </c>
      <c r="P261" s="187"/>
      <c r="Q261" s="187"/>
      <c r="R261" s="188"/>
      <c r="S261" s="160">
        <f t="shared" si="15"/>
        <v>424000</v>
      </c>
      <c r="T261" s="161">
        <f t="shared" si="16"/>
        <v>7224000</v>
      </c>
      <c r="U261" s="152"/>
      <c r="V261" s="162"/>
    </row>
    <row r="262" spans="1:22" s="190" customFormat="1" ht="32.25" customHeight="1" x14ac:dyDescent="0.2">
      <c r="A262" s="155">
        <f t="shared" si="17"/>
        <v>158</v>
      </c>
      <c r="B262" s="163" t="s">
        <v>1615</v>
      </c>
      <c r="C262" s="157" t="s">
        <v>730</v>
      </c>
      <c r="D262" s="166"/>
      <c r="E262" s="171">
        <v>1</v>
      </c>
      <c r="F262" s="157" t="s">
        <v>736</v>
      </c>
      <c r="G262" s="152" t="s">
        <v>185</v>
      </c>
      <c r="H262" s="206" t="s">
        <v>298</v>
      </c>
      <c r="I262" s="156" t="s">
        <v>299</v>
      </c>
      <c r="J262" s="157" t="s">
        <v>39</v>
      </c>
      <c r="K262" s="171" t="s">
        <v>732</v>
      </c>
      <c r="L262" s="201" t="s">
        <v>739</v>
      </c>
      <c r="M262" s="165">
        <v>1500000</v>
      </c>
      <c r="N262" s="185"/>
      <c r="O262" s="160">
        <v>5300000</v>
      </c>
      <c r="P262" s="187"/>
      <c r="Q262" s="187"/>
      <c r="R262" s="188"/>
      <c r="S262" s="160">
        <f t="shared" si="15"/>
        <v>424000</v>
      </c>
      <c r="T262" s="161">
        <f t="shared" si="16"/>
        <v>7224000</v>
      </c>
      <c r="U262" s="152"/>
      <c r="V262" s="162"/>
    </row>
    <row r="263" spans="1:22" s="190" customFormat="1" ht="32.25" customHeight="1" x14ac:dyDescent="0.2">
      <c r="A263" s="155">
        <f t="shared" si="17"/>
        <v>159</v>
      </c>
      <c r="B263" s="163" t="s">
        <v>1615</v>
      </c>
      <c r="C263" s="157" t="s">
        <v>730</v>
      </c>
      <c r="D263" s="166"/>
      <c r="E263" s="171">
        <v>1</v>
      </c>
      <c r="F263" s="157" t="s">
        <v>735</v>
      </c>
      <c r="G263" s="157" t="s">
        <v>742</v>
      </c>
      <c r="H263" s="171" t="s">
        <v>180</v>
      </c>
      <c r="I263" s="156" t="s">
        <v>181</v>
      </c>
      <c r="J263" s="157" t="s">
        <v>39</v>
      </c>
      <c r="K263" s="157" t="s">
        <v>233</v>
      </c>
      <c r="L263" s="200">
        <v>28075</v>
      </c>
      <c r="M263" s="165">
        <v>1500000</v>
      </c>
      <c r="N263" s="165"/>
      <c r="O263" s="160">
        <v>4500000</v>
      </c>
      <c r="P263" s="187"/>
      <c r="Q263" s="187"/>
      <c r="R263" s="188"/>
      <c r="S263" s="160">
        <f t="shared" si="15"/>
        <v>360000</v>
      </c>
      <c r="T263" s="161">
        <f t="shared" si="16"/>
        <v>6360000</v>
      </c>
      <c r="U263" s="152"/>
      <c r="V263" s="162"/>
    </row>
    <row r="264" spans="1:22" s="190" customFormat="1" ht="32.25" customHeight="1" x14ac:dyDescent="0.2">
      <c r="A264" s="155">
        <f t="shared" si="17"/>
        <v>160</v>
      </c>
      <c r="B264" s="163" t="s">
        <v>1615</v>
      </c>
      <c r="C264" s="157">
        <v>258474143</v>
      </c>
      <c r="D264" s="166"/>
      <c r="E264" s="171">
        <v>1</v>
      </c>
      <c r="F264" s="171" t="s">
        <v>734</v>
      </c>
      <c r="G264" s="157" t="s">
        <v>744</v>
      </c>
      <c r="H264" s="171" t="s">
        <v>180</v>
      </c>
      <c r="I264" s="156" t="s">
        <v>181</v>
      </c>
      <c r="J264" s="157" t="s">
        <v>39</v>
      </c>
      <c r="K264" s="157" t="s">
        <v>233</v>
      </c>
      <c r="L264" s="201" t="s">
        <v>745</v>
      </c>
      <c r="M264" s="165">
        <v>1500000</v>
      </c>
      <c r="N264" s="165"/>
      <c r="O264" s="160">
        <v>4500000</v>
      </c>
      <c r="P264" s="187"/>
      <c r="Q264" s="187"/>
      <c r="R264" s="188"/>
      <c r="S264" s="160">
        <f t="shared" si="15"/>
        <v>360000</v>
      </c>
      <c r="T264" s="161">
        <f t="shared" si="16"/>
        <v>6360000</v>
      </c>
      <c r="U264" s="152"/>
      <c r="V264" s="162"/>
    </row>
    <row r="265" spans="1:22" s="190" customFormat="1" ht="32.25" customHeight="1" x14ac:dyDescent="0.2">
      <c r="A265" s="155">
        <f t="shared" si="17"/>
        <v>161</v>
      </c>
      <c r="B265" s="163" t="s">
        <v>1615</v>
      </c>
      <c r="C265" s="171">
        <v>258474143</v>
      </c>
      <c r="D265" s="171"/>
      <c r="E265" s="171">
        <v>1</v>
      </c>
      <c r="F265" s="157" t="s">
        <v>737</v>
      </c>
      <c r="G265" s="157" t="s">
        <v>748</v>
      </c>
      <c r="H265" s="171" t="s">
        <v>255</v>
      </c>
      <c r="I265" s="156" t="s">
        <v>299</v>
      </c>
      <c r="J265" s="157" t="s">
        <v>39</v>
      </c>
      <c r="K265" s="157" t="s">
        <v>174</v>
      </c>
      <c r="L265" s="152">
        <v>129930</v>
      </c>
      <c r="M265" s="165">
        <v>1500000</v>
      </c>
      <c r="N265" s="165"/>
      <c r="O265" s="160">
        <v>4500000</v>
      </c>
      <c r="P265" s="187"/>
      <c r="Q265" s="187"/>
      <c r="R265" s="188"/>
      <c r="S265" s="160">
        <f t="shared" si="15"/>
        <v>360000</v>
      </c>
      <c r="T265" s="161">
        <f t="shared" si="16"/>
        <v>6360000</v>
      </c>
      <c r="U265" s="152"/>
      <c r="V265" s="162"/>
    </row>
    <row r="266" spans="1:22" s="190" customFormat="1" ht="32.25" customHeight="1" x14ac:dyDescent="0.2">
      <c r="A266" s="155">
        <f t="shared" si="17"/>
        <v>162</v>
      </c>
      <c r="B266" s="163" t="s">
        <v>1615</v>
      </c>
      <c r="C266" s="171">
        <v>258474143</v>
      </c>
      <c r="D266" s="166"/>
      <c r="E266" s="171">
        <v>1</v>
      </c>
      <c r="F266" s="157" t="s">
        <v>1141</v>
      </c>
      <c r="G266" s="171" t="s">
        <v>750</v>
      </c>
      <c r="H266" s="171" t="s">
        <v>255</v>
      </c>
      <c r="I266" s="156" t="s">
        <v>299</v>
      </c>
      <c r="J266" s="157" t="s">
        <v>39</v>
      </c>
      <c r="K266" s="157" t="s">
        <v>174</v>
      </c>
      <c r="L266" s="201" t="s">
        <v>751</v>
      </c>
      <c r="M266" s="165">
        <v>1500000</v>
      </c>
      <c r="N266" s="165"/>
      <c r="O266" s="160">
        <v>4500000</v>
      </c>
      <c r="P266" s="187"/>
      <c r="Q266" s="187"/>
      <c r="R266" s="188"/>
      <c r="S266" s="160">
        <f t="shared" si="15"/>
        <v>360000</v>
      </c>
      <c r="T266" s="161">
        <f t="shared" si="16"/>
        <v>6360000</v>
      </c>
      <c r="U266" s="152"/>
      <c r="V266" s="162"/>
    </row>
    <row r="267" spans="1:22" s="190" customFormat="1" ht="32.25" customHeight="1" x14ac:dyDescent="0.2">
      <c r="A267" s="155">
        <f t="shared" si="17"/>
        <v>163</v>
      </c>
      <c r="B267" s="163" t="s">
        <v>1615</v>
      </c>
      <c r="C267" s="171" t="s">
        <v>740</v>
      </c>
      <c r="D267" s="166"/>
      <c r="E267" s="171">
        <v>1</v>
      </c>
      <c r="F267" s="157" t="s">
        <v>1142</v>
      </c>
      <c r="G267" s="157" t="s">
        <v>560</v>
      </c>
      <c r="H267" s="171" t="s">
        <v>255</v>
      </c>
      <c r="I267" s="156" t="s">
        <v>299</v>
      </c>
      <c r="J267" s="157" t="s">
        <v>39</v>
      </c>
      <c r="K267" s="157" t="s">
        <v>174</v>
      </c>
      <c r="L267" s="201" t="s">
        <v>753</v>
      </c>
      <c r="M267" s="165">
        <v>1500000</v>
      </c>
      <c r="N267" s="165"/>
      <c r="O267" s="160">
        <v>4500000</v>
      </c>
      <c r="P267" s="187"/>
      <c r="Q267" s="187"/>
      <c r="R267" s="188"/>
      <c r="S267" s="160">
        <f t="shared" si="15"/>
        <v>360000</v>
      </c>
      <c r="T267" s="161">
        <f t="shared" si="16"/>
        <v>6360000</v>
      </c>
      <c r="U267" s="152"/>
      <c r="V267" s="162"/>
    </row>
    <row r="268" spans="1:22" s="190" customFormat="1" ht="32.25" customHeight="1" x14ac:dyDescent="0.2">
      <c r="A268" s="155">
        <f t="shared" si="17"/>
        <v>164</v>
      </c>
      <c r="B268" s="163" t="s">
        <v>1615</v>
      </c>
      <c r="C268" s="171" t="s">
        <v>740</v>
      </c>
      <c r="D268" s="166"/>
      <c r="E268" s="171">
        <v>1</v>
      </c>
      <c r="F268" s="171" t="s">
        <v>1143</v>
      </c>
      <c r="G268" s="157" t="s">
        <v>755</v>
      </c>
      <c r="H268" s="171" t="s">
        <v>255</v>
      </c>
      <c r="I268" s="156" t="s">
        <v>299</v>
      </c>
      <c r="J268" s="157" t="s">
        <v>39</v>
      </c>
      <c r="K268" s="157" t="s">
        <v>174</v>
      </c>
      <c r="L268" s="201" t="s">
        <v>756</v>
      </c>
      <c r="M268" s="165">
        <v>1500000</v>
      </c>
      <c r="N268" s="165"/>
      <c r="O268" s="160">
        <v>5300000</v>
      </c>
      <c r="P268" s="187"/>
      <c r="Q268" s="187"/>
      <c r="R268" s="188"/>
      <c r="S268" s="160">
        <f t="shared" si="15"/>
        <v>424000</v>
      </c>
      <c r="T268" s="161">
        <f t="shared" si="16"/>
        <v>7224000</v>
      </c>
      <c r="U268" s="152"/>
      <c r="V268" s="162"/>
    </row>
    <row r="269" spans="1:22" s="190" customFormat="1" ht="32.25" customHeight="1" x14ac:dyDescent="0.2">
      <c r="A269" s="155">
        <f t="shared" si="17"/>
        <v>165</v>
      </c>
      <c r="B269" s="163" t="s">
        <v>1615</v>
      </c>
      <c r="C269" s="157" t="s">
        <v>746</v>
      </c>
      <c r="D269" s="166"/>
      <c r="E269" s="171">
        <v>1</v>
      </c>
      <c r="F269" s="157" t="s">
        <v>743</v>
      </c>
      <c r="G269" s="157" t="s">
        <v>758</v>
      </c>
      <c r="H269" s="171" t="s">
        <v>298</v>
      </c>
      <c r="I269" s="156" t="s">
        <v>299</v>
      </c>
      <c r="J269" s="157" t="s">
        <v>233</v>
      </c>
      <c r="K269" s="157" t="s">
        <v>39</v>
      </c>
      <c r="L269" s="200">
        <v>414616</v>
      </c>
      <c r="M269" s="165">
        <v>1500000</v>
      </c>
      <c r="N269" s="185"/>
      <c r="O269" s="160">
        <v>5300000</v>
      </c>
      <c r="P269" s="187"/>
      <c r="Q269" s="187"/>
      <c r="R269" s="188"/>
      <c r="S269" s="160">
        <f t="shared" si="15"/>
        <v>424000</v>
      </c>
      <c r="T269" s="161">
        <f t="shared" si="16"/>
        <v>7224000</v>
      </c>
      <c r="U269" s="152"/>
      <c r="V269" s="162"/>
    </row>
    <row r="270" spans="1:22" s="190" customFormat="1" ht="32.25" customHeight="1" x14ac:dyDescent="0.2">
      <c r="A270" s="155">
        <f t="shared" si="17"/>
        <v>166</v>
      </c>
      <c r="B270" s="163" t="s">
        <v>1615</v>
      </c>
      <c r="C270" s="157" t="s">
        <v>746</v>
      </c>
      <c r="D270" s="166"/>
      <c r="E270" s="171">
        <v>1</v>
      </c>
      <c r="F270" s="157" t="s">
        <v>741</v>
      </c>
      <c r="G270" s="157" t="s">
        <v>760</v>
      </c>
      <c r="H270" s="171" t="s">
        <v>298</v>
      </c>
      <c r="I270" s="156" t="s">
        <v>299</v>
      </c>
      <c r="J270" s="157" t="s">
        <v>233</v>
      </c>
      <c r="K270" s="157" t="s">
        <v>39</v>
      </c>
      <c r="L270" s="201" t="s">
        <v>761</v>
      </c>
      <c r="M270" s="165">
        <v>1500000</v>
      </c>
      <c r="N270" s="185"/>
      <c r="O270" s="160">
        <v>5300000</v>
      </c>
      <c r="P270" s="187"/>
      <c r="Q270" s="187"/>
      <c r="R270" s="188"/>
      <c r="S270" s="160">
        <f t="shared" si="15"/>
        <v>424000</v>
      </c>
      <c r="T270" s="161">
        <f t="shared" si="16"/>
        <v>7224000</v>
      </c>
      <c r="U270" s="152"/>
      <c r="V270" s="162"/>
    </row>
    <row r="271" spans="1:22" s="190" customFormat="1" ht="32.25" customHeight="1" x14ac:dyDescent="0.2">
      <c r="A271" s="155">
        <f t="shared" si="17"/>
        <v>167</v>
      </c>
      <c r="B271" s="163" t="s">
        <v>1615</v>
      </c>
      <c r="C271" s="157" t="s">
        <v>746</v>
      </c>
      <c r="D271" s="166"/>
      <c r="E271" s="171">
        <v>1</v>
      </c>
      <c r="F271" s="171" t="s">
        <v>752</v>
      </c>
      <c r="G271" s="157" t="s">
        <v>763</v>
      </c>
      <c r="H271" s="171" t="s">
        <v>298</v>
      </c>
      <c r="I271" s="156" t="s">
        <v>299</v>
      </c>
      <c r="J271" s="157" t="s">
        <v>233</v>
      </c>
      <c r="K271" s="157" t="s">
        <v>39</v>
      </c>
      <c r="L271" s="152">
        <v>414890</v>
      </c>
      <c r="M271" s="165">
        <v>1500000</v>
      </c>
      <c r="N271" s="185"/>
      <c r="O271" s="160">
        <v>5300000</v>
      </c>
      <c r="P271" s="187"/>
      <c r="Q271" s="187"/>
      <c r="R271" s="188"/>
      <c r="S271" s="160">
        <f t="shared" si="15"/>
        <v>424000</v>
      </c>
      <c r="T271" s="161">
        <f t="shared" si="16"/>
        <v>7224000</v>
      </c>
      <c r="U271" s="152"/>
      <c r="V271" s="162"/>
    </row>
    <row r="272" spans="1:22" s="190" customFormat="1" ht="32.25" customHeight="1" x14ac:dyDescent="0.2">
      <c r="A272" s="155">
        <f t="shared" si="17"/>
        <v>168</v>
      </c>
      <c r="B272" s="163" t="s">
        <v>1615</v>
      </c>
      <c r="C272" s="157" t="s">
        <v>746</v>
      </c>
      <c r="D272" s="166"/>
      <c r="E272" s="171">
        <v>1</v>
      </c>
      <c r="F272" s="157" t="s">
        <v>749</v>
      </c>
      <c r="G272" s="157" t="s">
        <v>765</v>
      </c>
      <c r="H272" s="171" t="s">
        <v>298</v>
      </c>
      <c r="I272" s="156" t="s">
        <v>299</v>
      </c>
      <c r="J272" s="157" t="s">
        <v>233</v>
      </c>
      <c r="K272" s="157" t="s">
        <v>39</v>
      </c>
      <c r="L272" s="211">
        <v>414641</v>
      </c>
      <c r="M272" s="165">
        <v>1500000</v>
      </c>
      <c r="N272" s="185"/>
      <c r="O272" s="160">
        <v>5300000</v>
      </c>
      <c r="P272" s="187"/>
      <c r="Q272" s="187"/>
      <c r="R272" s="188"/>
      <c r="S272" s="160">
        <f t="shared" si="15"/>
        <v>424000</v>
      </c>
      <c r="T272" s="161">
        <f t="shared" si="16"/>
        <v>7224000</v>
      </c>
      <c r="U272" s="152"/>
      <c r="V272" s="162"/>
    </row>
    <row r="273" spans="1:22" s="190" customFormat="1" ht="32.25" customHeight="1" x14ac:dyDescent="0.2">
      <c r="A273" s="155">
        <f t="shared" si="17"/>
        <v>169</v>
      </c>
      <c r="B273" s="163" t="s">
        <v>1615</v>
      </c>
      <c r="C273" s="157" t="s">
        <v>766</v>
      </c>
      <c r="D273" s="166"/>
      <c r="E273" s="171">
        <v>1</v>
      </c>
      <c r="F273" s="157" t="s">
        <v>747</v>
      </c>
      <c r="G273" s="157" t="s">
        <v>768</v>
      </c>
      <c r="H273" s="171" t="s">
        <v>255</v>
      </c>
      <c r="I273" s="155" t="s">
        <v>256</v>
      </c>
      <c r="J273" s="157" t="s">
        <v>39</v>
      </c>
      <c r="K273" s="157" t="s">
        <v>182</v>
      </c>
      <c r="L273" s="212" t="s">
        <v>769</v>
      </c>
      <c r="M273" s="185">
        <v>1500000</v>
      </c>
      <c r="N273" s="185"/>
      <c r="O273" s="160">
        <v>4500000</v>
      </c>
      <c r="P273" s="187"/>
      <c r="Q273" s="187"/>
      <c r="R273" s="188"/>
      <c r="S273" s="160">
        <f t="shared" si="15"/>
        <v>360000</v>
      </c>
      <c r="T273" s="161">
        <f t="shared" si="16"/>
        <v>6360000</v>
      </c>
      <c r="U273" s="152"/>
      <c r="V273" s="162"/>
    </row>
    <row r="274" spans="1:22" s="190" customFormat="1" ht="32.25" customHeight="1" x14ac:dyDescent="0.2">
      <c r="A274" s="155">
        <f t="shared" si="17"/>
        <v>170</v>
      </c>
      <c r="B274" s="163" t="s">
        <v>1615</v>
      </c>
      <c r="C274" s="157">
        <v>2314640630</v>
      </c>
      <c r="D274" s="166"/>
      <c r="E274" s="171">
        <v>1</v>
      </c>
      <c r="F274" s="157" t="s">
        <v>754</v>
      </c>
      <c r="G274" s="157" t="s">
        <v>771</v>
      </c>
      <c r="H274" s="171" t="s">
        <v>255</v>
      </c>
      <c r="I274" s="155" t="s">
        <v>256</v>
      </c>
      <c r="J274" s="157" t="s">
        <v>39</v>
      </c>
      <c r="K274" s="157" t="s">
        <v>433</v>
      </c>
      <c r="L274" s="212" t="s">
        <v>772</v>
      </c>
      <c r="M274" s="185">
        <v>1500000</v>
      </c>
      <c r="N274" s="185"/>
      <c r="O274" s="160">
        <v>4500000</v>
      </c>
      <c r="P274" s="187"/>
      <c r="Q274" s="187"/>
      <c r="R274" s="188"/>
      <c r="S274" s="160">
        <f t="shared" ref="S274:S335" si="18">O274*0.08</f>
        <v>360000</v>
      </c>
      <c r="T274" s="161">
        <f t="shared" si="16"/>
        <v>6360000</v>
      </c>
      <c r="U274" s="152"/>
      <c r="V274" s="162"/>
    </row>
    <row r="275" spans="1:22" s="190" customFormat="1" ht="32.25" customHeight="1" x14ac:dyDescent="0.2">
      <c r="A275" s="155">
        <f t="shared" si="17"/>
        <v>171</v>
      </c>
      <c r="B275" s="163" t="s">
        <v>1615</v>
      </c>
      <c r="C275" s="157">
        <v>2314640630</v>
      </c>
      <c r="D275" s="166"/>
      <c r="E275" s="171">
        <v>1</v>
      </c>
      <c r="F275" s="171" t="s">
        <v>767</v>
      </c>
      <c r="G275" s="157" t="s">
        <v>774</v>
      </c>
      <c r="H275" s="171" t="s">
        <v>255</v>
      </c>
      <c r="I275" s="155" t="s">
        <v>256</v>
      </c>
      <c r="J275" s="157" t="s">
        <v>39</v>
      </c>
      <c r="K275" s="157" t="s">
        <v>433</v>
      </c>
      <c r="L275" s="212" t="s">
        <v>775</v>
      </c>
      <c r="M275" s="185">
        <v>1500000</v>
      </c>
      <c r="N275" s="185"/>
      <c r="O275" s="160">
        <v>4500000</v>
      </c>
      <c r="P275" s="187"/>
      <c r="Q275" s="187"/>
      <c r="R275" s="188"/>
      <c r="S275" s="160">
        <f t="shared" si="18"/>
        <v>360000</v>
      </c>
      <c r="T275" s="161">
        <f t="shared" si="16"/>
        <v>6360000</v>
      </c>
      <c r="U275" s="152"/>
      <c r="V275" s="162"/>
    </row>
    <row r="276" spans="1:22" s="190" customFormat="1" ht="32.25" customHeight="1" x14ac:dyDescent="0.2">
      <c r="A276" s="155">
        <f t="shared" si="17"/>
        <v>172</v>
      </c>
      <c r="B276" s="163" t="s">
        <v>1615</v>
      </c>
      <c r="C276" s="157">
        <v>2314676690</v>
      </c>
      <c r="D276" s="166"/>
      <c r="E276" s="171">
        <v>1</v>
      </c>
      <c r="F276" s="157" t="s">
        <v>759</v>
      </c>
      <c r="G276" s="152" t="s">
        <v>308</v>
      </c>
      <c r="H276" s="171" t="s">
        <v>298</v>
      </c>
      <c r="I276" s="156" t="s">
        <v>299</v>
      </c>
      <c r="J276" s="171" t="s">
        <v>433</v>
      </c>
      <c r="K276" s="157" t="s">
        <v>39</v>
      </c>
      <c r="L276" s="212" t="s">
        <v>777</v>
      </c>
      <c r="M276" s="185">
        <v>1450000</v>
      </c>
      <c r="N276" s="185"/>
      <c r="O276" s="160">
        <v>5300000</v>
      </c>
      <c r="P276" s="187"/>
      <c r="Q276" s="187"/>
      <c r="R276" s="188"/>
      <c r="S276" s="160">
        <f t="shared" si="18"/>
        <v>424000</v>
      </c>
      <c r="T276" s="161">
        <f t="shared" ref="T276:T337" si="19">S276+P276+O276+N276+M276</f>
        <v>7174000</v>
      </c>
      <c r="U276" s="152"/>
      <c r="V276" s="162"/>
    </row>
    <row r="277" spans="1:22" s="190" customFormat="1" ht="32.25" customHeight="1" x14ac:dyDescent="0.2">
      <c r="A277" s="155">
        <f t="shared" si="17"/>
        <v>173</v>
      </c>
      <c r="B277" s="163" t="s">
        <v>1615</v>
      </c>
      <c r="C277" s="157">
        <v>2314676690</v>
      </c>
      <c r="D277" s="166"/>
      <c r="E277" s="171">
        <v>1</v>
      </c>
      <c r="F277" s="157" t="s">
        <v>762</v>
      </c>
      <c r="G277" s="152" t="s">
        <v>198</v>
      </c>
      <c r="H277" s="171" t="s">
        <v>298</v>
      </c>
      <c r="I277" s="156" t="s">
        <v>299</v>
      </c>
      <c r="J277" s="171" t="s">
        <v>433</v>
      </c>
      <c r="K277" s="157" t="s">
        <v>39</v>
      </c>
      <c r="L277" s="212" t="s">
        <v>779</v>
      </c>
      <c r="M277" s="185">
        <v>1450000</v>
      </c>
      <c r="N277" s="185"/>
      <c r="O277" s="160">
        <v>5300000</v>
      </c>
      <c r="P277" s="187"/>
      <c r="Q277" s="187"/>
      <c r="R277" s="188"/>
      <c r="S277" s="160">
        <f t="shared" si="18"/>
        <v>424000</v>
      </c>
      <c r="T277" s="161">
        <f t="shared" si="19"/>
        <v>7174000</v>
      </c>
      <c r="U277" s="152"/>
      <c r="V277" s="162"/>
    </row>
    <row r="278" spans="1:22" s="190" customFormat="1" ht="32.25" customHeight="1" x14ac:dyDescent="0.2">
      <c r="A278" s="155">
        <f t="shared" si="17"/>
        <v>174</v>
      </c>
      <c r="B278" s="163" t="s">
        <v>1616</v>
      </c>
      <c r="C278" s="157" t="s">
        <v>786</v>
      </c>
      <c r="D278" s="166"/>
      <c r="E278" s="171">
        <v>1</v>
      </c>
      <c r="F278" s="157" t="s">
        <v>757</v>
      </c>
      <c r="G278" s="152" t="s">
        <v>194</v>
      </c>
      <c r="H278" s="171" t="s">
        <v>298</v>
      </c>
      <c r="I278" s="156" t="s">
        <v>299</v>
      </c>
      <c r="J278" s="171" t="s">
        <v>433</v>
      </c>
      <c r="K278" s="157" t="s">
        <v>39</v>
      </c>
      <c r="L278" s="212" t="s">
        <v>781</v>
      </c>
      <c r="M278" s="185">
        <v>1450000</v>
      </c>
      <c r="N278" s="185"/>
      <c r="O278" s="160">
        <v>5300000</v>
      </c>
      <c r="P278" s="187"/>
      <c r="Q278" s="187"/>
      <c r="R278" s="188"/>
      <c r="S278" s="160">
        <f t="shared" si="18"/>
        <v>424000</v>
      </c>
      <c r="T278" s="161">
        <f t="shared" si="19"/>
        <v>7174000</v>
      </c>
      <c r="U278" s="152"/>
      <c r="V278" s="162"/>
    </row>
    <row r="279" spans="1:22" s="190" customFormat="1" ht="32.25" customHeight="1" x14ac:dyDescent="0.2">
      <c r="A279" s="155">
        <f t="shared" si="17"/>
        <v>175</v>
      </c>
      <c r="B279" s="163" t="s">
        <v>1616</v>
      </c>
      <c r="C279" s="157" t="s">
        <v>786</v>
      </c>
      <c r="D279" s="166"/>
      <c r="E279" s="171">
        <v>1</v>
      </c>
      <c r="F279" s="157" t="s">
        <v>764</v>
      </c>
      <c r="G279" s="152" t="s">
        <v>191</v>
      </c>
      <c r="H279" s="171" t="s">
        <v>298</v>
      </c>
      <c r="I279" s="156" t="s">
        <v>299</v>
      </c>
      <c r="J279" s="171" t="s">
        <v>433</v>
      </c>
      <c r="K279" s="157" t="s">
        <v>39</v>
      </c>
      <c r="L279" s="212" t="s">
        <v>783</v>
      </c>
      <c r="M279" s="185">
        <v>1450000</v>
      </c>
      <c r="N279" s="185"/>
      <c r="O279" s="160">
        <v>5300000</v>
      </c>
      <c r="P279" s="187"/>
      <c r="Q279" s="187"/>
      <c r="R279" s="188"/>
      <c r="S279" s="160">
        <f t="shared" si="18"/>
        <v>424000</v>
      </c>
      <c r="T279" s="161">
        <f t="shared" si="19"/>
        <v>7174000</v>
      </c>
      <c r="U279" s="152"/>
      <c r="V279" s="162"/>
    </row>
    <row r="280" spans="1:22" s="190" customFormat="1" ht="32.25" customHeight="1" x14ac:dyDescent="0.2">
      <c r="A280" s="155">
        <f t="shared" si="17"/>
        <v>176</v>
      </c>
      <c r="B280" s="163" t="s">
        <v>1616</v>
      </c>
      <c r="C280" s="157" t="s">
        <v>786</v>
      </c>
      <c r="D280" s="166"/>
      <c r="E280" s="171">
        <v>1</v>
      </c>
      <c r="F280" s="171" t="s">
        <v>787</v>
      </c>
      <c r="G280" s="152" t="s">
        <v>213</v>
      </c>
      <c r="H280" s="171" t="s">
        <v>298</v>
      </c>
      <c r="I280" s="156" t="s">
        <v>299</v>
      </c>
      <c r="J280" s="171" t="s">
        <v>433</v>
      </c>
      <c r="K280" s="157" t="s">
        <v>39</v>
      </c>
      <c r="L280" s="212" t="s">
        <v>785</v>
      </c>
      <c r="M280" s="185">
        <v>1450000</v>
      </c>
      <c r="N280" s="185"/>
      <c r="O280" s="160">
        <v>5300000</v>
      </c>
      <c r="P280" s="187"/>
      <c r="Q280" s="187"/>
      <c r="R280" s="188"/>
      <c r="S280" s="160">
        <f t="shared" si="18"/>
        <v>424000</v>
      </c>
      <c r="T280" s="161">
        <f t="shared" si="19"/>
        <v>7174000</v>
      </c>
      <c r="U280" s="152"/>
      <c r="V280" s="162"/>
    </row>
    <row r="281" spans="1:22" s="190" customFormat="1" ht="32.25" customHeight="1" x14ac:dyDescent="0.2">
      <c r="A281" s="155">
        <f t="shared" si="17"/>
        <v>177</v>
      </c>
      <c r="B281" s="163" t="s">
        <v>1616</v>
      </c>
      <c r="C281" s="157" t="s">
        <v>786</v>
      </c>
      <c r="D281" s="166"/>
      <c r="E281" s="171">
        <v>1</v>
      </c>
      <c r="F281" s="157" t="s">
        <v>798</v>
      </c>
      <c r="G281" s="157" t="s">
        <v>284</v>
      </c>
      <c r="H281" s="171" t="s">
        <v>180</v>
      </c>
      <c r="I281" s="156" t="s">
        <v>181</v>
      </c>
      <c r="J281" s="171" t="s">
        <v>358</v>
      </c>
      <c r="K281" s="157" t="s">
        <v>39</v>
      </c>
      <c r="L281" s="212" t="s">
        <v>788</v>
      </c>
      <c r="M281" s="185">
        <v>1500000</v>
      </c>
      <c r="N281" s="185"/>
      <c r="O281" s="160">
        <v>4500000</v>
      </c>
      <c r="P281" s="187"/>
      <c r="Q281" s="187"/>
      <c r="R281" s="188"/>
      <c r="S281" s="160">
        <f t="shared" si="18"/>
        <v>360000</v>
      </c>
      <c r="T281" s="161">
        <f t="shared" si="19"/>
        <v>6360000</v>
      </c>
      <c r="U281" s="152"/>
      <c r="V281" s="162"/>
    </row>
    <row r="282" spans="1:22" s="190" customFormat="1" ht="32.25" customHeight="1" x14ac:dyDescent="0.2">
      <c r="A282" s="155">
        <f t="shared" si="17"/>
        <v>178</v>
      </c>
      <c r="B282" s="163" t="s">
        <v>1616</v>
      </c>
      <c r="C282" s="157" t="s">
        <v>786</v>
      </c>
      <c r="D282" s="166"/>
      <c r="E282" s="171">
        <v>1</v>
      </c>
      <c r="F282" s="157" t="s">
        <v>795</v>
      </c>
      <c r="G282" s="157" t="s">
        <v>790</v>
      </c>
      <c r="H282" s="171" t="s">
        <v>180</v>
      </c>
      <c r="I282" s="156" t="s">
        <v>181</v>
      </c>
      <c r="J282" s="171" t="s">
        <v>358</v>
      </c>
      <c r="K282" s="157" t="s">
        <v>39</v>
      </c>
      <c r="L282" s="212" t="s">
        <v>791</v>
      </c>
      <c r="M282" s="185">
        <v>1500000</v>
      </c>
      <c r="N282" s="185"/>
      <c r="O282" s="160">
        <v>4500000</v>
      </c>
      <c r="P282" s="187"/>
      <c r="Q282" s="187"/>
      <c r="R282" s="188"/>
      <c r="S282" s="160">
        <f t="shared" si="18"/>
        <v>360000</v>
      </c>
      <c r="T282" s="161">
        <f t="shared" si="19"/>
        <v>6360000</v>
      </c>
      <c r="U282" s="152"/>
      <c r="V282" s="162"/>
    </row>
    <row r="283" spans="1:22" s="190" customFormat="1" ht="32.25" customHeight="1" x14ac:dyDescent="0.2">
      <c r="A283" s="155">
        <f t="shared" si="17"/>
        <v>179</v>
      </c>
      <c r="B283" s="163" t="s">
        <v>1616</v>
      </c>
      <c r="C283" s="157">
        <v>261856791</v>
      </c>
      <c r="D283" s="166"/>
      <c r="E283" s="171">
        <v>1</v>
      </c>
      <c r="F283" s="157" t="s">
        <v>792</v>
      </c>
      <c r="G283" s="157" t="s">
        <v>793</v>
      </c>
      <c r="H283" s="171" t="s">
        <v>180</v>
      </c>
      <c r="I283" s="156" t="s">
        <v>181</v>
      </c>
      <c r="J283" s="171" t="s">
        <v>358</v>
      </c>
      <c r="K283" s="157" t="s">
        <v>39</v>
      </c>
      <c r="L283" s="212" t="s">
        <v>794</v>
      </c>
      <c r="M283" s="185">
        <v>1500000</v>
      </c>
      <c r="N283" s="185"/>
      <c r="O283" s="160">
        <v>4500000</v>
      </c>
      <c r="P283" s="187"/>
      <c r="Q283" s="187"/>
      <c r="R283" s="188"/>
      <c r="S283" s="160">
        <f t="shared" si="18"/>
        <v>360000</v>
      </c>
      <c r="T283" s="161">
        <f t="shared" si="19"/>
        <v>6360000</v>
      </c>
      <c r="U283" s="152"/>
      <c r="V283" s="162"/>
    </row>
    <row r="284" spans="1:22" s="190" customFormat="1" ht="32.25" customHeight="1" x14ac:dyDescent="0.2">
      <c r="A284" s="155">
        <f t="shared" si="17"/>
        <v>180</v>
      </c>
      <c r="B284" s="163" t="s">
        <v>1616</v>
      </c>
      <c r="C284" s="157">
        <v>261856791</v>
      </c>
      <c r="D284" s="166"/>
      <c r="E284" s="171">
        <v>1</v>
      </c>
      <c r="F284" s="157" t="s">
        <v>789</v>
      </c>
      <c r="G284" s="157" t="s">
        <v>796</v>
      </c>
      <c r="H284" s="171" t="s">
        <v>180</v>
      </c>
      <c r="I284" s="156" t="s">
        <v>181</v>
      </c>
      <c r="J284" s="171" t="s">
        <v>358</v>
      </c>
      <c r="K284" s="157" t="s">
        <v>39</v>
      </c>
      <c r="L284" s="212" t="s">
        <v>797</v>
      </c>
      <c r="M284" s="185">
        <v>1500000</v>
      </c>
      <c r="N284" s="185"/>
      <c r="O284" s="160">
        <v>4500000</v>
      </c>
      <c r="P284" s="187"/>
      <c r="Q284" s="187"/>
      <c r="R284" s="188"/>
      <c r="S284" s="160">
        <f t="shared" si="18"/>
        <v>360000</v>
      </c>
      <c r="T284" s="161">
        <f t="shared" si="19"/>
        <v>6360000</v>
      </c>
      <c r="U284" s="152"/>
      <c r="V284" s="162"/>
    </row>
    <row r="285" spans="1:22" s="190" customFormat="1" ht="32.25" customHeight="1" x14ac:dyDescent="0.2">
      <c r="A285" s="155">
        <f t="shared" si="17"/>
        <v>181</v>
      </c>
      <c r="B285" s="163" t="s">
        <v>1616</v>
      </c>
      <c r="C285" s="157">
        <v>261856791</v>
      </c>
      <c r="D285" s="166"/>
      <c r="E285" s="171">
        <v>1</v>
      </c>
      <c r="F285" s="157" t="s">
        <v>770</v>
      </c>
      <c r="G285" s="157" t="s">
        <v>799</v>
      </c>
      <c r="H285" s="171" t="s">
        <v>180</v>
      </c>
      <c r="I285" s="156" t="s">
        <v>181</v>
      </c>
      <c r="J285" s="171" t="s">
        <v>358</v>
      </c>
      <c r="K285" s="157" t="s">
        <v>39</v>
      </c>
      <c r="L285" s="212" t="s">
        <v>800</v>
      </c>
      <c r="M285" s="185">
        <v>1500000</v>
      </c>
      <c r="N285" s="185"/>
      <c r="O285" s="160">
        <v>4500000</v>
      </c>
      <c r="P285" s="187"/>
      <c r="Q285" s="187"/>
      <c r="R285" s="188"/>
      <c r="S285" s="160">
        <f t="shared" si="18"/>
        <v>360000</v>
      </c>
      <c r="T285" s="161">
        <f t="shared" si="19"/>
        <v>6360000</v>
      </c>
      <c r="U285" s="152"/>
      <c r="V285" s="162"/>
    </row>
    <row r="286" spans="1:22" s="190" customFormat="1" ht="32.25" customHeight="1" x14ac:dyDescent="0.2">
      <c r="A286" s="155">
        <f t="shared" si="17"/>
        <v>182</v>
      </c>
      <c r="B286" s="163" t="s">
        <v>1616</v>
      </c>
      <c r="C286" s="157">
        <v>261567466</v>
      </c>
      <c r="D286" s="166"/>
      <c r="E286" s="171">
        <v>1</v>
      </c>
      <c r="F286" s="157" t="s">
        <v>773</v>
      </c>
      <c r="G286" s="157" t="s">
        <v>604</v>
      </c>
      <c r="H286" s="171" t="s">
        <v>802</v>
      </c>
      <c r="I286" s="155" t="s">
        <v>256</v>
      </c>
      <c r="J286" s="198" t="s">
        <v>480</v>
      </c>
      <c r="K286" s="157" t="s">
        <v>39</v>
      </c>
      <c r="L286" s="212" t="s">
        <v>803</v>
      </c>
      <c r="M286" s="185">
        <v>1500000</v>
      </c>
      <c r="N286" s="185"/>
      <c r="O286" s="160">
        <v>3150000</v>
      </c>
      <c r="P286" s="187"/>
      <c r="Q286" s="187"/>
      <c r="R286" s="188"/>
      <c r="S286" s="160">
        <f t="shared" si="18"/>
        <v>252000</v>
      </c>
      <c r="T286" s="161">
        <f t="shared" si="19"/>
        <v>4902000</v>
      </c>
      <c r="U286" s="152"/>
      <c r="V286" s="162"/>
    </row>
    <row r="287" spans="1:22" s="190" customFormat="1" ht="32.25" customHeight="1" x14ac:dyDescent="0.2">
      <c r="A287" s="155">
        <f t="shared" si="17"/>
        <v>183</v>
      </c>
      <c r="B287" s="163" t="s">
        <v>1616</v>
      </c>
      <c r="C287" s="157">
        <v>261567466</v>
      </c>
      <c r="D287" s="166"/>
      <c r="E287" s="171">
        <v>1</v>
      </c>
      <c r="F287" s="171" t="s">
        <v>801</v>
      </c>
      <c r="G287" s="157" t="s">
        <v>774</v>
      </c>
      <c r="H287" s="171" t="s">
        <v>802</v>
      </c>
      <c r="I287" s="155" t="s">
        <v>256</v>
      </c>
      <c r="J287" s="198" t="s">
        <v>480</v>
      </c>
      <c r="K287" s="157" t="s">
        <v>39</v>
      </c>
      <c r="L287" s="212" t="s">
        <v>804</v>
      </c>
      <c r="M287" s="185">
        <v>1500000</v>
      </c>
      <c r="N287" s="185"/>
      <c r="O287" s="160">
        <v>3150000</v>
      </c>
      <c r="P287" s="187"/>
      <c r="Q287" s="187"/>
      <c r="R287" s="188"/>
      <c r="S287" s="160">
        <f t="shared" si="18"/>
        <v>252000</v>
      </c>
      <c r="T287" s="161">
        <f t="shared" si="19"/>
        <v>4902000</v>
      </c>
      <c r="U287" s="152"/>
      <c r="V287" s="162"/>
    </row>
    <row r="288" spans="1:22" s="190" customFormat="1" ht="32.25" customHeight="1" x14ac:dyDescent="0.2">
      <c r="A288" s="155">
        <f t="shared" si="17"/>
        <v>184</v>
      </c>
      <c r="B288" s="163" t="s">
        <v>1616</v>
      </c>
      <c r="C288" s="182">
        <v>261567466</v>
      </c>
      <c r="D288" s="170"/>
      <c r="E288" s="203">
        <v>1</v>
      </c>
      <c r="F288" s="182" t="s">
        <v>776</v>
      </c>
      <c r="G288" s="182" t="s">
        <v>771</v>
      </c>
      <c r="H288" s="203" t="s">
        <v>802</v>
      </c>
      <c r="I288" s="181" t="s">
        <v>256</v>
      </c>
      <c r="J288" s="205" t="s">
        <v>480</v>
      </c>
      <c r="K288" s="182" t="s">
        <v>39</v>
      </c>
      <c r="L288" s="212" t="s">
        <v>805</v>
      </c>
      <c r="M288" s="185">
        <v>1500000</v>
      </c>
      <c r="N288" s="185"/>
      <c r="O288" s="160">
        <v>3150000</v>
      </c>
      <c r="P288" s="187"/>
      <c r="Q288" s="187"/>
      <c r="R288" s="188"/>
      <c r="S288" s="160">
        <f t="shared" si="18"/>
        <v>252000</v>
      </c>
      <c r="T288" s="161">
        <f t="shared" si="19"/>
        <v>4902000</v>
      </c>
      <c r="U288" s="152"/>
      <c r="V288" s="162"/>
    </row>
    <row r="289" spans="1:22" s="190" customFormat="1" ht="32.25" customHeight="1" x14ac:dyDescent="0.2">
      <c r="A289" s="155">
        <f t="shared" si="17"/>
        <v>185</v>
      </c>
      <c r="B289" s="213" t="s">
        <v>1616</v>
      </c>
      <c r="C289" s="171">
        <v>261567466</v>
      </c>
      <c r="D289" s="171"/>
      <c r="E289" s="203">
        <v>1</v>
      </c>
      <c r="F289" s="182" t="s">
        <v>784</v>
      </c>
      <c r="G289" s="152" t="s">
        <v>213</v>
      </c>
      <c r="H289" s="199" t="s">
        <v>808</v>
      </c>
      <c r="I289" s="156" t="s">
        <v>809</v>
      </c>
      <c r="J289" s="156" t="s">
        <v>39</v>
      </c>
      <c r="K289" s="157" t="s">
        <v>182</v>
      </c>
      <c r="L289" s="201" t="s">
        <v>810</v>
      </c>
      <c r="M289" s="165">
        <v>1500000</v>
      </c>
      <c r="N289" s="185"/>
      <c r="O289" s="160">
        <v>3200000</v>
      </c>
      <c r="P289" s="187"/>
      <c r="Q289" s="187"/>
      <c r="R289" s="188"/>
      <c r="S289" s="160">
        <f t="shared" si="18"/>
        <v>256000</v>
      </c>
      <c r="T289" s="161">
        <f t="shared" si="19"/>
        <v>4956000</v>
      </c>
      <c r="U289" s="152"/>
      <c r="V289" s="162"/>
    </row>
    <row r="290" spans="1:22" s="190" customFormat="1" ht="32.25" customHeight="1" x14ac:dyDescent="0.2">
      <c r="A290" s="155">
        <f t="shared" si="17"/>
        <v>186</v>
      </c>
      <c r="B290" s="213" t="s">
        <v>1616</v>
      </c>
      <c r="C290" s="206">
        <v>261567466</v>
      </c>
      <c r="D290" s="206"/>
      <c r="E290" s="203">
        <v>1</v>
      </c>
      <c r="F290" s="157" t="s">
        <v>780</v>
      </c>
      <c r="G290" s="152" t="s">
        <v>222</v>
      </c>
      <c r="H290" s="199" t="s">
        <v>808</v>
      </c>
      <c r="I290" s="156" t="s">
        <v>809</v>
      </c>
      <c r="J290" s="156" t="s">
        <v>39</v>
      </c>
      <c r="K290" s="198" t="s">
        <v>281</v>
      </c>
      <c r="L290" s="201" t="s">
        <v>813</v>
      </c>
      <c r="M290" s="165">
        <v>1500000</v>
      </c>
      <c r="N290" s="185"/>
      <c r="O290" s="160">
        <v>3200000</v>
      </c>
      <c r="P290" s="187"/>
      <c r="Q290" s="187"/>
      <c r="R290" s="188"/>
      <c r="S290" s="160">
        <f t="shared" si="18"/>
        <v>256000</v>
      </c>
      <c r="T290" s="161">
        <f t="shared" si="19"/>
        <v>4956000</v>
      </c>
      <c r="U290" s="152"/>
      <c r="V290" s="162"/>
    </row>
    <row r="291" spans="1:22" s="190" customFormat="1" ht="32.25" customHeight="1" x14ac:dyDescent="0.2">
      <c r="A291" s="155">
        <f t="shared" si="17"/>
        <v>187</v>
      </c>
      <c r="B291" s="213" t="s">
        <v>1616</v>
      </c>
      <c r="C291" s="206">
        <v>257750909</v>
      </c>
      <c r="D291" s="206"/>
      <c r="E291" s="203">
        <v>1</v>
      </c>
      <c r="F291" s="157" t="s">
        <v>782</v>
      </c>
      <c r="G291" s="152" t="s">
        <v>368</v>
      </c>
      <c r="H291" s="199" t="s">
        <v>808</v>
      </c>
      <c r="I291" s="156" t="s">
        <v>809</v>
      </c>
      <c r="J291" s="156" t="s">
        <v>39</v>
      </c>
      <c r="K291" s="198" t="s">
        <v>281</v>
      </c>
      <c r="L291" s="201" t="s">
        <v>815</v>
      </c>
      <c r="M291" s="165">
        <v>1500000</v>
      </c>
      <c r="N291" s="185"/>
      <c r="O291" s="160">
        <v>3200000</v>
      </c>
      <c r="P291" s="187"/>
      <c r="Q291" s="187"/>
      <c r="R291" s="188"/>
      <c r="S291" s="160">
        <f t="shared" si="18"/>
        <v>256000</v>
      </c>
      <c r="T291" s="161">
        <f t="shared" si="19"/>
        <v>4956000</v>
      </c>
      <c r="U291" s="152"/>
      <c r="V291" s="162"/>
    </row>
    <row r="292" spans="1:22" s="190" customFormat="1" ht="32.25" customHeight="1" x14ac:dyDescent="0.2">
      <c r="A292" s="155">
        <f t="shared" si="17"/>
        <v>188</v>
      </c>
      <c r="B292" s="213" t="s">
        <v>1616</v>
      </c>
      <c r="C292" s="207">
        <v>257750909</v>
      </c>
      <c r="D292" s="207"/>
      <c r="E292" s="203">
        <v>1</v>
      </c>
      <c r="F292" s="182" t="s">
        <v>778</v>
      </c>
      <c r="G292" s="152" t="s">
        <v>216</v>
      </c>
      <c r="H292" s="214" t="s">
        <v>808</v>
      </c>
      <c r="I292" s="193" t="s">
        <v>809</v>
      </c>
      <c r="J292" s="193" t="s">
        <v>39</v>
      </c>
      <c r="K292" s="205" t="s">
        <v>281</v>
      </c>
      <c r="L292" s="215" t="s">
        <v>817</v>
      </c>
      <c r="M292" s="165">
        <v>1500000</v>
      </c>
      <c r="N292" s="185"/>
      <c r="O292" s="160">
        <v>3200000</v>
      </c>
      <c r="P292" s="187"/>
      <c r="Q292" s="187"/>
      <c r="R292" s="188"/>
      <c r="S292" s="160">
        <f t="shared" si="18"/>
        <v>256000</v>
      </c>
      <c r="T292" s="161">
        <f t="shared" si="19"/>
        <v>4956000</v>
      </c>
      <c r="U292" s="152"/>
      <c r="V292" s="162"/>
    </row>
    <row r="293" spans="1:22" s="190" customFormat="1" ht="32.25" customHeight="1" x14ac:dyDescent="0.2">
      <c r="A293" s="155">
        <f t="shared" si="17"/>
        <v>189</v>
      </c>
      <c r="B293" s="213" t="s">
        <v>1617</v>
      </c>
      <c r="C293" s="157" t="s">
        <v>811</v>
      </c>
      <c r="D293" s="171"/>
      <c r="E293" s="171">
        <v>1</v>
      </c>
      <c r="F293" s="171" t="s">
        <v>770</v>
      </c>
      <c r="G293" s="152" t="s">
        <v>210</v>
      </c>
      <c r="H293" s="199" t="s">
        <v>199</v>
      </c>
      <c r="I293" s="156" t="s">
        <v>200</v>
      </c>
      <c r="J293" s="157" t="s">
        <v>233</v>
      </c>
      <c r="K293" s="156" t="s">
        <v>39</v>
      </c>
      <c r="L293" s="200">
        <v>418581</v>
      </c>
      <c r="M293" s="165">
        <v>1500000</v>
      </c>
      <c r="N293" s="185"/>
      <c r="O293" s="160">
        <v>4700000</v>
      </c>
      <c r="P293" s="187"/>
      <c r="Q293" s="187"/>
      <c r="R293" s="188"/>
      <c r="S293" s="160">
        <f t="shared" si="18"/>
        <v>376000</v>
      </c>
      <c r="T293" s="161">
        <f t="shared" si="19"/>
        <v>6576000</v>
      </c>
      <c r="U293" s="152"/>
      <c r="V293" s="162"/>
    </row>
    <row r="294" spans="1:22" s="190" customFormat="1" ht="32.25" customHeight="1" x14ac:dyDescent="0.2">
      <c r="A294" s="155">
        <f t="shared" si="17"/>
        <v>190</v>
      </c>
      <c r="B294" s="213" t="s">
        <v>1617</v>
      </c>
      <c r="C294" s="157" t="s">
        <v>811</v>
      </c>
      <c r="D294" s="171"/>
      <c r="E294" s="171">
        <v>1</v>
      </c>
      <c r="F294" s="157" t="s">
        <v>773</v>
      </c>
      <c r="G294" s="152" t="s">
        <v>213</v>
      </c>
      <c r="H294" s="199" t="s">
        <v>199</v>
      </c>
      <c r="I294" s="156" t="s">
        <v>200</v>
      </c>
      <c r="J294" s="157" t="s">
        <v>233</v>
      </c>
      <c r="K294" s="156" t="s">
        <v>39</v>
      </c>
      <c r="L294" s="200">
        <v>418760</v>
      </c>
      <c r="M294" s="165">
        <v>1500000</v>
      </c>
      <c r="N294" s="185"/>
      <c r="O294" s="160">
        <v>4700000</v>
      </c>
      <c r="P294" s="187"/>
      <c r="Q294" s="187"/>
      <c r="R294" s="188"/>
      <c r="S294" s="160">
        <f t="shared" si="18"/>
        <v>376000</v>
      </c>
      <c r="T294" s="161">
        <f t="shared" si="19"/>
        <v>6576000</v>
      </c>
      <c r="U294" s="152"/>
      <c r="V294" s="162"/>
    </row>
    <row r="295" spans="1:22" s="190" customFormat="1" ht="32.25" customHeight="1" x14ac:dyDescent="0.2">
      <c r="A295" s="155">
        <f t="shared" si="17"/>
        <v>191</v>
      </c>
      <c r="B295" s="213" t="s">
        <v>1617</v>
      </c>
      <c r="C295" s="157" t="s">
        <v>811</v>
      </c>
      <c r="D295" s="171"/>
      <c r="E295" s="171">
        <v>1</v>
      </c>
      <c r="F295" s="157" t="s">
        <v>812</v>
      </c>
      <c r="G295" s="152" t="s">
        <v>194</v>
      </c>
      <c r="H295" s="199" t="s">
        <v>199</v>
      </c>
      <c r="I295" s="156" t="s">
        <v>200</v>
      </c>
      <c r="J295" s="157" t="s">
        <v>233</v>
      </c>
      <c r="K295" s="156" t="s">
        <v>39</v>
      </c>
      <c r="L295" s="200">
        <v>418475</v>
      </c>
      <c r="M295" s="165">
        <v>1500000</v>
      </c>
      <c r="N295" s="185"/>
      <c r="O295" s="160">
        <v>4700000</v>
      </c>
      <c r="P295" s="187"/>
      <c r="Q295" s="187"/>
      <c r="R295" s="188"/>
      <c r="S295" s="160">
        <f t="shared" si="18"/>
        <v>376000</v>
      </c>
      <c r="T295" s="161">
        <f t="shared" si="19"/>
        <v>6576000</v>
      </c>
      <c r="U295" s="152"/>
      <c r="V295" s="162"/>
    </row>
    <row r="296" spans="1:22" s="190" customFormat="1" ht="32.25" customHeight="1" x14ac:dyDescent="0.2">
      <c r="A296" s="155">
        <f t="shared" si="17"/>
        <v>192</v>
      </c>
      <c r="B296" s="213" t="s">
        <v>1617</v>
      </c>
      <c r="C296" s="157" t="s">
        <v>806</v>
      </c>
      <c r="D296" s="171"/>
      <c r="E296" s="171">
        <v>1</v>
      </c>
      <c r="F296" s="157" t="s">
        <v>814</v>
      </c>
      <c r="G296" s="152" t="s">
        <v>225</v>
      </c>
      <c r="H296" s="199" t="s">
        <v>199</v>
      </c>
      <c r="I296" s="156" t="s">
        <v>200</v>
      </c>
      <c r="J296" s="157" t="s">
        <v>233</v>
      </c>
      <c r="K296" s="156" t="s">
        <v>39</v>
      </c>
      <c r="L296" s="200">
        <v>417570</v>
      </c>
      <c r="M296" s="165">
        <v>1500000</v>
      </c>
      <c r="N296" s="185"/>
      <c r="O296" s="160">
        <v>4700000</v>
      </c>
      <c r="P296" s="187"/>
      <c r="Q296" s="187"/>
      <c r="R296" s="188"/>
      <c r="S296" s="160">
        <f t="shared" si="18"/>
        <v>376000</v>
      </c>
      <c r="T296" s="161">
        <f t="shared" si="19"/>
        <v>6576000</v>
      </c>
      <c r="U296" s="152"/>
      <c r="V296" s="162"/>
    </row>
    <row r="297" spans="1:22" s="190" customFormat="1" ht="32.25" customHeight="1" x14ac:dyDescent="0.2">
      <c r="A297" s="155">
        <f t="shared" si="17"/>
        <v>193</v>
      </c>
      <c r="B297" s="163" t="s">
        <v>1618</v>
      </c>
      <c r="C297" s="157" t="s">
        <v>835</v>
      </c>
      <c r="D297" s="171"/>
      <c r="E297" s="171">
        <v>1</v>
      </c>
      <c r="F297" s="157" t="s">
        <v>816</v>
      </c>
      <c r="G297" s="152" t="s">
        <v>349</v>
      </c>
      <c r="H297" s="199" t="s">
        <v>823</v>
      </c>
      <c r="I297" s="156" t="s">
        <v>200</v>
      </c>
      <c r="J297" s="157" t="s">
        <v>824</v>
      </c>
      <c r="K297" s="156" t="s">
        <v>39</v>
      </c>
      <c r="L297" s="152">
        <v>183805</v>
      </c>
      <c r="M297" s="165">
        <v>1280000</v>
      </c>
      <c r="N297" s="185"/>
      <c r="O297" s="160">
        <v>4500000</v>
      </c>
      <c r="P297" s="187"/>
      <c r="Q297" s="187"/>
      <c r="R297" s="188"/>
      <c r="S297" s="160">
        <f t="shared" si="18"/>
        <v>360000</v>
      </c>
      <c r="T297" s="161">
        <f t="shared" si="19"/>
        <v>6140000</v>
      </c>
      <c r="U297" s="152"/>
      <c r="V297" s="162"/>
    </row>
    <row r="298" spans="1:22" s="190" customFormat="1" ht="32.25" customHeight="1" x14ac:dyDescent="0.2">
      <c r="A298" s="155">
        <f t="shared" si="17"/>
        <v>194</v>
      </c>
      <c r="B298" s="163" t="s">
        <v>1618</v>
      </c>
      <c r="C298" s="157" t="s">
        <v>835</v>
      </c>
      <c r="D298" s="171"/>
      <c r="E298" s="171">
        <v>1</v>
      </c>
      <c r="F298" s="157" t="s">
        <v>807</v>
      </c>
      <c r="G298" s="152" t="s">
        <v>338</v>
      </c>
      <c r="H298" s="199" t="s">
        <v>823</v>
      </c>
      <c r="I298" s="156" t="s">
        <v>200</v>
      </c>
      <c r="J298" s="157" t="s">
        <v>824</v>
      </c>
      <c r="K298" s="156" t="s">
        <v>39</v>
      </c>
      <c r="L298" s="152">
        <v>183385</v>
      </c>
      <c r="M298" s="165">
        <v>1280000</v>
      </c>
      <c r="N298" s="185"/>
      <c r="O298" s="160">
        <v>4500000</v>
      </c>
      <c r="P298" s="187"/>
      <c r="Q298" s="187"/>
      <c r="R298" s="188"/>
      <c r="S298" s="160">
        <f t="shared" si="18"/>
        <v>360000</v>
      </c>
      <c r="T298" s="161">
        <f t="shared" si="19"/>
        <v>6140000</v>
      </c>
      <c r="U298" s="152"/>
      <c r="V298" s="162"/>
    </row>
    <row r="299" spans="1:22" s="190" customFormat="1" ht="32.25" customHeight="1" x14ac:dyDescent="0.2">
      <c r="A299" s="155">
        <f t="shared" si="17"/>
        <v>195</v>
      </c>
      <c r="B299" s="163" t="s">
        <v>1618</v>
      </c>
      <c r="C299" s="157">
        <v>261827811</v>
      </c>
      <c r="D299" s="171"/>
      <c r="E299" s="171">
        <v>1</v>
      </c>
      <c r="F299" s="157" t="s">
        <v>836</v>
      </c>
      <c r="G299" s="152" t="s">
        <v>335</v>
      </c>
      <c r="H299" s="199" t="s">
        <v>823</v>
      </c>
      <c r="I299" s="156" t="s">
        <v>200</v>
      </c>
      <c r="J299" s="157" t="s">
        <v>824</v>
      </c>
      <c r="K299" s="156" t="s">
        <v>39</v>
      </c>
      <c r="L299" s="152">
        <v>183728</v>
      </c>
      <c r="M299" s="165">
        <v>1280000</v>
      </c>
      <c r="N299" s="185"/>
      <c r="O299" s="160">
        <v>4500000</v>
      </c>
      <c r="P299" s="187"/>
      <c r="Q299" s="187"/>
      <c r="R299" s="188"/>
      <c r="S299" s="160">
        <f t="shared" si="18"/>
        <v>360000</v>
      </c>
      <c r="T299" s="161">
        <f t="shared" si="19"/>
        <v>6140000</v>
      </c>
      <c r="U299" s="152"/>
      <c r="V299" s="162"/>
    </row>
    <row r="300" spans="1:22" s="190" customFormat="1" ht="32.25" customHeight="1" x14ac:dyDescent="0.2">
      <c r="A300" s="155">
        <f t="shared" ref="A300:A361" si="20">ROW()-104</f>
        <v>196</v>
      </c>
      <c r="B300" s="163" t="s">
        <v>1618</v>
      </c>
      <c r="C300" s="157">
        <v>261827811</v>
      </c>
      <c r="D300" s="171"/>
      <c r="E300" s="171">
        <v>1</v>
      </c>
      <c r="F300" s="157" t="s">
        <v>838</v>
      </c>
      <c r="G300" s="152" t="s">
        <v>308</v>
      </c>
      <c r="H300" s="199" t="s">
        <v>829</v>
      </c>
      <c r="I300" s="157" t="s">
        <v>830</v>
      </c>
      <c r="J300" s="156" t="s">
        <v>39</v>
      </c>
      <c r="K300" s="157" t="s">
        <v>442</v>
      </c>
      <c r="L300" s="201" t="s">
        <v>831</v>
      </c>
      <c r="M300" s="165">
        <v>1500000</v>
      </c>
      <c r="N300" s="185"/>
      <c r="O300" s="160">
        <v>2800000</v>
      </c>
      <c r="P300" s="187"/>
      <c r="Q300" s="187"/>
      <c r="R300" s="188"/>
      <c r="S300" s="160">
        <f t="shared" si="18"/>
        <v>224000</v>
      </c>
      <c r="T300" s="161">
        <f t="shared" si="19"/>
        <v>4524000</v>
      </c>
      <c r="U300" s="152"/>
      <c r="V300" s="162"/>
    </row>
    <row r="301" spans="1:22" s="190" customFormat="1" ht="32.25" customHeight="1" x14ac:dyDescent="0.2">
      <c r="A301" s="155">
        <f t="shared" si="20"/>
        <v>197</v>
      </c>
      <c r="B301" s="163" t="s">
        <v>1618</v>
      </c>
      <c r="C301" s="171">
        <v>261827811</v>
      </c>
      <c r="D301" s="171"/>
      <c r="E301" s="171">
        <v>1</v>
      </c>
      <c r="F301" s="314" t="s">
        <v>822</v>
      </c>
      <c r="G301" s="317" t="s">
        <v>688</v>
      </c>
      <c r="H301" s="318" t="s">
        <v>833</v>
      </c>
      <c r="I301" s="315" t="s">
        <v>834</v>
      </c>
      <c r="J301" s="315" t="s">
        <v>39</v>
      </c>
      <c r="K301" s="314" t="s">
        <v>39</v>
      </c>
      <c r="L301" s="316"/>
      <c r="M301" s="319">
        <v>0</v>
      </c>
      <c r="N301" s="185"/>
      <c r="O301" s="160">
        <v>3100000</v>
      </c>
      <c r="P301" s="187"/>
      <c r="Q301" s="187"/>
      <c r="R301" s="188"/>
      <c r="S301" s="160">
        <f t="shared" si="18"/>
        <v>248000</v>
      </c>
      <c r="T301" s="161">
        <f t="shared" si="19"/>
        <v>3348000</v>
      </c>
      <c r="U301" s="152"/>
      <c r="V301" s="162"/>
    </row>
    <row r="302" spans="1:22" s="190" customFormat="1" ht="32.25" customHeight="1" x14ac:dyDescent="0.2">
      <c r="A302" s="155">
        <f t="shared" si="20"/>
        <v>198</v>
      </c>
      <c r="B302" s="163" t="s">
        <v>1618</v>
      </c>
      <c r="C302" s="157">
        <v>2314261851</v>
      </c>
      <c r="D302" s="171"/>
      <c r="E302" s="171">
        <v>1</v>
      </c>
      <c r="F302" s="157" t="s">
        <v>826</v>
      </c>
      <c r="G302" s="152" t="s">
        <v>341</v>
      </c>
      <c r="H302" s="199" t="s">
        <v>172</v>
      </c>
      <c r="I302" s="156" t="s">
        <v>173</v>
      </c>
      <c r="J302" s="157" t="s">
        <v>174</v>
      </c>
      <c r="K302" s="157" t="s">
        <v>39</v>
      </c>
      <c r="L302" s="201" t="s">
        <v>837</v>
      </c>
      <c r="M302" s="165">
        <v>1500000</v>
      </c>
      <c r="N302" s="185"/>
      <c r="O302" s="160">
        <v>2700000</v>
      </c>
      <c r="P302" s="187"/>
      <c r="Q302" s="187"/>
      <c r="R302" s="188"/>
      <c r="S302" s="160">
        <f t="shared" si="18"/>
        <v>216000</v>
      </c>
      <c r="T302" s="161">
        <f t="shared" si="19"/>
        <v>4416000</v>
      </c>
      <c r="U302" s="152"/>
      <c r="V302" s="162"/>
    </row>
    <row r="303" spans="1:22" s="190" customFormat="1" ht="32.25" customHeight="1" x14ac:dyDescent="0.2">
      <c r="A303" s="155">
        <f t="shared" si="20"/>
        <v>199</v>
      </c>
      <c r="B303" s="163" t="s">
        <v>1618</v>
      </c>
      <c r="C303" s="157">
        <v>2314261851</v>
      </c>
      <c r="D303" s="171"/>
      <c r="E303" s="171">
        <v>1</v>
      </c>
      <c r="F303" s="157" t="s">
        <v>825</v>
      </c>
      <c r="G303" s="152" t="s">
        <v>216</v>
      </c>
      <c r="H303" s="199" t="s">
        <v>172</v>
      </c>
      <c r="I303" s="156" t="s">
        <v>173</v>
      </c>
      <c r="J303" s="157" t="s">
        <v>174</v>
      </c>
      <c r="K303" s="157" t="s">
        <v>39</v>
      </c>
      <c r="L303" s="201" t="s">
        <v>839</v>
      </c>
      <c r="M303" s="165">
        <v>1500000</v>
      </c>
      <c r="N303" s="185"/>
      <c r="O303" s="160">
        <v>2700000</v>
      </c>
      <c r="P303" s="187"/>
      <c r="Q303" s="187"/>
      <c r="R303" s="188"/>
      <c r="S303" s="160">
        <f t="shared" si="18"/>
        <v>216000</v>
      </c>
      <c r="T303" s="161">
        <f t="shared" si="19"/>
        <v>4416000</v>
      </c>
      <c r="U303" s="152"/>
      <c r="V303" s="162"/>
    </row>
    <row r="304" spans="1:22" s="190" customFormat="1" ht="32.25" customHeight="1" x14ac:dyDescent="0.2">
      <c r="A304" s="155">
        <f t="shared" si="20"/>
        <v>200</v>
      </c>
      <c r="B304" s="163" t="s">
        <v>1618</v>
      </c>
      <c r="C304" s="171">
        <v>2314261851</v>
      </c>
      <c r="D304" s="171"/>
      <c r="E304" s="171">
        <v>1</v>
      </c>
      <c r="F304" s="157" t="s">
        <v>819</v>
      </c>
      <c r="G304" s="152" t="s">
        <v>368</v>
      </c>
      <c r="H304" s="216" t="s">
        <v>298</v>
      </c>
      <c r="I304" s="156" t="s">
        <v>299</v>
      </c>
      <c r="J304" s="156" t="s">
        <v>617</v>
      </c>
      <c r="K304" s="157" t="s">
        <v>332</v>
      </c>
      <c r="L304" s="201" t="s">
        <v>842</v>
      </c>
      <c r="M304" s="165">
        <v>1500000</v>
      </c>
      <c r="N304" s="185"/>
      <c r="O304" s="160">
        <f>5300000+260000</f>
        <v>5560000</v>
      </c>
      <c r="P304" s="187"/>
      <c r="Q304" s="187"/>
      <c r="R304" s="188"/>
      <c r="S304" s="160">
        <f t="shared" si="18"/>
        <v>444800</v>
      </c>
      <c r="T304" s="161">
        <f t="shared" si="19"/>
        <v>7504800</v>
      </c>
      <c r="U304" s="152"/>
      <c r="V304" s="162"/>
    </row>
    <row r="305" spans="1:22" s="190" customFormat="1" ht="32.25" customHeight="1" x14ac:dyDescent="0.2">
      <c r="A305" s="155">
        <f t="shared" si="20"/>
        <v>201</v>
      </c>
      <c r="B305" s="163" t="s">
        <v>1618</v>
      </c>
      <c r="C305" s="157">
        <v>2314261851</v>
      </c>
      <c r="D305" s="171"/>
      <c r="E305" s="171">
        <v>1</v>
      </c>
      <c r="F305" s="314" t="s">
        <v>820</v>
      </c>
      <c r="G305" s="317" t="s">
        <v>308</v>
      </c>
      <c r="H305" s="320" t="s">
        <v>843</v>
      </c>
      <c r="I305" s="315" t="s">
        <v>834</v>
      </c>
      <c r="J305" s="315"/>
      <c r="K305" s="314" t="s">
        <v>39</v>
      </c>
      <c r="L305" s="316"/>
      <c r="M305" s="319">
        <v>0</v>
      </c>
      <c r="N305" s="185"/>
      <c r="O305" s="160">
        <v>1400000</v>
      </c>
      <c r="P305" s="187"/>
      <c r="Q305" s="187"/>
      <c r="R305" s="188"/>
      <c r="S305" s="160">
        <f t="shared" si="18"/>
        <v>112000</v>
      </c>
      <c r="T305" s="161">
        <f t="shared" si="19"/>
        <v>1512000</v>
      </c>
      <c r="U305" s="152"/>
      <c r="V305" s="162"/>
    </row>
    <row r="306" spans="1:22" s="190" customFormat="1" ht="32.25" customHeight="1" x14ac:dyDescent="0.2">
      <c r="A306" s="155">
        <f t="shared" si="20"/>
        <v>202</v>
      </c>
      <c r="B306" s="163" t="s">
        <v>1618</v>
      </c>
      <c r="C306" s="157">
        <v>2315318270</v>
      </c>
      <c r="D306" s="171"/>
      <c r="E306" s="171">
        <v>1</v>
      </c>
      <c r="F306" s="157" t="s">
        <v>818</v>
      </c>
      <c r="G306" s="152" t="s">
        <v>341</v>
      </c>
      <c r="H306" s="199" t="s">
        <v>298</v>
      </c>
      <c r="I306" s="156" t="s">
        <v>299</v>
      </c>
      <c r="J306" s="157" t="s">
        <v>233</v>
      </c>
      <c r="K306" s="157" t="s">
        <v>39</v>
      </c>
      <c r="L306" s="201" t="s">
        <v>845</v>
      </c>
      <c r="M306" s="165">
        <v>1500000</v>
      </c>
      <c r="N306" s="185"/>
      <c r="O306" s="160">
        <v>5300000</v>
      </c>
      <c r="P306" s="187"/>
      <c r="Q306" s="187"/>
      <c r="R306" s="188"/>
      <c r="S306" s="160">
        <f t="shared" si="18"/>
        <v>424000</v>
      </c>
      <c r="T306" s="161">
        <f t="shared" si="19"/>
        <v>7224000</v>
      </c>
      <c r="U306" s="152"/>
      <c r="V306" s="162"/>
    </row>
    <row r="307" spans="1:22" s="190" customFormat="1" ht="32.25" customHeight="1" x14ac:dyDescent="0.2">
      <c r="A307" s="155">
        <f t="shared" si="20"/>
        <v>203</v>
      </c>
      <c r="B307" s="163" t="s">
        <v>1618</v>
      </c>
      <c r="C307" s="157">
        <v>2315318270</v>
      </c>
      <c r="D307" s="171"/>
      <c r="E307" s="171">
        <v>1</v>
      </c>
      <c r="F307" s="157" t="s">
        <v>821</v>
      </c>
      <c r="G307" s="152" t="s">
        <v>302</v>
      </c>
      <c r="H307" s="199" t="s">
        <v>298</v>
      </c>
      <c r="I307" s="156" t="s">
        <v>299</v>
      </c>
      <c r="J307" s="157" t="s">
        <v>233</v>
      </c>
      <c r="K307" s="157" t="s">
        <v>39</v>
      </c>
      <c r="L307" s="201" t="s">
        <v>847</v>
      </c>
      <c r="M307" s="165">
        <v>1500000</v>
      </c>
      <c r="N307" s="185"/>
      <c r="O307" s="160">
        <v>5300000</v>
      </c>
      <c r="P307" s="187"/>
      <c r="Q307" s="187"/>
      <c r="R307" s="188"/>
      <c r="S307" s="160">
        <f t="shared" si="18"/>
        <v>424000</v>
      </c>
      <c r="T307" s="161">
        <f t="shared" si="19"/>
        <v>7224000</v>
      </c>
      <c r="U307" s="152"/>
      <c r="V307" s="162"/>
    </row>
    <row r="308" spans="1:22" s="190" customFormat="1" ht="32.25" customHeight="1" x14ac:dyDescent="0.2">
      <c r="A308" s="155">
        <f t="shared" si="20"/>
        <v>204</v>
      </c>
      <c r="B308" s="163" t="s">
        <v>1618</v>
      </c>
      <c r="C308" s="157" t="s">
        <v>827</v>
      </c>
      <c r="D308" s="171"/>
      <c r="E308" s="171">
        <v>1</v>
      </c>
      <c r="F308" s="157" t="s">
        <v>844</v>
      </c>
      <c r="G308" s="152" t="s">
        <v>191</v>
      </c>
      <c r="H308" s="199" t="s">
        <v>829</v>
      </c>
      <c r="I308" s="157" t="s">
        <v>830</v>
      </c>
      <c r="J308" s="157" t="s">
        <v>39</v>
      </c>
      <c r="K308" s="157" t="s">
        <v>442</v>
      </c>
      <c r="L308" s="201" t="s">
        <v>850</v>
      </c>
      <c r="M308" s="165">
        <v>1500000</v>
      </c>
      <c r="N308" s="185"/>
      <c r="O308" s="160">
        <v>2800000</v>
      </c>
      <c r="P308" s="187"/>
      <c r="Q308" s="187"/>
      <c r="R308" s="188"/>
      <c r="S308" s="160">
        <f t="shared" si="18"/>
        <v>224000</v>
      </c>
      <c r="T308" s="161">
        <f t="shared" si="19"/>
        <v>4524000</v>
      </c>
      <c r="U308" s="152"/>
      <c r="V308" s="162"/>
    </row>
    <row r="309" spans="1:22" s="190" customFormat="1" ht="32.25" customHeight="1" x14ac:dyDescent="0.2">
      <c r="A309" s="155">
        <f t="shared" si="20"/>
        <v>205</v>
      </c>
      <c r="B309" s="163" t="s">
        <v>1618</v>
      </c>
      <c r="C309" s="157" t="s">
        <v>848</v>
      </c>
      <c r="D309" s="171"/>
      <c r="E309" s="171">
        <v>1</v>
      </c>
      <c r="F309" s="157" t="s">
        <v>846</v>
      </c>
      <c r="G309" s="152" t="s">
        <v>171</v>
      </c>
      <c r="H309" s="199" t="s">
        <v>719</v>
      </c>
      <c r="I309" s="156" t="s">
        <v>720</v>
      </c>
      <c r="J309" s="157" t="s">
        <v>853</v>
      </c>
      <c r="K309" s="157" t="s">
        <v>39</v>
      </c>
      <c r="L309" s="152">
        <v>145129</v>
      </c>
      <c r="M309" s="165">
        <v>1512000</v>
      </c>
      <c r="N309" s="185"/>
      <c r="O309" s="160">
        <v>4000000</v>
      </c>
      <c r="P309" s="187"/>
      <c r="Q309" s="187"/>
      <c r="R309" s="188"/>
      <c r="S309" s="160">
        <f t="shared" si="18"/>
        <v>320000</v>
      </c>
      <c r="T309" s="161">
        <f t="shared" si="19"/>
        <v>5832000</v>
      </c>
      <c r="U309" s="152"/>
      <c r="V309" s="162"/>
    </row>
    <row r="310" spans="1:22" s="190" customFormat="1" ht="32.25" customHeight="1" x14ac:dyDescent="0.2">
      <c r="A310" s="155">
        <f t="shared" si="20"/>
        <v>206</v>
      </c>
      <c r="B310" s="163" t="s">
        <v>1618</v>
      </c>
      <c r="C310" s="157">
        <v>7264025450</v>
      </c>
      <c r="D310" s="171"/>
      <c r="E310" s="171">
        <v>1</v>
      </c>
      <c r="F310" s="157" t="s">
        <v>828</v>
      </c>
      <c r="G310" s="152" t="s">
        <v>338</v>
      </c>
      <c r="H310" s="199" t="s">
        <v>719</v>
      </c>
      <c r="I310" s="156" t="s">
        <v>720</v>
      </c>
      <c r="J310" s="157" t="s">
        <v>853</v>
      </c>
      <c r="K310" s="157" t="s">
        <v>39</v>
      </c>
      <c r="L310" s="152">
        <v>145265</v>
      </c>
      <c r="M310" s="165">
        <v>1512000</v>
      </c>
      <c r="N310" s="185"/>
      <c r="O310" s="160">
        <v>4000000</v>
      </c>
      <c r="P310" s="187"/>
      <c r="Q310" s="187"/>
      <c r="R310" s="188"/>
      <c r="S310" s="160">
        <f t="shared" si="18"/>
        <v>320000</v>
      </c>
      <c r="T310" s="161">
        <f t="shared" si="19"/>
        <v>5832000</v>
      </c>
      <c r="U310" s="152"/>
      <c r="V310" s="162"/>
    </row>
    <row r="311" spans="1:22" s="190" customFormat="1" ht="32.25" customHeight="1" x14ac:dyDescent="0.2">
      <c r="A311" s="155">
        <f t="shared" si="20"/>
        <v>207</v>
      </c>
      <c r="B311" s="163" t="s">
        <v>1619</v>
      </c>
      <c r="C311" s="157" t="s">
        <v>860</v>
      </c>
      <c r="D311" s="171"/>
      <c r="E311" s="171">
        <v>1</v>
      </c>
      <c r="F311" s="157" t="s">
        <v>849</v>
      </c>
      <c r="G311" s="152" t="s">
        <v>305</v>
      </c>
      <c r="H311" s="199" t="s">
        <v>719</v>
      </c>
      <c r="I311" s="156" t="s">
        <v>720</v>
      </c>
      <c r="J311" s="157" t="s">
        <v>853</v>
      </c>
      <c r="K311" s="157" t="s">
        <v>39</v>
      </c>
      <c r="L311" s="152">
        <v>144913</v>
      </c>
      <c r="M311" s="165">
        <v>1512000</v>
      </c>
      <c r="N311" s="185"/>
      <c r="O311" s="160">
        <v>4000000</v>
      </c>
      <c r="P311" s="187"/>
      <c r="Q311" s="187"/>
      <c r="R311" s="188"/>
      <c r="S311" s="160">
        <f t="shared" si="18"/>
        <v>320000</v>
      </c>
      <c r="T311" s="161">
        <f t="shared" si="19"/>
        <v>5832000</v>
      </c>
      <c r="U311" s="152"/>
      <c r="V311" s="162"/>
    </row>
    <row r="312" spans="1:22" s="190" customFormat="1" ht="32.25" customHeight="1" x14ac:dyDescent="0.2">
      <c r="A312" s="155">
        <f t="shared" si="20"/>
        <v>208</v>
      </c>
      <c r="B312" s="163" t="s">
        <v>1619</v>
      </c>
      <c r="C312" s="157">
        <v>262055451</v>
      </c>
      <c r="D312" s="171"/>
      <c r="E312" s="171">
        <v>1</v>
      </c>
      <c r="F312" s="171" t="s">
        <v>832</v>
      </c>
      <c r="G312" s="152" t="s">
        <v>349</v>
      </c>
      <c r="H312" s="199" t="s">
        <v>719</v>
      </c>
      <c r="I312" s="156" t="s">
        <v>720</v>
      </c>
      <c r="J312" s="157" t="s">
        <v>853</v>
      </c>
      <c r="K312" s="157" t="s">
        <v>39</v>
      </c>
      <c r="L312" s="152">
        <v>144895</v>
      </c>
      <c r="M312" s="165">
        <v>1512000</v>
      </c>
      <c r="N312" s="185"/>
      <c r="O312" s="160">
        <v>4000000</v>
      </c>
      <c r="P312" s="187"/>
      <c r="Q312" s="187"/>
      <c r="R312" s="188"/>
      <c r="S312" s="160">
        <f t="shared" si="18"/>
        <v>320000</v>
      </c>
      <c r="T312" s="161">
        <f t="shared" si="19"/>
        <v>5832000</v>
      </c>
      <c r="U312" s="152"/>
      <c r="V312" s="162"/>
    </row>
    <row r="313" spans="1:22" s="190" customFormat="1" ht="32.25" customHeight="1" x14ac:dyDescent="0.2">
      <c r="A313" s="155">
        <f t="shared" si="20"/>
        <v>209</v>
      </c>
      <c r="B313" s="163" t="s">
        <v>1619</v>
      </c>
      <c r="C313" s="157">
        <v>262055451</v>
      </c>
      <c r="D313" s="171"/>
      <c r="E313" s="171">
        <v>1</v>
      </c>
      <c r="F313" s="157" t="s">
        <v>861</v>
      </c>
      <c r="G313" s="152" t="s">
        <v>335</v>
      </c>
      <c r="H313" s="199" t="s">
        <v>719</v>
      </c>
      <c r="I313" s="156" t="s">
        <v>720</v>
      </c>
      <c r="J313" s="157" t="s">
        <v>853</v>
      </c>
      <c r="K313" s="157" t="s">
        <v>39</v>
      </c>
      <c r="L313" s="152">
        <v>144897</v>
      </c>
      <c r="M313" s="165">
        <v>1512000</v>
      </c>
      <c r="N313" s="185"/>
      <c r="O313" s="160">
        <v>4000000</v>
      </c>
      <c r="P313" s="187"/>
      <c r="Q313" s="187"/>
      <c r="R313" s="188"/>
      <c r="S313" s="160">
        <f t="shared" si="18"/>
        <v>320000</v>
      </c>
      <c r="T313" s="161">
        <f t="shared" si="19"/>
        <v>5832000</v>
      </c>
      <c r="U313" s="152"/>
      <c r="V313" s="162"/>
    </row>
    <row r="314" spans="1:22" s="190" customFormat="1" ht="32.25" customHeight="1" x14ac:dyDescent="0.2">
      <c r="A314" s="155">
        <f t="shared" si="20"/>
        <v>210</v>
      </c>
      <c r="B314" s="163" t="s">
        <v>1619</v>
      </c>
      <c r="C314" s="157">
        <v>7264348370</v>
      </c>
      <c r="D314" s="171"/>
      <c r="E314" s="171">
        <v>1</v>
      </c>
      <c r="F314" s="157" t="s">
        <v>863</v>
      </c>
      <c r="G314" s="152" t="s">
        <v>213</v>
      </c>
      <c r="H314" s="199" t="s">
        <v>180</v>
      </c>
      <c r="I314" s="156" t="s">
        <v>181</v>
      </c>
      <c r="J314" s="156" t="s">
        <v>480</v>
      </c>
      <c r="K314" s="157" t="s">
        <v>39</v>
      </c>
      <c r="L314" s="201" t="s">
        <v>859</v>
      </c>
      <c r="M314" s="165">
        <v>1500000</v>
      </c>
      <c r="N314" s="185"/>
      <c r="O314" s="160">
        <v>4500000</v>
      </c>
      <c r="P314" s="187"/>
      <c r="Q314" s="187"/>
      <c r="R314" s="188"/>
      <c r="S314" s="160">
        <f t="shared" si="18"/>
        <v>360000</v>
      </c>
      <c r="T314" s="161">
        <f t="shared" si="19"/>
        <v>6360000</v>
      </c>
      <c r="U314" s="152"/>
      <c r="V314" s="162"/>
    </row>
    <row r="315" spans="1:22" s="190" customFormat="1" ht="32.25" customHeight="1" x14ac:dyDescent="0.2">
      <c r="A315" s="155">
        <f t="shared" si="20"/>
        <v>211</v>
      </c>
      <c r="B315" s="163" t="s">
        <v>1619</v>
      </c>
      <c r="C315" s="157" t="s">
        <v>851</v>
      </c>
      <c r="D315" s="171"/>
      <c r="E315" s="171">
        <v>1</v>
      </c>
      <c r="F315" s="157" t="s">
        <v>865</v>
      </c>
      <c r="G315" s="152" t="s">
        <v>308</v>
      </c>
      <c r="H315" s="199" t="s">
        <v>180</v>
      </c>
      <c r="I315" s="156" t="s">
        <v>181</v>
      </c>
      <c r="J315" s="157" t="s">
        <v>39</v>
      </c>
      <c r="K315" s="171" t="s">
        <v>201</v>
      </c>
      <c r="L315" s="201" t="s">
        <v>862</v>
      </c>
      <c r="M315" s="165">
        <v>1566000</v>
      </c>
      <c r="N315" s="185"/>
      <c r="O315" s="160">
        <v>4500000</v>
      </c>
      <c r="P315" s="187"/>
      <c r="Q315" s="187"/>
      <c r="R315" s="188"/>
      <c r="S315" s="160">
        <f t="shared" si="18"/>
        <v>360000</v>
      </c>
      <c r="T315" s="161">
        <f t="shared" si="19"/>
        <v>6426000</v>
      </c>
      <c r="U315" s="152"/>
      <c r="V315" s="162"/>
    </row>
    <row r="316" spans="1:22" s="190" customFormat="1" ht="32.25" customHeight="1" x14ac:dyDescent="0.2">
      <c r="A316" s="155">
        <f t="shared" si="20"/>
        <v>212</v>
      </c>
      <c r="B316" s="163" t="s">
        <v>1619</v>
      </c>
      <c r="C316" s="157" t="s">
        <v>851</v>
      </c>
      <c r="D316" s="171"/>
      <c r="E316" s="171">
        <v>1</v>
      </c>
      <c r="F316" s="152" t="s">
        <v>858</v>
      </c>
      <c r="G316" s="152" t="s">
        <v>225</v>
      </c>
      <c r="H316" s="199" t="s">
        <v>823</v>
      </c>
      <c r="I316" s="156" t="s">
        <v>200</v>
      </c>
      <c r="J316" s="197" t="s">
        <v>433</v>
      </c>
      <c r="K316" s="198" t="s">
        <v>39</v>
      </c>
      <c r="L316" s="212" t="s">
        <v>864</v>
      </c>
      <c r="M316" s="185">
        <v>1450000</v>
      </c>
      <c r="N316" s="185"/>
      <c r="O316" s="160">
        <v>4500000</v>
      </c>
      <c r="P316" s="187"/>
      <c r="Q316" s="187"/>
      <c r="R316" s="188"/>
      <c r="S316" s="160">
        <f t="shared" si="18"/>
        <v>360000</v>
      </c>
      <c r="T316" s="161">
        <f t="shared" si="19"/>
        <v>6310000</v>
      </c>
      <c r="U316" s="152"/>
      <c r="V316" s="162"/>
    </row>
    <row r="317" spans="1:22" s="190" customFormat="1" ht="32.25" customHeight="1" x14ac:dyDescent="0.2">
      <c r="A317" s="155">
        <f t="shared" si="20"/>
        <v>213</v>
      </c>
      <c r="B317" s="168" t="s">
        <v>1619</v>
      </c>
      <c r="C317" s="182" t="s">
        <v>851</v>
      </c>
      <c r="D317" s="203"/>
      <c r="E317" s="203">
        <v>1</v>
      </c>
      <c r="F317" s="182" t="s">
        <v>852</v>
      </c>
      <c r="G317" s="180" t="s">
        <v>866</v>
      </c>
      <c r="H317" s="214" t="s">
        <v>823</v>
      </c>
      <c r="I317" s="193" t="s">
        <v>200</v>
      </c>
      <c r="J317" s="209" t="s">
        <v>433</v>
      </c>
      <c r="K317" s="205" t="s">
        <v>39</v>
      </c>
      <c r="L317" s="215" t="s">
        <v>867</v>
      </c>
      <c r="M317" s="217">
        <v>1500000</v>
      </c>
      <c r="N317" s="185"/>
      <c r="O317" s="160">
        <v>4500000</v>
      </c>
      <c r="P317" s="187"/>
      <c r="Q317" s="187"/>
      <c r="R317" s="188"/>
      <c r="S317" s="160">
        <f t="shared" si="18"/>
        <v>360000</v>
      </c>
      <c r="T317" s="161">
        <f t="shared" si="19"/>
        <v>6360000</v>
      </c>
      <c r="U317" s="152"/>
      <c r="V317" s="162"/>
    </row>
    <row r="318" spans="1:22" s="190" customFormat="1" ht="32.25" customHeight="1" x14ac:dyDescent="0.2">
      <c r="A318" s="155">
        <f t="shared" si="20"/>
        <v>214</v>
      </c>
      <c r="B318" s="163" t="s">
        <v>1619</v>
      </c>
      <c r="C318" s="157" t="s">
        <v>851</v>
      </c>
      <c r="D318" s="171"/>
      <c r="E318" s="171">
        <v>1</v>
      </c>
      <c r="F318" s="157" t="s">
        <v>855</v>
      </c>
      <c r="G318" s="171" t="s">
        <v>870</v>
      </c>
      <c r="H318" s="171" t="s">
        <v>180</v>
      </c>
      <c r="I318" s="156" t="s">
        <v>181</v>
      </c>
      <c r="J318" s="156" t="s">
        <v>39</v>
      </c>
      <c r="K318" s="157" t="s">
        <v>174</v>
      </c>
      <c r="L318" s="201" t="s">
        <v>871</v>
      </c>
      <c r="M318" s="165">
        <v>1500000</v>
      </c>
      <c r="N318" s="185"/>
      <c r="O318" s="160">
        <v>4500000</v>
      </c>
      <c r="P318" s="187"/>
      <c r="Q318" s="187"/>
      <c r="R318" s="188"/>
      <c r="S318" s="160">
        <f t="shared" si="18"/>
        <v>360000</v>
      </c>
      <c r="T318" s="161">
        <f t="shared" si="19"/>
        <v>6360000</v>
      </c>
      <c r="U318" s="152"/>
      <c r="V318" s="162"/>
    </row>
    <row r="319" spans="1:22" s="190" customFormat="1" ht="32.25" customHeight="1" x14ac:dyDescent="0.2">
      <c r="A319" s="155">
        <f t="shared" si="20"/>
        <v>215</v>
      </c>
      <c r="B319" s="163" t="s">
        <v>1619</v>
      </c>
      <c r="C319" s="157" t="s">
        <v>851</v>
      </c>
      <c r="D319" s="171"/>
      <c r="E319" s="171">
        <v>1</v>
      </c>
      <c r="F319" s="157" t="s">
        <v>857</v>
      </c>
      <c r="G319" s="157" t="s">
        <v>873</v>
      </c>
      <c r="H319" s="171" t="s">
        <v>180</v>
      </c>
      <c r="I319" s="156" t="s">
        <v>181</v>
      </c>
      <c r="J319" s="156" t="s">
        <v>39</v>
      </c>
      <c r="K319" s="157" t="s">
        <v>174</v>
      </c>
      <c r="L319" s="201" t="s">
        <v>874</v>
      </c>
      <c r="M319" s="165">
        <v>1500000</v>
      </c>
      <c r="N319" s="185"/>
      <c r="O319" s="160">
        <v>4500000</v>
      </c>
      <c r="P319" s="187"/>
      <c r="Q319" s="187"/>
      <c r="R319" s="188"/>
      <c r="S319" s="160">
        <f t="shared" si="18"/>
        <v>360000</v>
      </c>
      <c r="T319" s="161">
        <f t="shared" si="19"/>
        <v>6360000</v>
      </c>
      <c r="U319" s="152"/>
      <c r="V319" s="162"/>
    </row>
    <row r="320" spans="1:22" s="190" customFormat="1" ht="32.25" customHeight="1" x14ac:dyDescent="0.2">
      <c r="A320" s="155">
        <f t="shared" si="20"/>
        <v>216</v>
      </c>
      <c r="B320" s="163" t="s">
        <v>1619</v>
      </c>
      <c r="C320" s="171" t="s">
        <v>840</v>
      </c>
      <c r="D320" s="171"/>
      <c r="E320" s="171">
        <v>1</v>
      </c>
      <c r="F320" s="157" t="s">
        <v>856</v>
      </c>
      <c r="G320" s="157" t="s">
        <v>876</v>
      </c>
      <c r="H320" s="171" t="s">
        <v>180</v>
      </c>
      <c r="I320" s="156" t="s">
        <v>181</v>
      </c>
      <c r="J320" s="156" t="s">
        <v>39</v>
      </c>
      <c r="K320" s="171" t="s">
        <v>201</v>
      </c>
      <c r="L320" s="201" t="s">
        <v>877</v>
      </c>
      <c r="M320" s="165">
        <v>1566000</v>
      </c>
      <c r="N320" s="185"/>
      <c r="O320" s="160">
        <v>4500000</v>
      </c>
      <c r="P320" s="187"/>
      <c r="Q320" s="187"/>
      <c r="R320" s="188"/>
      <c r="S320" s="160">
        <f t="shared" si="18"/>
        <v>360000</v>
      </c>
      <c r="T320" s="161">
        <f t="shared" si="19"/>
        <v>6426000</v>
      </c>
      <c r="U320" s="152"/>
      <c r="V320" s="162"/>
    </row>
    <row r="321" spans="1:22" s="190" customFormat="1" ht="32.25" customHeight="1" x14ac:dyDescent="0.2">
      <c r="A321" s="155">
        <f t="shared" si="20"/>
        <v>217</v>
      </c>
      <c r="B321" s="163" t="s">
        <v>1620</v>
      </c>
      <c r="C321" s="157" t="s">
        <v>868</v>
      </c>
      <c r="D321" s="171"/>
      <c r="E321" s="171">
        <v>1</v>
      </c>
      <c r="F321" s="191" t="s">
        <v>854</v>
      </c>
      <c r="G321" s="157" t="s">
        <v>453</v>
      </c>
      <c r="H321" s="171" t="s">
        <v>172</v>
      </c>
      <c r="I321" s="156" t="s">
        <v>173</v>
      </c>
      <c r="J321" s="171" t="s">
        <v>433</v>
      </c>
      <c r="K321" s="157" t="s">
        <v>39</v>
      </c>
      <c r="L321" s="201" t="s">
        <v>881</v>
      </c>
      <c r="M321" s="165">
        <v>1500000</v>
      </c>
      <c r="N321" s="185"/>
      <c r="O321" s="160">
        <v>2700000</v>
      </c>
      <c r="P321" s="187"/>
      <c r="Q321" s="187"/>
      <c r="R321" s="188"/>
      <c r="S321" s="160">
        <f t="shared" si="18"/>
        <v>216000</v>
      </c>
      <c r="T321" s="161">
        <f t="shared" si="19"/>
        <v>4416000</v>
      </c>
      <c r="U321" s="152"/>
      <c r="V321" s="162"/>
    </row>
    <row r="322" spans="1:22" s="190" customFormat="1" ht="32.25" customHeight="1" x14ac:dyDescent="0.2">
      <c r="A322" s="155">
        <f t="shared" si="20"/>
        <v>218</v>
      </c>
      <c r="B322" s="163" t="s">
        <v>1620</v>
      </c>
      <c r="C322" s="157" t="s">
        <v>868</v>
      </c>
      <c r="D322" s="171"/>
      <c r="E322" s="171">
        <v>1</v>
      </c>
      <c r="F322" s="157" t="s">
        <v>841</v>
      </c>
      <c r="G322" s="157" t="s">
        <v>619</v>
      </c>
      <c r="H322" s="171" t="s">
        <v>172</v>
      </c>
      <c r="I322" s="156" t="s">
        <v>173</v>
      </c>
      <c r="J322" s="171" t="s">
        <v>433</v>
      </c>
      <c r="K322" s="157" t="s">
        <v>39</v>
      </c>
      <c r="L322" s="201" t="s">
        <v>883</v>
      </c>
      <c r="M322" s="165">
        <v>1500000</v>
      </c>
      <c r="N322" s="185"/>
      <c r="O322" s="160">
        <v>2700000</v>
      </c>
      <c r="P322" s="187"/>
      <c r="Q322" s="187"/>
      <c r="R322" s="188"/>
      <c r="S322" s="160">
        <f t="shared" si="18"/>
        <v>216000</v>
      </c>
      <c r="T322" s="161">
        <f t="shared" si="19"/>
        <v>4416000</v>
      </c>
      <c r="U322" s="152"/>
      <c r="V322" s="162"/>
    </row>
    <row r="323" spans="1:22" s="190" customFormat="1" ht="32.25" customHeight="1" x14ac:dyDescent="0.2">
      <c r="A323" s="155">
        <f t="shared" si="20"/>
        <v>219</v>
      </c>
      <c r="B323" s="163" t="s">
        <v>1620</v>
      </c>
      <c r="C323" s="171" t="s">
        <v>860</v>
      </c>
      <c r="D323" s="171"/>
      <c r="E323" s="171">
        <v>1</v>
      </c>
      <c r="F323" s="191" t="s">
        <v>872</v>
      </c>
      <c r="G323" s="157" t="s">
        <v>453</v>
      </c>
      <c r="H323" s="171" t="s">
        <v>298</v>
      </c>
      <c r="I323" s="156" t="s">
        <v>299</v>
      </c>
      <c r="J323" s="156" t="s">
        <v>39</v>
      </c>
      <c r="K323" s="171" t="s">
        <v>433</v>
      </c>
      <c r="L323" s="201" t="s">
        <v>884</v>
      </c>
      <c r="M323" s="165">
        <v>1500000</v>
      </c>
      <c r="N323" s="185"/>
      <c r="O323" s="160">
        <v>5300000</v>
      </c>
      <c r="P323" s="187"/>
      <c r="Q323" s="187"/>
      <c r="R323" s="188"/>
      <c r="S323" s="160">
        <f t="shared" si="18"/>
        <v>424000</v>
      </c>
      <c r="T323" s="161">
        <f t="shared" si="19"/>
        <v>7224000</v>
      </c>
      <c r="U323" s="152"/>
      <c r="V323" s="162"/>
    </row>
    <row r="324" spans="1:22" s="190" customFormat="1" ht="32.25" customHeight="1" x14ac:dyDescent="0.2">
      <c r="A324" s="155">
        <f t="shared" si="20"/>
        <v>220</v>
      </c>
      <c r="B324" s="163" t="s">
        <v>1620</v>
      </c>
      <c r="C324" s="171" t="s">
        <v>860</v>
      </c>
      <c r="D324" s="171"/>
      <c r="E324" s="171">
        <v>1</v>
      </c>
      <c r="F324" s="157" t="s">
        <v>869</v>
      </c>
      <c r="G324" s="157" t="s">
        <v>886</v>
      </c>
      <c r="H324" s="171" t="s">
        <v>298</v>
      </c>
      <c r="I324" s="156" t="s">
        <v>299</v>
      </c>
      <c r="J324" s="156" t="s">
        <v>39</v>
      </c>
      <c r="K324" s="171" t="s">
        <v>433</v>
      </c>
      <c r="L324" s="201" t="s">
        <v>887</v>
      </c>
      <c r="M324" s="165">
        <v>1450000</v>
      </c>
      <c r="N324" s="185"/>
      <c r="O324" s="160">
        <v>5300000</v>
      </c>
      <c r="P324" s="187"/>
      <c r="Q324" s="187"/>
      <c r="R324" s="188"/>
      <c r="S324" s="160">
        <f t="shared" si="18"/>
        <v>424000</v>
      </c>
      <c r="T324" s="161">
        <f t="shared" si="19"/>
        <v>7174000</v>
      </c>
      <c r="U324" s="152"/>
      <c r="V324" s="162"/>
    </row>
    <row r="325" spans="1:22" s="190" customFormat="1" ht="32.25" customHeight="1" x14ac:dyDescent="0.2">
      <c r="A325" s="155">
        <f t="shared" si="20"/>
        <v>221</v>
      </c>
      <c r="B325" s="163" t="s">
        <v>1620</v>
      </c>
      <c r="C325" s="171" t="s">
        <v>860</v>
      </c>
      <c r="D325" s="171"/>
      <c r="E325" s="171">
        <v>1</v>
      </c>
      <c r="F325" s="157" t="s">
        <v>878</v>
      </c>
      <c r="G325" s="171" t="s">
        <v>622</v>
      </c>
      <c r="H325" s="171" t="s">
        <v>298</v>
      </c>
      <c r="I325" s="156" t="s">
        <v>299</v>
      </c>
      <c r="J325" s="156" t="s">
        <v>39</v>
      </c>
      <c r="K325" s="171" t="s">
        <v>433</v>
      </c>
      <c r="L325" s="201" t="s">
        <v>889</v>
      </c>
      <c r="M325" s="165">
        <v>1450000</v>
      </c>
      <c r="N325" s="185"/>
      <c r="O325" s="160">
        <v>5300000</v>
      </c>
      <c r="P325" s="187"/>
      <c r="Q325" s="187"/>
      <c r="R325" s="188"/>
      <c r="S325" s="160">
        <f t="shared" si="18"/>
        <v>424000</v>
      </c>
      <c r="T325" s="161">
        <f t="shared" si="19"/>
        <v>7174000</v>
      </c>
      <c r="U325" s="152"/>
      <c r="V325" s="162"/>
    </row>
    <row r="326" spans="1:22" s="190" customFormat="1" ht="32.25" customHeight="1" x14ac:dyDescent="0.2">
      <c r="A326" s="155">
        <f t="shared" si="20"/>
        <v>222</v>
      </c>
      <c r="B326" s="163" t="s">
        <v>1620</v>
      </c>
      <c r="C326" s="171" t="s">
        <v>860</v>
      </c>
      <c r="D326" s="171"/>
      <c r="E326" s="171">
        <v>1</v>
      </c>
      <c r="F326" s="191" t="s">
        <v>1145</v>
      </c>
      <c r="G326" s="171" t="s">
        <v>758</v>
      </c>
      <c r="H326" s="171" t="s">
        <v>298</v>
      </c>
      <c r="I326" s="156" t="s">
        <v>299</v>
      </c>
      <c r="J326" s="156" t="s">
        <v>39</v>
      </c>
      <c r="K326" s="171" t="s">
        <v>433</v>
      </c>
      <c r="L326" s="201" t="s">
        <v>891</v>
      </c>
      <c r="M326" s="165">
        <v>1450000</v>
      </c>
      <c r="N326" s="185"/>
      <c r="O326" s="160">
        <v>5300000</v>
      </c>
      <c r="P326" s="187"/>
      <c r="Q326" s="187"/>
      <c r="R326" s="188"/>
      <c r="S326" s="160">
        <f t="shared" si="18"/>
        <v>424000</v>
      </c>
      <c r="T326" s="161">
        <f t="shared" si="19"/>
        <v>7174000</v>
      </c>
      <c r="U326" s="152"/>
      <c r="V326" s="162"/>
    </row>
    <row r="327" spans="1:22" s="190" customFormat="1" ht="32.25" customHeight="1" x14ac:dyDescent="0.2">
      <c r="A327" s="155">
        <f t="shared" si="20"/>
        <v>223</v>
      </c>
      <c r="B327" s="163" t="s">
        <v>1621</v>
      </c>
      <c r="C327" s="171">
        <v>262065541</v>
      </c>
      <c r="D327" s="171"/>
      <c r="E327" s="171">
        <v>1</v>
      </c>
      <c r="F327" s="191" t="s">
        <v>879</v>
      </c>
      <c r="G327" s="171" t="s">
        <v>893</v>
      </c>
      <c r="H327" s="171" t="s">
        <v>298</v>
      </c>
      <c r="I327" s="156" t="s">
        <v>299</v>
      </c>
      <c r="J327" s="156" t="s">
        <v>39</v>
      </c>
      <c r="K327" s="171" t="s">
        <v>433</v>
      </c>
      <c r="L327" s="201" t="s">
        <v>894</v>
      </c>
      <c r="M327" s="165">
        <v>1450000</v>
      </c>
      <c r="N327" s="185"/>
      <c r="O327" s="160">
        <v>5300000</v>
      </c>
      <c r="P327" s="187"/>
      <c r="Q327" s="187"/>
      <c r="R327" s="188"/>
      <c r="S327" s="160">
        <f t="shared" si="18"/>
        <v>424000</v>
      </c>
      <c r="T327" s="161">
        <f t="shared" si="19"/>
        <v>7174000</v>
      </c>
      <c r="U327" s="152"/>
      <c r="V327" s="162"/>
    </row>
    <row r="328" spans="1:22" s="190" customFormat="1" ht="32.25" customHeight="1" x14ac:dyDescent="0.2">
      <c r="A328" s="155">
        <f t="shared" si="20"/>
        <v>224</v>
      </c>
      <c r="B328" s="163" t="s">
        <v>1621</v>
      </c>
      <c r="C328" s="171">
        <v>262065541</v>
      </c>
      <c r="D328" s="171"/>
      <c r="E328" s="171">
        <v>1</v>
      </c>
      <c r="F328" s="171" t="s">
        <v>875</v>
      </c>
      <c r="G328" s="157" t="s">
        <v>896</v>
      </c>
      <c r="H328" s="171" t="s">
        <v>298</v>
      </c>
      <c r="I328" s="156" t="s">
        <v>299</v>
      </c>
      <c r="J328" s="156" t="s">
        <v>39</v>
      </c>
      <c r="K328" s="171" t="s">
        <v>433</v>
      </c>
      <c r="L328" s="201" t="s">
        <v>897</v>
      </c>
      <c r="M328" s="165">
        <v>1450000</v>
      </c>
      <c r="N328" s="185"/>
      <c r="O328" s="160">
        <v>5300000</v>
      </c>
      <c r="P328" s="187"/>
      <c r="Q328" s="187"/>
      <c r="R328" s="188"/>
      <c r="S328" s="160">
        <f t="shared" si="18"/>
        <v>424000</v>
      </c>
      <c r="T328" s="161">
        <f t="shared" si="19"/>
        <v>7174000</v>
      </c>
      <c r="U328" s="152"/>
      <c r="V328" s="162"/>
    </row>
    <row r="329" spans="1:22" s="190" customFormat="1" ht="32.25" customHeight="1" x14ac:dyDescent="0.2">
      <c r="A329" s="155">
        <f t="shared" si="20"/>
        <v>225</v>
      </c>
      <c r="B329" s="163" t="s">
        <v>1621</v>
      </c>
      <c r="C329" s="171">
        <v>258420108</v>
      </c>
      <c r="D329" s="171"/>
      <c r="E329" s="171">
        <v>1</v>
      </c>
      <c r="F329" s="157" t="s">
        <v>882</v>
      </c>
      <c r="G329" s="157" t="s">
        <v>899</v>
      </c>
      <c r="H329" s="171" t="s">
        <v>298</v>
      </c>
      <c r="I329" s="156" t="s">
        <v>299</v>
      </c>
      <c r="J329" s="156" t="s">
        <v>39</v>
      </c>
      <c r="K329" s="171" t="s">
        <v>433</v>
      </c>
      <c r="L329" s="201" t="s">
        <v>900</v>
      </c>
      <c r="M329" s="165">
        <v>1450000</v>
      </c>
      <c r="N329" s="185"/>
      <c r="O329" s="160">
        <v>5300000</v>
      </c>
      <c r="P329" s="187"/>
      <c r="Q329" s="187"/>
      <c r="R329" s="188"/>
      <c r="S329" s="160">
        <f t="shared" si="18"/>
        <v>424000</v>
      </c>
      <c r="T329" s="161">
        <f t="shared" si="19"/>
        <v>7174000</v>
      </c>
      <c r="U329" s="152"/>
      <c r="V329" s="162"/>
    </row>
    <row r="330" spans="1:22" s="190" customFormat="1" ht="32.25" customHeight="1" x14ac:dyDescent="0.2">
      <c r="A330" s="155">
        <f t="shared" si="20"/>
        <v>226</v>
      </c>
      <c r="B330" s="163" t="s">
        <v>1621</v>
      </c>
      <c r="C330" s="157">
        <v>258420108</v>
      </c>
      <c r="D330" s="171"/>
      <c r="E330" s="171">
        <v>1</v>
      </c>
      <c r="F330" s="157" t="s">
        <v>880</v>
      </c>
      <c r="G330" s="157" t="s">
        <v>876</v>
      </c>
      <c r="H330" s="171" t="s">
        <v>298</v>
      </c>
      <c r="I330" s="156" t="s">
        <v>299</v>
      </c>
      <c r="J330" s="157" t="s">
        <v>480</v>
      </c>
      <c r="K330" s="157" t="s">
        <v>39</v>
      </c>
      <c r="L330" s="212" t="s">
        <v>902</v>
      </c>
      <c r="M330" s="185">
        <v>1500000</v>
      </c>
      <c r="N330" s="185"/>
      <c r="O330" s="160">
        <v>5300000</v>
      </c>
      <c r="P330" s="187"/>
      <c r="Q330" s="187"/>
      <c r="R330" s="188"/>
      <c r="S330" s="160">
        <f t="shared" si="18"/>
        <v>424000</v>
      </c>
      <c r="T330" s="161">
        <f t="shared" si="19"/>
        <v>7224000</v>
      </c>
      <c r="U330" s="152"/>
      <c r="V330" s="162"/>
    </row>
    <row r="331" spans="1:22" s="190" customFormat="1" ht="32.25" customHeight="1" x14ac:dyDescent="0.2">
      <c r="A331" s="155">
        <f t="shared" si="20"/>
        <v>227</v>
      </c>
      <c r="B331" s="163" t="s">
        <v>1621</v>
      </c>
      <c r="C331" s="157">
        <v>258420108</v>
      </c>
      <c r="D331" s="171"/>
      <c r="E331" s="171">
        <v>1</v>
      </c>
      <c r="F331" s="182" t="s">
        <v>888</v>
      </c>
      <c r="G331" s="182" t="s">
        <v>899</v>
      </c>
      <c r="H331" s="203" t="s">
        <v>298</v>
      </c>
      <c r="I331" s="193" t="s">
        <v>299</v>
      </c>
      <c r="J331" s="182" t="s">
        <v>480</v>
      </c>
      <c r="K331" s="182" t="s">
        <v>39</v>
      </c>
      <c r="L331" s="212" t="s">
        <v>904</v>
      </c>
      <c r="M331" s="185">
        <v>1500000</v>
      </c>
      <c r="N331" s="185"/>
      <c r="O331" s="160">
        <v>5300000</v>
      </c>
      <c r="P331" s="187"/>
      <c r="Q331" s="187"/>
      <c r="R331" s="188"/>
      <c r="S331" s="160">
        <f t="shared" si="18"/>
        <v>424000</v>
      </c>
      <c r="T331" s="161">
        <f t="shared" si="19"/>
        <v>7224000</v>
      </c>
      <c r="U331" s="152"/>
      <c r="V331" s="162"/>
    </row>
    <row r="332" spans="1:22" s="190" customFormat="1" ht="32.25" customHeight="1" x14ac:dyDescent="0.2">
      <c r="A332" s="155">
        <f t="shared" si="20"/>
        <v>228</v>
      </c>
      <c r="B332" s="163" t="s">
        <v>1621</v>
      </c>
      <c r="C332" s="198">
        <v>258420108</v>
      </c>
      <c r="D332" s="206"/>
      <c r="E332" s="171">
        <v>1</v>
      </c>
      <c r="F332" s="182" t="s">
        <v>890</v>
      </c>
      <c r="G332" s="182" t="s">
        <v>907</v>
      </c>
      <c r="H332" s="203" t="s">
        <v>908</v>
      </c>
      <c r="I332" s="193" t="s">
        <v>200</v>
      </c>
      <c r="J332" s="182" t="s">
        <v>39</v>
      </c>
      <c r="K332" s="182" t="s">
        <v>233</v>
      </c>
      <c r="L332" s="212" t="s">
        <v>909</v>
      </c>
      <c r="M332" s="185">
        <v>1500000</v>
      </c>
      <c r="N332" s="185"/>
      <c r="O332" s="160">
        <v>4500000</v>
      </c>
      <c r="P332" s="187"/>
      <c r="Q332" s="187"/>
      <c r="R332" s="188"/>
      <c r="S332" s="160">
        <f t="shared" si="18"/>
        <v>360000</v>
      </c>
      <c r="T332" s="161">
        <f t="shared" si="19"/>
        <v>6360000</v>
      </c>
      <c r="U332" s="152"/>
      <c r="V332" s="162"/>
    </row>
    <row r="333" spans="1:22" s="190" customFormat="1" ht="32.25" customHeight="1" x14ac:dyDescent="0.2">
      <c r="A333" s="155">
        <f t="shared" si="20"/>
        <v>229</v>
      </c>
      <c r="B333" s="163" t="s">
        <v>1621</v>
      </c>
      <c r="C333" s="198">
        <v>258420108</v>
      </c>
      <c r="D333" s="206"/>
      <c r="E333" s="171">
        <v>1</v>
      </c>
      <c r="F333" s="182" t="s">
        <v>895</v>
      </c>
      <c r="G333" s="182" t="s">
        <v>552</v>
      </c>
      <c r="H333" s="203" t="s">
        <v>908</v>
      </c>
      <c r="I333" s="193" t="s">
        <v>200</v>
      </c>
      <c r="J333" s="182" t="s">
        <v>39</v>
      </c>
      <c r="K333" s="182" t="s">
        <v>233</v>
      </c>
      <c r="L333" s="212" t="s">
        <v>911</v>
      </c>
      <c r="M333" s="185">
        <v>1500000</v>
      </c>
      <c r="N333" s="185"/>
      <c r="O333" s="160">
        <v>4500000</v>
      </c>
      <c r="P333" s="187"/>
      <c r="Q333" s="187"/>
      <c r="R333" s="188"/>
      <c r="S333" s="160">
        <f t="shared" si="18"/>
        <v>360000</v>
      </c>
      <c r="T333" s="161">
        <f t="shared" si="19"/>
        <v>6360000</v>
      </c>
      <c r="U333" s="152"/>
      <c r="V333" s="162"/>
    </row>
    <row r="334" spans="1:22" s="190" customFormat="1" ht="32.25" customHeight="1" x14ac:dyDescent="0.2">
      <c r="A334" s="155">
        <f t="shared" si="20"/>
        <v>230</v>
      </c>
      <c r="B334" s="163" t="s">
        <v>1621</v>
      </c>
      <c r="C334" s="198">
        <v>258420108</v>
      </c>
      <c r="D334" s="206"/>
      <c r="E334" s="171">
        <v>1</v>
      </c>
      <c r="F334" s="182" t="s">
        <v>898</v>
      </c>
      <c r="G334" s="182" t="s">
        <v>913</v>
      </c>
      <c r="H334" s="203" t="s">
        <v>908</v>
      </c>
      <c r="I334" s="193" t="s">
        <v>200</v>
      </c>
      <c r="J334" s="182" t="s">
        <v>39</v>
      </c>
      <c r="K334" s="182" t="s">
        <v>233</v>
      </c>
      <c r="L334" s="212" t="s">
        <v>914</v>
      </c>
      <c r="M334" s="185">
        <v>1500000</v>
      </c>
      <c r="N334" s="185"/>
      <c r="O334" s="160">
        <v>4500000</v>
      </c>
      <c r="P334" s="187"/>
      <c r="Q334" s="187"/>
      <c r="R334" s="188"/>
      <c r="S334" s="160">
        <f t="shared" si="18"/>
        <v>360000</v>
      </c>
      <c r="T334" s="161">
        <f t="shared" si="19"/>
        <v>6360000</v>
      </c>
      <c r="U334" s="152"/>
      <c r="V334" s="162"/>
    </row>
    <row r="335" spans="1:22" s="190" customFormat="1" ht="32.25" customHeight="1" x14ac:dyDescent="0.2">
      <c r="A335" s="155">
        <f t="shared" si="20"/>
        <v>231</v>
      </c>
      <c r="B335" s="163" t="s">
        <v>1621</v>
      </c>
      <c r="C335" s="198">
        <v>258420108</v>
      </c>
      <c r="D335" s="206"/>
      <c r="E335" s="171">
        <v>1</v>
      </c>
      <c r="F335" s="182" t="s">
        <v>880</v>
      </c>
      <c r="G335" s="218" t="s">
        <v>254</v>
      </c>
      <c r="H335" s="203" t="s">
        <v>908</v>
      </c>
      <c r="I335" s="193" t="s">
        <v>200</v>
      </c>
      <c r="J335" s="182" t="s">
        <v>39</v>
      </c>
      <c r="K335" s="182" t="s">
        <v>233</v>
      </c>
      <c r="L335" s="212" t="s">
        <v>916</v>
      </c>
      <c r="M335" s="185">
        <v>1500000</v>
      </c>
      <c r="N335" s="185"/>
      <c r="O335" s="160">
        <v>4500000</v>
      </c>
      <c r="P335" s="187"/>
      <c r="Q335" s="187"/>
      <c r="R335" s="188"/>
      <c r="S335" s="160">
        <f t="shared" si="18"/>
        <v>360000</v>
      </c>
      <c r="T335" s="161">
        <f t="shared" si="19"/>
        <v>6360000</v>
      </c>
      <c r="U335" s="152"/>
      <c r="V335" s="162"/>
    </row>
    <row r="336" spans="1:22" s="190" customFormat="1" ht="32.25" customHeight="1" x14ac:dyDescent="0.2">
      <c r="A336" s="155">
        <f t="shared" si="20"/>
        <v>232</v>
      </c>
      <c r="B336" s="163" t="s">
        <v>1621</v>
      </c>
      <c r="C336" s="198">
        <v>7263969462</v>
      </c>
      <c r="D336" s="206"/>
      <c r="E336" s="171">
        <v>1</v>
      </c>
      <c r="F336" s="182" t="s">
        <v>892</v>
      </c>
      <c r="G336" s="182" t="s">
        <v>265</v>
      </c>
      <c r="H336" s="203" t="s">
        <v>908</v>
      </c>
      <c r="I336" s="193" t="s">
        <v>200</v>
      </c>
      <c r="J336" s="182" t="s">
        <v>39</v>
      </c>
      <c r="K336" s="182" t="s">
        <v>233</v>
      </c>
      <c r="L336" s="212" t="s">
        <v>918</v>
      </c>
      <c r="M336" s="185">
        <v>1500000</v>
      </c>
      <c r="N336" s="185"/>
      <c r="O336" s="160">
        <v>4500000</v>
      </c>
      <c r="P336" s="187"/>
      <c r="Q336" s="187"/>
      <c r="R336" s="188"/>
      <c r="S336" s="160">
        <f t="shared" ref="S336:S367" si="21">O336*0.08</f>
        <v>360000</v>
      </c>
      <c r="T336" s="161">
        <f t="shared" si="19"/>
        <v>6360000</v>
      </c>
      <c r="U336" s="152"/>
      <c r="V336" s="162"/>
    </row>
    <row r="337" spans="1:22" s="190" customFormat="1" ht="32.25" customHeight="1" x14ac:dyDescent="0.2">
      <c r="A337" s="155">
        <f t="shared" si="20"/>
        <v>233</v>
      </c>
      <c r="B337" s="194" t="s">
        <v>1621</v>
      </c>
      <c r="C337" s="198">
        <v>7263969462</v>
      </c>
      <c r="D337" s="206"/>
      <c r="E337" s="171">
        <v>1</v>
      </c>
      <c r="F337" s="157" t="s">
        <v>885</v>
      </c>
      <c r="G337" s="171" t="s">
        <v>876</v>
      </c>
      <c r="H337" s="171" t="s">
        <v>298</v>
      </c>
      <c r="I337" s="156" t="s">
        <v>299</v>
      </c>
      <c r="J337" s="157" t="s">
        <v>39</v>
      </c>
      <c r="K337" s="157" t="s">
        <v>233</v>
      </c>
      <c r="L337" s="212" t="s">
        <v>921</v>
      </c>
      <c r="M337" s="185">
        <v>1500000</v>
      </c>
      <c r="N337" s="185"/>
      <c r="O337" s="160">
        <v>5300000</v>
      </c>
      <c r="P337" s="187"/>
      <c r="Q337" s="187"/>
      <c r="R337" s="188"/>
      <c r="S337" s="160">
        <f t="shared" si="21"/>
        <v>424000</v>
      </c>
      <c r="T337" s="161">
        <f t="shared" si="19"/>
        <v>7224000</v>
      </c>
      <c r="U337" s="152"/>
      <c r="V337" s="162"/>
    </row>
    <row r="338" spans="1:22" s="190" customFormat="1" ht="32.25" customHeight="1" x14ac:dyDescent="0.2">
      <c r="A338" s="155">
        <f t="shared" si="20"/>
        <v>234</v>
      </c>
      <c r="B338" s="194" t="s">
        <v>1621</v>
      </c>
      <c r="C338" s="198" t="s">
        <v>905</v>
      </c>
      <c r="D338" s="206"/>
      <c r="E338" s="171">
        <v>1</v>
      </c>
      <c r="F338" s="157" t="s">
        <v>901</v>
      </c>
      <c r="G338" s="157" t="s">
        <v>619</v>
      </c>
      <c r="H338" s="171" t="s">
        <v>298</v>
      </c>
      <c r="I338" s="156" t="s">
        <v>299</v>
      </c>
      <c r="J338" s="157" t="s">
        <v>39</v>
      </c>
      <c r="K338" s="157" t="s">
        <v>233</v>
      </c>
      <c r="L338" s="212" t="s">
        <v>923</v>
      </c>
      <c r="M338" s="185">
        <v>1500000</v>
      </c>
      <c r="N338" s="185"/>
      <c r="O338" s="160">
        <v>5300000</v>
      </c>
      <c r="P338" s="187"/>
      <c r="Q338" s="187"/>
      <c r="R338" s="188"/>
      <c r="S338" s="160">
        <f t="shared" si="21"/>
        <v>424000</v>
      </c>
      <c r="T338" s="161">
        <f t="shared" ref="T338:T367" si="22">S338+P338+O338+N338+M338</f>
        <v>7224000</v>
      </c>
      <c r="U338" s="152"/>
      <c r="V338" s="162"/>
    </row>
    <row r="339" spans="1:22" s="190" customFormat="1" ht="32.25" customHeight="1" x14ac:dyDescent="0.2">
      <c r="A339" s="155">
        <f t="shared" si="20"/>
        <v>235</v>
      </c>
      <c r="B339" s="194" t="s">
        <v>1621</v>
      </c>
      <c r="C339" s="198" t="s">
        <v>905</v>
      </c>
      <c r="D339" s="206"/>
      <c r="E339" s="171">
        <v>1</v>
      </c>
      <c r="F339" s="157" t="s">
        <v>903</v>
      </c>
      <c r="G339" s="171" t="s">
        <v>899</v>
      </c>
      <c r="H339" s="171" t="s">
        <v>298</v>
      </c>
      <c r="I339" s="156" t="s">
        <v>299</v>
      </c>
      <c r="J339" s="157" t="s">
        <v>39</v>
      </c>
      <c r="K339" s="157" t="s">
        <v>233</v>
      </c>
      <c r="L339" s="212" t="s">
        <v>925</v>
      </c>
      <c r="M339" s="185">
        <v>1450000</v>
      </c>
      <c r="N339" s="185"/>
      <c r="O339" s="160">
        <v>5300000</v>
      </c>
      <c r="P339" s="187"/>
      <c r="Q339" s="187"/>
      <c r="R339" s="188"/>
      <c r="S339" s="160">
        <f t="shared" si="21"/>
        <v>424000</v>
      </c>
      <c r="T339" s="161">
        <f t="shared" si="22"/>
        <v>7174000</v>
      </c>
      <c r="U339" s="152"/>
      <c r="V339" s="162"/>
    </row>
    <row r="340" spans="1:22" s="190" customFormat="1" ht="32.25" customHeight="1" x14ac:dyDescent="0.2">
      <c r="A340" s="155">
        <f t="shared" si="20"/>
        <v>236</v>
      </c>
      <c r="B340" s="194" t="s">
        <v>1621</v>
      </c>
      <c r="C340" s="171" t="s">
        <v>905</v>
      </c>
      <c r="D340" s="171"/>
      <c r="E340" s="171">
        <v>1</v>
      </c>
      <c r="F340" s="157" t="s">
        <v>915</v>
      </c>
      <c r="G340" s="157" t="s">
        <v>927</v>
      </c>
      <c r="H340" s="206" t="s">
        <v>172</v>
      </c>
      <c r="I340" s="156" t="s">
        <v>173</v>
      </c>
      <c r="J340" s="206" t="s">
        <v>433</v>
      </c>
      <c r="K340" s="198" t="s">
        <v>39</v>
      </c>
      <c r="L340" s="212" t="s">
        <v>928</v>
      </c>
      <c r="M340" s="185">
        <v>1450000</v>
      </c>
      <c r="N340" s="185"/>
      <c r="O340" s="160">
        <v>2700000</v>
      </c>
      <c r="P340" s="187"/>
      <c r="Q340" s="187"/>
      <c r="R340" s="188"/>
      <c r="S340" s="160">
        <f t="shared" si="21"/>
        <v>216000</v>
      </c>
      <c r="T340" s="161">
        <f t="shared" si="22"/>
        <v>4366000</v>
      </c>
      <c r="U340" s="152"/>
      <c r="V340" s="162"/>
    </row>
    <row r="341" spans="1:22" s="190" customFormat="1" ht="32.25" customHeight="1" x14ac:dyDescent="0.2">
      <c r="A341" s="155">
        <f t="shared" si="20"/>
        <v>237</v>
      </c>
      <c r="B341" s="194" t="s">
        <v>1621</v>
      </c>
      <c r="C341" s="171" t="s">
        <v>905</v>
      </c>
      <c r="D341" s="171"/>
      <c r="E341" s="171">
        <v>1</v>
      </c>
      <c r="F341" s="219" t="s">
        <v>917</v>
      </c>
      <c r="G341" s="157" t="s">
        <v>893</v>
      </c>
      <c r="H341" s="206" t="s">
        <v>929</v>
      </c>
      <c r="I341" s="156" t="s">
        <v>173</v>
      </c>
      <c r="J341" s="206" t="s">
        <v>433</v>
      </c>
      <c r="K341" s="198" t="s">
        <v>39</v>
      </c>
      <c r="L341" s="212" t="s">
        <v>930</v>
      </c>
      <c r="M341" s="185">
        <v>1450000</v>
      </c>
      <c r="N341" s="185"/>
      <c r="O341" s="160">
        <v>2700000</v>
      </c>
      <c r="P341" s="187"/>
      <c r="Q341" s="187"/>
      <c r="R341" s="188"/>
      <c r="S341" s="160">
        <f t="shared" si="21"/>
        <v>216000</v>
      </c>
      <c r="T341" s="161">
        <f t="shared" si="22"/>
        <v>4366000</v>
      </c>
      <c r="U341" s="152"/>
      <c r="V341" s="162"/>
    </row>
    <row r="342" spans="1:22" s="190" customFormat="1" ht="32.25" customHeight="1" x14ac:dyDescent="0.2">
      <c r="A342" s="155">
        <f t="shared" si="20"/>
        <v>238</v>
      </c>
      <c r="B342" s="194" t="s">
        <v>1621</v>
      </c>
      <c r="C342" s="171" t="s">
        <v>905</v>
      </c>
      <c r="D342" s="171"/>
      <c r="E342" s="171">
        <v>1</v>
      </c>
      <c r="F342" s="157" t="s">
        <v>910</v>
      </c>
      <c r="G342" s="157" t="s">
        <v>622</v>
      </c>
      <c r="H342" s="206" t="s">
        <v>172</v>
      </c>
      <c r="I342" s="156" t="s">
        <v>173</v>
      </c>
      <c r="J342" s="206" t="s">
        <v>433</v>
      </c>
      <c r="K342" s="198" t="s">
        <v>39</v>
      </c>
      <c r="L342" s="212" t="s">
        <v>932</v>
      </c>
      <c r="M342" s="185">
        <v>1450000</v>
      </c>
      <c r="N342" s="185"/>
      <c r="O342" s="160">
        <v>2700000</v>
      </c>
      <c r="P342" s="187"/>
      <c r="Q342" s="187"/>
      <c r="R342" s="188"/>
      <c r="S342" s="160">
        <f t="shared" si="21"/>
        <v>216000</v>
      </c>
      <c r="T342" s="161">
        <f t="shared" si="22"/>
        <v>4366000</v>
      </c>
      <c r="U342" s="152"/>
      <c r="V342" s="162"/>
    </row>
    <row r="343" spans="1:22" s="190" customFormat="1" ht="32.25" customHeight="1" x14ac:dyDescent="0.2">
      <c r="A343" s="155">
        <f t="shared" si="20"/>
        <v>239</v>
      </c>
      <c r="B343" s="163" t="s">
        <v>1622</v>
      </c>
      <c r="C343" s="171">
        <v>262065541</v>
      </c>
      <c r="D343" s="171"/>
      <c r="E343" s="171">
        <v>1</v>
      </c>
      <c r="F343" s="157" t="s">
        <v>912</v>
      </c>
      <c r="G343" s="157" t="s">
        <v>896</v>
      </c>
      <c r="H343" s="171" t="s">
        <v>172</v>
      </c>
      <c r="I343" s="156" t="s">
        <v>173</v>
      </c>
      <c r="J343" s="206" t="s">
        <v>433</v>
      </c>
      <c r="K343" s="198" t="s">
        <v>39</v>
      </c>
      <c r="L343" s="212" t="s">
        <v>934</v>
      </c>
      <c r="M343" s="185">
        <v>1450000</v>
      </c>
      <c r="N343" s="185"/>
      <c r="O343" s="160">
        <v>2700000</v>
      </c>
      <c r="P343" s="187"/>
      <c r="Q343" s="187"/>
      <c r="R343" s="188"/>
      <c r="S343" s="160">
        <f t="shared" si="21"/>
        <v>216000</v>
      </c>
      <c r="T343" s="161">
        <f t="shared" si="22"/>
        <v>4366000</v>
      </c>
      <c r="U343" s="152"/>
      <c r="V343" s="162"/>
    </row>
    <row r="344" spans="1:22" s="190" customFormat="1" ht="32.25" customHeight="1" x14ac:dyDescent="0.2">
      <c r="A344" s="155">
        <f t="shared" si="20"/>
        <v>240</v>
      </c>
      <c r="B344" s="163" t="s">
        <v>1622</v>
      </c>
      <c r="C344" s="171">
        <v>262065541</v>
      </c>
      <c r="D344" s="171"/>
      <c r="E344" s="171">
        <v>1</v>
      </c>
      <c r="F344" s="157" t="s">
        <v>906</v>
      </c>
      <c r="G344" s="157" t="s">
        <v>758</v>
      </c>
      <c r="H344" s="171" t="s">
        <v>172</v>
      </c>
      <c r="I344" s="156" t="s">
        <v>173</v>
      </c>
      <c r="J344" s="206" t="s">
        <v>433</v>
      </c>
      <c r="K344" s="198" t="s">
        <v>39</v>
      </c>
      <c r="L344" s="212" t="s">
        <v>936</v>
      </c>
      <c r="M344" s="185">
        <v>1450000</v>
      </c>
      <c r="N344" s="185"/>
      <c r="O344" s="160">
        <v>2700000</v>
      </c>
      <c r="P344" s="187"/>
      <c r="Q344" s="187"/>
      <c r="R344" s="188"/>
      <c r="S344" s="160">
        <f t="shared" si="21"/>
        <v>216000</v>
      </c>
      <c r="T344" s="161">
        <f t="shared" si="22"/>
        <v>4366000</v>
      </c>
      <c r="U344" s="152"/>
      <c r="V344" s="162"/>
    </row>
    <row r="345" spans="1:22" s="190" customFormat="1" ht="32.25" customHeight="1" x14ac:dyDescent="0.2">
      <c r="A345" s="155">
        <f t="shared" si="20"/>
        <v>241</v>
      </c>
      <c r="B345" s="163" t="s">
        <v>1622</v>
      </c>
      <c r="C345" s="171">
        <v>262065541</v>
      </c>
      <c r="D345" s="171"/>
      <c r="E345" s="171">
        <v>1</v>
      </c>
      <c r="F345" s="157" t="s">
        <v>933</v>
      </c>
      <c r="G345" s="171" t="s">
        <v>873</v>
      </c>
      <c r="H345" s="171" t="s">
        <v>180</v>
      </c>
      <c r="I345" s="156" t="s">
        <v>181</v>
      </c>
      <c r="J345" s="197" t="s">
        <v>39</v>
      </c>
      <c r="K345" s="198" t="s">
        <v>645</v>
      </c>
      <c r="L345" s="212" t="s">
        <v>938</v>
      </c>
      <c r="M345" s="185">
        <v>1500000</v>
      </c>
      <c r="N345" s="185"/>
      <c r="O345" s="160">
        <v>4500000</v>
      </c>
      <c r="P345" s="187"/>
      <c r="Q345" s="187"/>
      <c r="R345" s="188"/>
      <c r="S345" s="160">
        <f t="shared" si="21"/>
        <v>360000</v>
      </c>
      <c r="T345" s="161">
        <f t="shared" si="22"/>
        <v>6360000</v>
      </c>
      <c r="U345" s="152"/>
      <c r="V345" s="162"/>
    </row>
    <row r="346" spans="1:22" s="190" customFormat="1" ht="32.25" customHeight="1" x14ac:dyDescent="0.2">
      <c r="A346" s="155">
        <f t="shared" si="20"/>
        <v>242</v>
      </c>
      <c r="B346" s="194" t="s">
        <v>1622</v>
      </c>
      <c r="C346" s="198">
        <v>262065541</v>
      </c>
      <c r="D346" s="206"/>
      <c r="E346" s="206">
        <v>1</v>
      </c>
      <c r="F346" s="198" t="s">
        <v>935</v>
      </c>
      <c r="G346" s="206" t="s">
        <v>440</v>
      </c>
      <c r="H346" s="157" t="s">
        <v>607</v>
      </c>
      <c r="I346" s="156" t="s">
        <v>608</v>
      </c>
      <c r="J346" s="197" t="s">
        <v>480</v>
      </c>
      <c r="K346" s="198" t="s">
        <v>39</v>
      </c>
      <c r="L346" s="212" t="s">
        <v>940</v>
      </c>
      <c r="M346" s="185">
        <v>1500000</v>
      </c>
      <c r="N346" s="185"/>
      <c r="O346" s="160">
        <v>4700000</v>
      </c>
      <c r="P346" s="187"/>
      <c r="Q346" s="187"/>
      <c r="R346" s="188"/>
      <c r="S346" s="160">
        <f t="shared" si="21"/>
        <v>376000</v>
      </c>
      <c r="T346" s="161">
        <f t="shared" si="22"/>
        <v>6576000</v>
      </c>
      <c r="U346" s="152"/>
      <c r="V346" s="162"/>
    </row>
    <row r="347" spans="1:22" s="190" customFormat="1" ht="32.25" customHeight="1" x14ac:dyDescent="0.2">
      <c r="A347" s="155">
        <f t="shared" si="20"/>
        <v>243</v>
      </c>
      <c r="B347" s="194" t="s">
        <v>1622</v>
      </c>
      <c r="C347" s="157">
        <v>262065541</v>
      </c>
      <c r="D347" s="171"/>
      <c r="E347" s="171">
        <v>1</v>
      </c>
      <c r="F347" s="171" t="s">
        <v>931</v>
      </c>
      <c r="G347" s="157" t="s">
        <v>591</v>
      </c>
      <c r="H347" s="157" t="s">
        <v>607</v>
      </c>
      <c r="I347" s="156" t="s">
        <v>608</v>
      </c>
      <c r="J347" s="197" t="s">
        <v>480</v>
      </c>
      <c r="K347" s="198" t="s">
        <v>39</v>
      </c>
      <c r="L347" s="212" t="s">
        <v>941</v>
      </c>
      <c r="M347" s="185">
        <v>1500000</v>
      </c>
      <c r="N347" s="185"/>
      <c r="O347" s="160">
        <v>4700000</v>
      </c>
      <c r="P347" s="187"/>
      <c r="Q347" s="187"/>
      <c r="R347" s="188"/>
      <c r="S347" s="160">
        <f t="shared" si="21"/>
        <v>376000</v>
      </c>
      <c r="T347" s="161">
        <f t="shared" si="22"/>
        <v>6576000</v>
      </c>
      <c r="U347" s="152"/>
      <c r="V347" s="162"/>
    </row>
    <row r="348" spans="1:22" s="190" customFormat="1" ht="32.25" customHeight="1" x14ac:dyDescent="0.2">
      <c r="A348" s="155">
        <f t="shared" si="20"/>
        <v>244</v>
      </c>
      <c r="B348" s="194" t="s">
        <v>1622</v>
      </c>
      <c r="C348" s="157">
        <v>7263969463</v>
      </c>
      <c r="D348" s="171"/>
      <c r="E348" s="171">
        <v>1</v>
      </c>
      <c r="F348" s="157" t="s">
        <v>926</v>
      </c>
      <c r="G348" s="171" t="s">
        <v>943</v>
      </c>
      <c r="H348" s="157" t="s">
        <v>607</v>
      </c>
      <c r="I348" s="156" t="s">
        <v>608</v>
      </c>
      <c r="J348" s="197" t="s">
        <v>480</v>
      </c>
      <c r="K348" s="198" t="s">
        <v>39</v>
      </c>
      <c r="L348" s="212" t="s">
        <v>944</v>
      </c>
      <c r="M348" s="185">
        <v>1500000</v>
      </c>
      <c r="N348" s="185"/>
      <c r="O348" s="160">
        <v>4700000</v>
      </c>
      <c r="P348" s="187"/>
      <c r="Q348" s="187"/>
      <c r="R348" s="188"/>
      <c r="S348" s="160">
        <f t="shared" si="21"/>
        <v>376000</v>
      </c>
      <c r="T348" s="161">
        <f t="shared" si="22"/>
        <v>6576000</v>
      </c>
      <c r="U348" s="152"/>
      <c r="V348" s="162"/>
    </row>
    <row r="349" spans="1:22" s="190" customFormat="1" ht="32.25" customHeight="1" x14ac:dyDescent="0.2">
      <c r="A349" s="155">
        <f t="shared" si="20"/>
        <v>245</v>
      </c>
      <c r="B349" s="194" t="s">
        <v>1622</v>
      </c>
      <c r="C349" s="157">
        <v>7263969463</v>
      </c>
      <c r="D349" s="171"/>
      <c r="E349" s="171">
        <v>1</v>
      </c>
      <c r="F349" s="157" t="s">
        <v>892</v>
      </c>
      <c r="G349" s="157" t="s">
        <v>765</v>
      </c>
      <c r="H349" s="157" t="s">
        <v>607</v>
      </c>
      <c r="I349" s="156" t="s">
        <v>608</v>
      </c>
      <c r="J349" s="197" t="s">
        <v>480</v>
      </c>
      <c r="K349" s="198" t="s">
        <v>39</v>
      </c>
      <c r="L349" s="212" t="s">
        <v>946</v>
      </c>
      <c r="M349" s="185">
        <v>1500000</v>
      </c>
      <c r="N349" s="185"/>
      <c r="O349" s="160">
        <v>4700000</v>
      </c>
      <c r="P349" s="187"/>
      <c r="Q349" s="187"/>
      <c r="R349" s="188"/>
      <c r="S349" s="160">
        <f t="shared" si="21"/>
        <v>376000</v>
      </c>
      <c r="T349" s="161">
        <f t="shared" si="22"/>
        <v>6576000</v>
      </c>
      <c r="U349" s="152"/>
      <c r="V349" s="162"/>
    </row>
    <row r="350" spans="1:22" s="190" customFormat="1" ht="32.25" customHeight="1" x14ac:dyDescent="0.2">
      <c r="A350" s="155">
        <f t="shared" si="20"/>
        <v>246</v>
      </c>
      <c r="B350" s="194" t="s">
        <v>1622</v>
      </c>
      <c r="C350" s="182">
        <v>7263969463</v>
      </c>
      <c r="D350" s="203"/>
      <c r="E350" s="203">
        <v>1</v>
      </c>
      <c r="F350" s="182" t="s">
        <v>939</v>
      </c>
      <c r="G350" s="182" t="s">
        <v>763</v>
      </c>
      <c r="H350" s="182" t="s">
        <v>607</v>
      </c>
      <c r="I350" s="156" t="s">
        <v>608</v>
      </c>
      <c r="J350" s="197" t="s">
        <v>480</v>
      </c>
      <c r="K350" s="198" t="s">
        <v>39</v>
      </c>
      <c r="L350" s="212" t="s">
        <v>948</v>
      </c>
      <c r="M350" s="185">
        <v>1500000</v>
      </c>
      <c r="N350" s="185"/>
      <c r="O350" s="160">
        <v>4700000</v>
      </c>
      <c r="P350" s="187"/>
      <c r="Q350" s="187"/>
      <c r="R350" s="188"/>
      <c r="S350" s="160">
        <f t="shared" si="21"/>
        <v>376000</v>
      </c>
      <c r="T350" s="161">
        <f t="shared" si="22"/>
        <v>6576000</v>
      </c>
      <c r="U350" s="152"/>
      <c r="V350" s="162"/>
    </row>
    <row r="351" spans="1:22" s="190" customFormat="1" ht="32.25" customHeight="1" x14ac:dyDescent="0.2">
      <c r="A351" s="155">
        <f t="shared" si="20"/>
        <v>247</v>
      </c>
      <c r="B351" s="194" t="s">
        <v>1622</v>
      </c>
      <c r="C351" s="157">
        <v>7263969463</v>
      </c>
      <c r="D351" s="220"/>
      <c r="E351" s="171">
        <v>1</v>
      </c>
      <c r="F351" s="157" t="s">
        <v>942</v>
      </c>
      <c r="G351" s="171" t="s">
        <v>950</v>
      </c>
      <c r="H351" s="171" t="s">
        <v>298</v>
      </c>
      <c r="I351" s="156" t="s">
        <v>299</v>
      </c>
      <c r="J351" s="197" t="s">
        <v>480</v>
      </c>
      <c r="K351" s="198" t="s">
        <v>39</v>
      </c>
      <c r="L351" s="212" t="s">
        <v>951</v>
      </c>
      <c r="M351" s="185">
        <v>1500000</v>
      </c>
      <c r="N351" s="185"/>
      <c r="O351" s="160">
        <v>5300000</v>
      </c>
      <c r="P351" s="187"/>
      <c r="Q351" s="187"/>
      <c r="R351" s="188"/>
      <c r="S351" s="160">
        <f t="shared" si="21"/>
        <v>424000</v>
      </c>
      <c r="T351" s="161">
        <f t="shared" si="22"/>
        <v>7224000</v>
      </c>
      <c r="U351" s="152"/>
      <c r="V351" s="162"/>
    </row>
    <row r="352" spans="1:22" s="190" customFormat="1" ht="32.25" customHeight="1" x14ac:dyDescent="0.2">
      <c r="A352" s="155">
        <f t="shared" si="20"/>
        <v>248</v>
      </c>
      <c r="B352" s="194" t="s">
        <v>1622</v>
      </c>
      <c r="C352" s="156">
        <v>7263969463</v>
      </c>
      <c r="D352" s="156"/>
      <c r="E352" s="156">
        <v>1</v>
      </c>
      <c r="F352" s="157" t="s">
        <v>945</v>
      </c>
      <c r="G352" s="152" t="s">
        <v>323</v>
      </c>
      <c r="H352" s="156" t="s">
        <v>180</v>
      </c>
      <c r="I352" s="156" t="s">
        <v>181</v>
      </c>
      <c r="J352" s="157" t="s">
        <v>39</v>
      </c>
      <c r="K352" s="155" t="s">
        <v>697</v>
      </c>
      <c r="L352" s="158" t="s">
        <v>954</v>
      </c>
      <c r="M352" s="159">
        <v>1512000</v>
      </c>
      <c r="N352" s="159"/>
      <c r="O352" s="160">
        <v>4500000</v>
      </c>
      <c r="P352" s="187"/>
      <c r="Q352" s="187"/>
      <c r="R352" s="188"/>
      <c r="S352" s="160">
        <f t="shared" si="21"/>
        <v>360000</v>
      </c>
      <c r="T352" s="161">
        <f>S352+P352+O352+N352+M352</f>
        <v>6372000</v>
      </c>
      <c r="U352" s="152"/>
      <c r="V352" s="162"/>
    </row>
    <row r="353" spans="1:22" s="190" customFormat="1" ht="32.25" customHeight="1" x14ac:dyDescent="0.2">
      <c r="A353" s="155">
        <f t="shared" si="20"/>
        <v>249</v>
      </c>
      <c r="B353" s="194" t="s">
        <v>1622</v>
      </c>
      <c r="C353" s="171">
        <v>7263994220</v>
      </c>
      <c r="D353" s="171"/>
      <c r="E353" s="171">
        <v>1</v>
      </c>
      <c r="F353" s="157" t="s">
        <v>947</v>
      </c>
      <c r="G353" s="157" t="s">
        <v>956</v>
      </c>
      <c r="H353" s="157" t="s">
        <v>180</v>
      </c>
      <c r="I353" s="156" t="s">
        <v>181</v>
      </c>
      <c r="J353" s="197" t="s">
        <v>39</v>
      </c>
      <c r="K353" s="198" t="s">
        <v>697</v>
      </c>
      <c r="L353" s="212" t="s">
        <v>957</v>
      </c>
      <c r="M353" s="185">
        <v>1512000</v>
      </c>
      <c r="N353" s="185"/>
      <c r="O353" s="160">
        <v>4500000</v>
      </c>
      <c r="P353" s="187"/>
      <c r="Q353" s="187"/>
      <c r="R353" s="188"/>
      <c r="S353" s="160">
        <f t="shared" si="21"/>
        <v>360000</v>
      </c>
      <c r="T353" s="161">
        <f t="shared" si="22"/>
        <v>6372000</v>
      </c>
      <c r="U353" s="152"/>
      <c r="V353" s="162"/>
    </row>
    <row r="354" spans="1:22" s="190" customFormat="1" ht="32.25" customHeight="1" x14ac:dyDescent="0.2">
      <c r="A354" s="155">
        <f t="shared" si="20"/>
        <v>250</v>
      </c>
      <c r="B354" s="194" t="s">
        <v>1622</v>
      </c>
      <c r="C354" s="171" t="s">
        <v>952</v>
      </c>
      <c r="D354" s="171"/>
      <c r="E354" s="171">
        <v>1</v>
      </c>
      <c r="F354" s="157" t="s">
        <v>1146</v>
      </c>
      <c r="G354" s="152" t="s">
        <v>271</v>
      </c>
      <c r="H354" s="157" t="s">
        <v>180</v>
      </c>
      <c r="I354" s="156" t="s">
        <v>181</v>
      </c>
      <c r="J354" s="197" t="s">
        <v>39</v>
      </c>
      <c r="K354" s="198" t="s">
        <v>697</v>
      </c>
      <c r="L354" s="212" t="s">
        <v>959</v>
      </c>
      <c r="M354" s="185">
        <v>1512000</v>
      </c>
      <c r="N354" s="185"/>
      <c r="O354" s="160">
        <v>4500000</v>
      </c>
      <c r="P354" s="187"/>
      <c r="Q354" s="187"/>
      <c r="R354" s="188"/>
      <c r="S354" s="160">
        <f t="shared" si="21"/>
        <v>360000</v>
      </c>
      <c r="T354" s="161">
        <f t="shared" si="22"/>
        <v>6372000</v>
      </c>
      <c r="U354" s="152"/>
      <c r="V354" s="162"/>
    </row>
    <row r="355" spans="1:22" s="190" customFormat="1" ht="32.25" customHeight="1" x14ac:dyDescent="0.2">
      <c r="A355" s="155">
        <f t="shared" si="20"/>
        <v>251</v>
      </c>
      <c r="B355" s="194" t="s">
        <v>1622</v>
      </c>
      <c r="C355" s="171" t="s">
        <v>952</v>
      </c>
      <c r="D355" s="171"/>
      <c r="E355" s="171">
        <v>1</v>
      </c>
      <c r="F355" s="179" t="s">
        <v>949</v>
      </c>
      <c r="G355" s="152" t="s">
        <v>961</v>
      </c>
      <c r="H355" s="157" t="s">
        <v>180</v>
      </c>
      <c r="I355" s="156" t="s">
        <v>181</v>
      </c>
      <c r="J355" s="197" t="s">
        <v>39</v>
      </c>
      <c r="K355" s="198" t="s">
        <v>697</v>
      </c>
      <c r="L355" s="212" t="s">
        <v>962</v>
      </c>
      <c r="M355" s="185">
        <v>1500000</v>
      </c>
      <c r="N355" s="185"/>
      <c r="O355" s="160">
        <v>4500000</v>
      </c>
      <c r="P355" s="187"/>
      <c r="Q355" s="187"/>
      <c r="R355" s="188"/>
      <c r="S355" s="160">
        <f t="shared" si="21"/>
        <v>360000</v>
      </c>
      <c r="T355" s="161">
        <f t="shared" si="22"/>
        <v>6360000</v>
      </c>
      <c r="U355" s="152"/>
      <c r="V355" s="162"/>
    </row>
    <row r="356" spans="1:22" s="190" customFormat="1" ht="32.25" customHeight="1" x14ac:dyDescent="0.2">
      <c r="A356" s="155">
        <f t="shared" si="20"/>
        <v>252</v>
      </c>
      <c r="B356" s="194" t="s">
        <v>1622</v>
      </c>
      <c r="C356" s="171" t="s">
        <v>952</v>
      </c>
      <c r="D356" s="171"/>
      <c r="E356" s="171">
        <v>1</v>
      </c>
      <c r="F356" s="157" t="s">
        <v>960</v>
      </c>
      <c r="G356" s="221" t="s">
        <v>569</v>
      </c>
      <c r="H356" s="157" t="s">
        <v>180</v>
      </c>
      <c r="I356" s="156" t="s">
        <v>181</v>
      </c>
      <c r="J356" s="197" t="s">
        <v>39</v>
      </c>
      <c r="K356" s="198" t="s">
        <v>697</v>
      </c>
      <c r="L356" s="212" t="s">
        <v>964</v>
      </c>
      <c r="M356" s="185">
        <v>1512000</v>
      </c>
      <c r="N356" s="185"/>
      <c r="O356" s="160">
        <v>4500000</v>
      </c>
      <c r="P356" s="187"/>
      <c r="Q356" s="187"/>
      <c r="R356" s="188"/>
      <c r="S356" s="160">
        <f t="shared" si="21"/>
        <v>360000</v>
      </c>
      <c r="T356" s="161">
        <f t="shared" si="22"/>
        <v>6372000</v>
      </c>
      <c r="U356" s="152"/>
      <c r="V356" s="162"/>
    </row>
    <row r="357" spans="1:22" s="190" customFormat="1" ht="32.25" customHeight="1" x14ac:dyDescent="0.2">
      <c r="A357" s="155">
        <f t="shared" si="20"/>
        <v>253</v>
      </c>
      <c r="B357" s="194" t="s">
        <v>1622</v>
      </c>
      <c r="C357" s="171" t="s">
        <v>952</v>
      </c>
      <c r="D357" s="171"/>
      <c r="E357" s="171">
        <v>1</v>
      </c>
      <c r="F357" s="157" t="s">
        <v>953</v>
      </c>
      <c r="G357" s="152" t="s">
        <v>453</v>
      </c>
      <c r="H357" s="198" t="s">
        <v>298</v>
      </c>
      <c r="I357" s="156" t="s">
        <v>299</v>
      </c>
      <c r="J357" s="197" t="s">
        <v>617</v>
      </c>
      <c r="K357" s="197" t="s">
        <v>966</v>
      </c>
      <c r="L357" s="222" t="s">
        <v>967</v>
      </c>
      <c r="M357" s="185">
        <v>1512000</v>
      </c>
      <c r="N357" s="185"/>
      <c r="O357" s="160">
        <f>5300000+260000</f>
        <v>5560000</v>
      </c>
      <c r="P357" s="187"/>
      <c r="Q357" s="187"/>
      <c r="R357" s="188"/>
      <c r="S357" s="160">
        <f t="shared" si="21"/>
        <v>444800</v>
      </c>
      <c r="T357" s="161">
        <f t="shared" si="22"/>
        <v>7516800</v>
      </c>
      <c r="U357" s="152"/>
      <c r="V357" s="162"/>
    </row>
    <row r="358" spans="1:22" s="190" customFormat="1" ht="32.25" customHeight="1" x14ac:dyDescent="0.2">
      <c r="A358" s="155">
        <f t="shared" si="20"/>
        <v>254</v>
      </c>
      <c r="B358" s="194" t="s">
        <v>1622</v>
      </c>
      <c r="C358" s="157" t="s">
        <v>952</v>
      </c>
      <c r="D358" s="171"/>
      <c r="E358" s="171">
        <v>1</v>
      </c>
      <c r="F358" s="157" t="s">
        <v>963</v>
      </c>
      <c r="G358" s="157" t="s">
        <v>896</v>
      </c>
      <c r="H358" s="198" t="s">
        <v>172</v>
      </c>
      <c r="I358" s="156" t="s">
        <v>173</v>
      </c>
      <c r="J358" s="197" t="s">
        <v>969</v>
      </c>
      <c r="K358" s="198" t="s">
        <v>39</v>
      </c>
      <c r="L358" s="212" t="s">
        <v>970</v>
      </c>
      <c r="M358" s="185">
        <v>1450000</v>
      </c>
      <c r="N358" s="185"/>
      <c r="O358" s="160">
        <v>2700000</v>
      </c>
      <c r="P358" s="187"/>
      <c r="Q358" s="187"/>
      <c r="R358" s="188"/>
      <c r="S358" s="160">
        <f t="shared" si="21"/>
        <v>216000</v>
      </c>
      <c r="T358" s="161">
        <f t="shared" si="22"/>
        <v>4366000</v>
      </c>
      <c r="U358" s="152"/>
      <c r="V358" s="162"/>
    </row>
    <row r="359" spans="1:22" s="190" customFormat="1" ht="32.25" customHeight="1" x14ac:dyDescent="0.2">
      <c r="A359" s="155">
        <f t="shared" si="20"/>
        <v>255</v>
      </c>
      <c r="B359" s="194" t="s">
        <v>1622</v>
      </c>
      <c r="C359" s="157">
        <v>258474318</v>
      </c>
      <c r="D359" s="171"/>
      <c r="E359" s="171">
        <v>1</v>
      </c>
      <c r="F359" s="171" t="s">
        <v>958</v>
      </c>
      <c r="G359" s="157" t="s">
        <v>899</v>
      </c>
      <c r="H359" s="198" t="s">
        <v>172</v>
      </c>
      <c r="I359" s="156" t="s">
        <v>173</v>
      </c>
      <c r="J359" s="197" t="s">
        <v>969</v>
      </c>
      <c r="K359" s="198" t="s">
        <v>39</v>
      </c>
      <c r="L359" s="212" t="s">
        <v>972</v>
      </c>
      <c r="M359" s="185">
        <v>1450000</v>
      </c>
      <c r="N359" s="185"/>
      <c r="O359" s="160">
        <v>2700000</v>
      </c>
      <c r="P359" s="187"/>
      <c r="Q359" s="187"/>
      <c r="R359" s="188"/>
      <c r="S359" s="160">
        <f t="shared" si="21"/>
        <v>216000</v>
      </c>
      <c r="T359" s="161">
        <f t="shared" si="22"/>
        <v>4366000</v>
      </c>
      <c r="U359" s="152"/>
      <c r="V359" s="162"/>
    </row>
    <row r="360" spans="1:22" s="190" customFormat="1" ht="32.25" customHeight="1" x14ac:dyDescent="0.2">
      <c r="A360" s="155">
        <f t="shared" si="20"/>
        <v>256</v>
      </c>
      <c r="B360" s="194" t="s">
        <v>1622</v>
      </c>
      <c r="C360" s="157" t="s">
        <v>919</v>
      </c>
      <c r="D360" s="171"/>
      <c r="E360" s="171">
        <v>1</v>
      </c>
      <c r="F360" s="191" t="s">
        <v>955</v>
      </c>
      <c r="G360" s="157" t="s">
        <v>758</v>
      </c>
      <c r="H360" s="198" t="s">
        <v>172</v>
      </c>
      <c r="I360" s="156" t="s">
        <v>173</v>
      </c>
      <c r="J360" s="197" t="s">
        <v>433</v>
      </c>
      <c r="K360" s="198" t="s">
        <v>39</v>
      </c>
      <c r="L360" s="212" t="s">
        <v>973</v>
      </c>
      <c r="M360" s="185">
        <v>1450000</v>
      </c>
      <c r="N360" s="185"/>
      <c r="O360" s="160">
        <v>2700000</v>
      </c>
      <c r="P360" s="187"/>
      <c r="Q360" s="187"/>
      <c r="R360" s="188"/>
      <c r="S360" s="160">
        <f t="shared" si="21"/>
        <v>216000</v>
      </c>
      <c r="T360" s="161">
        <f t="shared" si="22"/>
        <v>4366000</v>
      </c>
      <c r="U360" s="152"/>
      <c r="V360" s="162"/>
    </row>
    <row r="361" spans="1:22" s="190" customFormat="1" ht="32.25" customHeight="1" x14ac:dyDescent="0.2">
      <c r="A361" s="155">
        <f t="shared" si="20"/>
        <v>257</v>
      </c>
      <c r="B361" s="163" t="s">
        <v>1622</v>
      </c>
      <c r="C361" s="171" t="s">
        <v>919</v>
      </c>
      <c r="D361" s="171"/>
      <c r="E361" s="171">
        <v>1</v>
      </c>
      <c r="F361" s="157" t="s">
        <v>937</v>
      </c>
      <c r="G361" s="171" t="s">
        <v>259</v>
      </c>
      <c r="H361" s="198" t="s">
        <v>976</v>
      </c>
      <c r="I361" s="197" t="s">
        <v>181</v>
      </c>
      <c r="J361" s="197" t="s">
        <v>39</v>
      </c>
      <c r="K361" s="198" t="s">
        <v>977</v>
      </c>
      <c r="L361" s="212" t="s">
        <v>978</v>
      </c>
      <c r="M361" s="185">
        <v>1500000</v>
      </c>
      <c r="N361" s="185"/>
      <c r="O361" s="160">
        <v>4400000</v>
      </c>
      <c r="P361" s="187"/>
      <c r="Q361" s="187"/>
      <c r="R361" s="188"/>
      <c r="S361" s="160">
        <f t="shared" si="21"/>
        <v>352000</v>
      </c>
      <c r="T361" s="161">
        <f t="shared" si="22"/>
        <v>6252000</v>
      </c>
      <c r="U361" s="152"/>
      <c r="V361" s="162"/>
    </row>
    <row r="362" spans="1:22" s="190" customFormat="1" ht="32.25" customHeight="1" x14ac:dyDescent="0.2">
      <c r="A362" s="155">
        <f t="shared" ref="A362:A425" si="23">ROW()-104</f>
        <v>258</v>
      </c>
      <c r="B362" s="194" t="s">
        <v>1622</v>
      </c>
      <c r="C362" s="171" t="s">
        <v>919</v>
      </c>
      <c r="D362" s="171"/>
      <c r="E362" s="171">
        <v>1</v>
      </c>
      <c r="F362" s="157" t="s">
        <v>920</v>
      </c>
      <c r="G362" s="171" t="s">
        <v>616</v>
      </c>
      <c r="H362" s="198" t="s">
        <v>298</v>
      </c>
      <c r="I362" s="197" t="s">
        <v>299</v>
      </c>
      <c r="J362" s="197" t="s">
        <v>39</v>
      </c>
      <c r="K362" s="206" t="s">
        <v>980</v>
      </c>
      <c r="L362" s="223">
        <v>14561</v>
      </c>
      <c r="M362" s="185">
        <v>1500000</v>
      </c>
      <c r="N362" s="185"/>
      <c r="O362" s="160">
        <v>5300000</v>
      </c>
      <c r="P362" s="187"/>
      <c r="Q362" s="187"/>
      <c r="R362" s="188"/>
      <c r="S362" s="160">
        <f t="shared" si="21"/>
        <v>424000</v>
      </c>
      <c r="T362" s="161">
        <f t="shared" si="22"/>
        <v>7224000</v>
      </c>
      <c r="U362" s="152"/>
      <c r="V362" s="162"/>
    </row>
    <row r="363" spans="1:22" s="190" customFormat="1" ht="32.25" customHeight="1" x14ac:dyDescent="0.2">
      <c r="A363" s="155">
        <f t="shared" si="23"/>
        <v>259</v>
      </c>
      <c r="B363" s="194" t="s">
        <v>1622</v>
      </c>
      <c r="C363" s="171">
        <v>260181210</v>
      </c>
      <c r="D363" s="171"/>
      <c r="E363" s="171">
        <v>1</v>
      </c>
      <c r="F363" s="152" t="s">
        <v>924</v>
      </c>
      <c r="G363" s="171" t="s">
        <v>927</v>
      </c>
      <c r="H363" s="198" t="s">
        <v>298</v>
      </c>
      <c r="I363" s="197" t="s">
        <v>299</v>
      </c>
      <c r="J363" s="197" t="s">
        <v>39</v>
      </c>
      <c r="K363" s="206" t="s">
        <v>980</v>
      </c>
      <c r="L363" s="212" t="s">
        <v>982</v>
      </c>
      <c r="M363" s="185">
        <v>1450000</v>
      </c>
      <c r="N363" s="185"/>
      <c r="O363" s="160">
        <v>5300000</v>
      </c>
      <c r="P363" s="187">
        <v>300000</v>
      </c>
      <c r="Q363" s="187"/>
      <c r="R363" s="188"/>
      <c r="S363" s="160">
        <f t="shared" si="21"/>
        <v>424000</v>
      </c>
      <c r="T363" s="161">
        <f t="shared" si="22"/>
        <v>7474000</v>
      </c>
      <c r="U363" s="152"/>
      <c r="V363" s="162"/>
    </row>
    <row r="364" spans="1:22" s="190" customFormat="1" ht="32.25" customHeight="1" x14ac:dyDescent="0.2">
      <c r="A364" s="155">
        <f t="shared" si="23"/>
        <v>260</v>
      </c>
      <c r="B364" s="194" t="s">
        <v>1623</v>
      </c>
      <c r="C364" s="171">
        <v>262065541</v>
      </c>
      <c r="D364" s="171"/>
      <c r="E364" s="171">
        <v>1</v>
      </c>
      <c r="F364" s="157" t="s">
        <v>922</v>
      </c>
      <c r="G364" s="171" t="s">
        <v>619</v>
      </c>
      <c r="H364" s="198" t="s">
        <v>298</v>
      </c>
      <c r="I364" s="197" t="s">
        <v>299</v>
      </c>
      <c r="J364" s="197" t="s">
        <v>39</v>
      </c>
      <c r="K364" s="206" t="s">
        <v>980</v>
      </c>
      <c r="L364" s="212" t="s">
        <v>984</v>
      </c>
      <c r="M364" s="185">
        <v>1450000</v>
      </c>
      <c r="N364" s="185"/>
      <c r="O364" s="160">
        <v>5300000</v>
      </c>
      <c r="P364" s="187"/>
      <c r="Q364" s="187"/>
      <c r="R364" s="188"/>
      <c r="S364" s="160">
        <f t="shared" si="21"/>
        <v>424000</v>
      </c>
      <c r="T364" s="161">
        <f t="shared" si="22"/>
        <v>7174000</v>
      </c>
      <c r="U364" s="152"/>
      <c r="V364" s="162"/>
    </row>
    <row r="365" spans="1:22" s="190" customFormat="1" ht="32.25" customHeight="1" x14ac:dyDescent="0.2">
      <c r="A365" s="155">
        <f t="shared" si="23"/>
        <v>261</v>
      </c>
      <c r="B365" s="194" t="s">
        <v>1623</v>
      </c>
      <c r="C365" s="171">
        <v>262065541</v>
      </c>
      <c r="D365" s="171"/>
      <c r="E365" s="171">
        <v>1</v>
      </c>
      <c r="F365" s="157" t="s">
        <v>965</v>
      </c>
      <c r="G365" s="171" t="s">
        <v>986</v>
      </c>
      <c r="H365" s="198" t="s">
        <v>298</v>
      </c>
      <c r="I365" s="197" t="s">
        <v>299</v>
      </c>
      <c r="J365" s="197" t="s">
        <v>39</v>
      </c>
      <c r="K365" s="206" t="s">
        <v>980</v>
      </c>
      <c r="L365" s="212" t="s">
        <v>987</v>
      </c>
      <c r="M365" s="185">
        <v>1450000</v>
      </c>
      <c r="N365" s="185"/>
      <c r="O365" s="160">
        <v>5300000</v>
      </c>
      <c r="P365" s="187"/>
      <c r="Q365" s="187"/>
      <c r="R365" s="188"/>
      <c r="S365" s="160">
        <f t="shared" si="21"/>
        <v>424000</v>
      </c>
      <c r="T365" s="161">
        <f t="shared" si="22"/>
        <v>7174000</v>
      </c>
      <c r="U365" s="152"/>
      <c r="V365" s="162"/>
    </row>
    <row r="366" spans="1:22" s="190" customFormat="1" ht="32.25" customHeight="1" x14ac:dyDescent="0.2">
      <c r="A366" s="155">
        <f t="shared" si="23"/>
        <v>262</v>
      </c>
      <c r="B366" s="194" t="s">
        <v>1623</v>
      </c>
      <c r="C366" s="171">
        <v>262065541</v>
      </c>
      <c r="D366" s="171"/>
      <c r="E366" s="171">
        <v>1</v>
      </c>
      <c r="F366" s="157" t="s">
        <v>890</v>
      </c>
      <c r="G366" s="171" t="s">
        <v>440</v>
      </c>
      <c r="H366" s="198" t="s">
        <v>298</v>
      </c>
      <c r="I366" s="197" t="s">
        <v>299</v>
      </c>
      <c r="J366" s="197" t="s">
        <v>39</v>
      </c>
      <c r="K366" s="206" t="s">
        <v>980</v>
      </c>
      <c r="L366" s="212" t="s">
        <v>989</v>
      </c>
      <c r="M366" s="185">
        <v>1450000</v>
      </c>
      <c r="N366" s="185"/>
      <c r="O366" s="160">
        <v>5300000</v>
      </c>
      <c r="P366" s="187"/>
      <c r="Q366" s="187"/>
      <c r="R366" s="188"/>
      <c r="S366" s="160">
        <f t="shared" si="21"/>
        <v>424000</v>
      </c>
      <c r="T366" s="161">
        <f t="shared" si="22"/>
        <v>7174000</v>
      </c>
      <c r="U366" s="152"/>
      <c r="V366" s="162"/>
    </row>
    <row r="367" spans="1:22" s="190" customFormat="1" ht="32.25" customHeight="1" x14ac:dyDescent="0.2">
      <c r="A367" s="155">
        <f t="shared" si="23"/>
        <v>263</v>
      </c>
      <c r="B367" s="194" t="s">
        <v>1624</v>
      </c>
      <c r="C367" s="171" t="s">
        <v>974</v>
      </c>
      <c r="D367" s="171"/>
      <c r="E367" s="171">
        <v>1</v>
      </c>
      <c r="F367" s="157" t="s">
        <v>971</v>
      </c>
      <c r="G367" s="171" t="s">
        <v>763</v>
      </c>
      <c r="H367" s="198" t="s">
        <v>298</v>
      </c>
      <c r="I367" s="197" t="s">
        <v>299</v>
      </c>
      <c r="J367" s="197" t="s">
        <v>39</v>
      </c>
      <c r="K367" s="206" t="s">
        <v>980</v>
      </c>
      <c r="L367" s="212" t="s">
        <v>991</v>
      </c>
      <c r="M367" s="185">
        <v>1450000</v>
      </c>
      <c r="N367" s="185"/>
      <c r="O367" s="160">
        <v>5300000</v>
      </c>
      <c r="P367" s="187"/>
      <c r="Q367" s="187"/>
      <c r="R367" s="188"/>
      <c r="S367" s="160">
        <f t="shared" si="21"/>
        <v>424000</v>
      </c>
      <c r="T367" s="161">
        <f t="shared" si="22"/>
        <v>7174000</v>
      </c>
      <c r="U367" s="152"/>
      <c r="V367" s="162"/>
    </row>
    <row r="368" spans="1:22" s="190" customFormat="1" ht="32.25" customHeight="1" x14ac:dyDescent="0.2">
      <c r="A368" s="155">
        <f t="shared" si="23"/>
        <v>264</v>
      </c>
      <c r="B368" s="194" t="s">
        <v>1625</v>
      </c>
      <c r="C368" s="206" t="s">
        <v>1610</v>
      </c>
      <c r="D368" s="206"/>
      <c r="E368" s="206"/>
      <c r="F368" s="198" t="s">
        <v>968</v>
      </c>
      <c r="G368" s="171"/>
      <c r="H368" s="198"/>
      <c r="I368" s="197"/>
      <c r="J368" s="197"/>
      <c r="K368" s="206"/>
      <c r="L368" s="212"/>
      <c r="M368" s="185"/>
      <c r="N368" s="185"/>
      <c r="O368" s="160"/>
      <c r="P368" s="187"/>
      <c r="Q368" s="187"/>
      <c r="R368" s="188"/>
      <c r="S368" s="160"/>
      <c r="T368" s="161"/>
      <c r="U368" s="152"/>
      <c r="V368" s="162"/>
    </row>
    <row r="369" spans="1:22" s="190" customFormat="1" ht="32.25" customHeight="1" x14ac:dyDescent="0.2">
      <c r="A369" s="155">
        <f t="shared" si="23"/>
        <v>265</v>
      </c>
      <c r="B369" s="194" t="s">
        <v>1625</v>
      </c>
      <c r="C369" s="206" t="s">
        <v>1610</v>
      </c>
      <c r="D369" s="206"/>
      <c r="E369" s="206"/>
      <c r="F369" s="198" t="s">
        <v>975</v>
      </c>
      <c r="G369" s="171"/>
      <c r="H369" s="198"/>
      <c r="I369" s="197"/>
      <c r="J369" s="197"/>
      <c r="K369" s="206"/>
      <c r="L369" s="212"/>
      <c r="M369" s="185"/>
      <c r="N369" s="185"/>
      <c r="O369" s="160"/>
      <c r="P369" s="187"/>
      <c r="Q369" s="187"/>
      <c r="R369" s="188"/>
      <c r="S369" s="160"/>
      <c r="T369" s="161"/>
      <c r="U369" s="152"/>
      <c r="V369" s="162"/>
    </row>
    <row r="370" spans="1:22" s="190" customFormat="1" ht="32.25" customHeight="1" x14ac:dyDescent="0.2">
      <c r="A370" s="155">
        <f t="shared" si="23"/>
        <v>266</v>
      </c>
      <c r="B370" s="194" t="s">
        <v>1625</v>
      </c>
      <c r="C370" s="206" t="s">
        <v>1610</v>
      </c>
      <c r="D370" s="206"/>
      <c r="E370" s="206"/>
      <c r="F370" s="198" t="s">
        <v>1010</v>
      </c>
      <c r="G370" s="171"/>
      <c r="H370" s="198"/>
      <c r="I370" s="197"/>
      <c r="J370" s="197"/>
      <c r="K370" s="206"/>
      <c r="L370" s="212"/>
      <c r="M370" s="185"/>
      <c r="N370" s="185"/>
      <c r="O370" s="160"/>
      <c r="P370" s="187"/>
      <c r="Q370" s="187"/>
      <c r="R370" s="188"/>
      <c r="S370" s="160"/>
      <c r="T370" s="161"/>
      <c r="U370" s="152"/>
      <c r="V370" s="162"/>
    </row>
    <row r="371" spans="1:22" s="190" customFormat="1" ht="32.25" customHeight="1" x14ac:dyDescent="0.2">
      <c r="A371" s="155">
        <f t="shared" si="23"/>
        <v>267</v>
      </c>
      <c r="B371" s="194" t="s">
        <v>1625</v>
      </c>
      <c r="C371" s="206" t="s">
        <v>1610</v>
      </c>
      <c r="D371" s="206"/>
      <c r="E371" s="206"/>
      <c r="F371" s="198" t="s">
        <v>1008</v>
      </c>
      <c r="G371" s="171"/>
      <c r="H371" s="198"/>
      <c r="I371" s="197"/>
      <c r="J371" s="197"/>
      <c r="K371" s="206"/>
      <c r="L371" s="212"/>
      <c r="M371" s="185"/>
      <c r="N371" s="185"/>
      <c r="O371" s="160"/>
      <c r="P371" s="187"/>
      <c r="Q371" s="187"/>
      <c r="R371" s="188"/>
      <c r="S371" s="160"/>
      <c r="T371" s="161"/>
      <c r="U371" s="152"/>
      <c r="V371" s="162"/>
    </row>
    <row r="372" spans="1:22" s="190" customFormat="1" ht="32.25" customHeight="1" x14ac:dyDescent="0.2">
      <c r="A372" s="155">
        <f t="shared" si="23"/>
        <v>268</v>
      </c>
      <c r="B372" s="194" t="s">
        <v>1625</v>
      </c>
      <c r="C372" s="206">
        <v>259662273</v>
      </c>
      <c r="D372" s="206"/>
      <c r="E372" s="206"/>
      <c r="F372" s="198" t="s">
        <v>1003</v>
      </c>
      <c r="G372" s="171"/>
      <c r="H372" s="198"/>
      <c r="I372" s="197"/>
      <c r="J372" s="197"/>
      <c r="K372" s="206"/>
      <c r="L372" s="212"/>
      <c r="M372" s="185"/>
      <c r="N372" s="185"/>
      <c r="O372" s="160"/>
      <c r="P372" s="187"/>
      <c r="Q372" s="187"/>
      <c r="R372" s="188"/>
      <c r="S372" s="160"/>
      <c r="T372" s="161"/>
      <c r="U372" s="152"/>
      <c r="V372" s="162"/>
    </row>
    <row r="373" spans="1:22" s="190" customFormat="1" ht="32.25" customHeight="1" x14ac:dyDescent="0.2">
      <c r="A373" s="155">
        <f t="shared" si="23"/>
        <v>269</v>
      </c>
      <c r="B373" s="194" t="s">
        <v>1625</v>
      </c>
      <c r="C373" s="206">
        <v>259662273</v>
      </c>
      <c r="D373" s="206"/>
      <c r="E373" s="206"/>
      <c r="F373" s="198" t="s">
        <v>1006</v>
      </c>
      <c r="G373" s="171"/>
      <c r="H373" s="198"/>
      <c r="I373" s="197"/>
      <c r="J373" s="197"/>
      <c r="K373" s="206"/>
      <c r="L373" s="212"/>
      <c r="M373" s="185"/>
      <c r="N373" s="185"/>
      <c r="O373" s="160"/>
      <c r="P373" s="187"/>
      <c r="Q373" s="187"/>
      <c r="R373" s="188"/>
      <c r="S373" s="160"/>
      <c r="T373" s="161"/>
      <c r="U373" s="152"/>
      <c r="V373" s="162"/>
    </row>
    <row r="374" spans="1:22" s="190" customFormat="1" ht="32.25" customHeight="1" x14ac:dyDescent="0.2">
      <c r="A374" s="155">
        <f t="shared" si="23"/>
        <v>270</v>
      </c>
      <c r="B374" s="194" t="s">
        <v>1625</v>
      </c>
      <c r="C374" s="206">
        <v>259662273</v>
      </c>
      <c r="D374" s="206"/>
      <c r="E374" s="206"/>
      <c r="F374" s="198" t="s">
        <v>988</v>
      </c>
      <c r="G374" s="171"/>
      <c r="H374" s="198"/>
      <c r="I374" s="197"/>
      <c r="J374" s="197"/>
      <c r="K374" s="206"/>
      <c r="L374" s="212"/>
      <c r="M374" s="185"/>
      <c r="N374" s="185"/>
      <c r="O374" s="160"/>
      <c r="P374" s="187"/>
      <c r="Q374" s="187"/>
      <c r="R374" s="188"/>
      <c r="S374" s="160"/>
      <c r="T374" s="161"/>
      <c r="U374" s="152"/>
      <c r="V374" s="162"/>
    </row>
    <row r="375" spans="1:22" s="190" customFormat="1" ht="32.25" customHeight="1" x14ac:dyDescent="0.2">
      <c r="A375" s="155">
        <f t="shared" si="23"/>
        <v>271</v>
      </c>
      <c r="B375" s="194" t="s">
        <v>1625</v>
      </c>
      <c r="C375" s="206">
        <v>259662273</v>
      </c>
      <c r="D375" s="206"/>
      <c r="E375" s="206"/>
      <c r="F375" s="198" t="s">
        <v>985</v>
      </c>
      <c r="G375" s="171"/>
      <c r="H375" s="198"/>
      <c r="I375" s="197"/>
      <c r="J375" s="197"/>
      <c r="K375" s="206"/>
      <c r="L375" s="212"/>
      <c r="M375" s="185"/>
      <c r="N375" s="185"/>
      <c r="O375" s="160"/>
      <c r="P375" s="187"/>
      <c r="Q375" s="187"/>
      <c r="R375" s="188"/>
      <c r="S375" s="160"/>
      <c r="T375" s="161"/>
      <c r="U375" s="152"/>
      <c r="V375" s="162"/>
    </row>
    <row r="376" spans="1:22" s="190" customFormat="1" ht="32.25" customHeight="1" x14ac:dyDescent="0.2">
      <c r="A376" s="155">
        <f t="shared" si="23"/>
        <v>272</v>
      </c>
      <c r="B376" s="194" t="s">
        <v>1625</v>
      </c>
      <c r="C376" s="206">
        <v>259662273</v>
      </c>
      <c r="D376" s="206"/>
      <c r="E376" s="206"/>
      <c r="F376" s="198" t="s">
        <v>979</v>
      </c>
      <c r="G376" s="171"/>
      <c r="H376" s="198"/>
      <c r="I376" s="197"/>
      <c r="J376" s="197"/>
      <c r="K376" s="206"/>
      <c r="L376" s="212"/>
      <c r="M376" s="185"/>
      <c r="N376" s="185"/>
      <c r="O376" s="160"/>
      <c r="P376" s="187"/>
      <c r="Q376" s="187"/>
      <c r="R376" s="188"/>
      <c r="S376" s="160"/>
      <c r="T376" s="161"/>
      <c r="U376" s="152"/>
      <c r="V376" s="162"/>
    </row>
    <row r="377" spans="1:22" s="190" customFormat="1" ht="32.25" customHeight="1" x14ac:dyDescent="0.2">
      <c r="A377" s="155">
        <f t="shared" si="23"/>
        <v>273</v>
      </c>
      <c r="B377" s="194" t="s">
        <v>1625</v>
      </c>
      <c r="C377" s="206">
        <v>259662273</v>
      </c>
      <c r="D377" s="206"/>
      <c r="E377" s="206"/>
      <c r="F377" s="198" t="s">
        <v>981</v>
      </c>
      <c r="G377" s="171"/>
      <c r="H377" s="198"/>
      <c r="I377" s="197"/>
      <c r="J377" s="197"/>
      <c r="K377" s="206"/>
      <c r="L377" s="212"/>
      <c r="M377" s="185"/>
      <c r="N377" s="185"/>
      <c r="O377" s="160"/>
      <c r="P377" s="187"/>
      <c r="Q377" s="187"/>
      <c r="R377" s="188"/>
      <c r="S377" s="160"/>
      <c r="T377" s="161"/>
      <c r="U377" s="152"/>
      <c r="V377" s="162"/>
    </row>
    <row r="378" spans="1:22" s="190" customFormat="1" ht="32.25" customHeight="1" x14ac:dyDescent="0.2">
      <c r="A378" s="155">
        <f t="shared" si="23"/>
        <v>274</v>
      </c>
      <c r="B378" s="194" t="s">
        <v>1625</v>
      </c>
      <c r="C378" s="206" t="s">
        <v>994</v>
      </c>
      <c r="D378" s="206"/>
      <c r="E378" s="206"/>
      <c r="F378" s="198" t="s">
        <v>990</v>
      </c>
      <c r="G378" s="171"/>
      <c r="H378" s="198"/>
      <c r="I378" s="197"/>
      <c r="J378" s="197"/>
      <c r="K378" s="206"/>
      <c r="L378" s="212"/>
      <c r="M378" s="185"/>
      <c r="N378" s="185"/>
      <c r="O378" s="160"/>
      <c r="P378" s="187"/>
      <c r="Q378" s="187"/>
      <c r="R378" s="188"/>
      <c r="S378" s="160"/>
      <c r="T378" s="161"/>
      <c r="U378" s="152"/>
      <c r="V378" s="162"/>
    </row>
    <row r="379" spans="1:22" s="190" customFormat="1" ht="32.25" customHeight="1" x14ac:dyDescent="0.2">
      <c r="A379" s="155">
        <f t="shared" si="23"/>
        <v>275</v>
      </c>
      <c r="B379" s="194" t="s">
        <v>1625</v>
      </c>
      <c r="C379" s="206" t="s">
        <v>997</v>
      </c>
      <c r="D379" s="206"/>
      <c r="E379" s="206"/>
      <c r="F379" s="198" t="s">
        <v>983</v>
      </c>
      <c r="G379" s="171"/>
      <c r="H379" s="198"/>
      <c r="I379" s="197"/>
      <c r="J379" s="197"/>
      <c r="K379" s="206"/>
      <c r="L379" s="212"/>
      <c r="M379" s="185"/>
      <c r="N379" s="185"/>
      <c r="O379" s="160"/>
      <c r="P379" s="187"/>
      <c r="Q379" s="187"/>
      <c r="R379" s="188"/>
      <c r="S379" s="160"/>
      <c r="T379" s="161"/>
      <c r="U379" s="152"/>
      <c r="V379" s="162"/>
    </row>
    <row r="380" spans="1:22" s="190" customFormat="1" ht="32.25" customHeight="1" x14ac:dyDescent="0.2">
      <c r="A380" s="155">
        <f t="shared" si="23"/>
        <v>276</v>
      </c>
      <c r="B380" s="194" t="s">
        <v>1625</v>
      </c>
      <c r="C380" s="206" t="s">
        <v>997</v>
      </c>
      <c r="D380" s="206"/>
      <c r="E380" s="206"/>
      <c r="F380" s="198" t="s">
        <v>995</v>
      </c>
      <c r="G380" s="171"/>
      <c r="H380" s="198"/>
      <c r="I380" s="197"/>
      <c r="J380" s="197"/>
      <c r="K380" s="206"/>
      <c r="L380" s="212"/>
      <c r="M380" s="185"/>
      <c r="N380" s="185"/>
      <c r="O380" s="160"/>
      <c r="P380" s="187"/>
      <c r="Q380" s="187"/>
      <c r="R380" s="188"/>
      <c r="S380" s="160"/>
      <c r="T380" s="161"/>
      <c r="U380" s="152"/>
      <c r="V380" s="162"/>
    </row>
    <row r="381" spans="1:22" s="190" customFormat="1" ht="32.25" customHeight="1" x14ac:dyDescent="0.2">
      <c r="A381" s="155">
        <f t="shared" si="23"/>
        <v>277</v>
      </c>
      <c r="B381" s="194" t="s">
        <v>1625</v>
      </c>
      <c r="C381" s="206" t="s">
        <v>1611</v>
      </c>
      <c r="D381" s="206"/>
      <c r="E381" s="206"/>
      <c r="F381" s="198" t="s">
        <v>998</v>
      </c>
      <c r="G381" s="171"/>
      <c r="H381" s="198"/>
      <c r="I381" s="197"/>
      <c r="J381" s="197"/>
      <c r="K381" s="206"/>
      <c r="L381" s="212"/>
      <c r="M381" s="185"/>
      <c r="N381" s="185"/>
      <c r="O381" s="160"/>
      <c r="P381" s="187"/>
      <c r="Q381" s="187"/>
      <c r="R381" s="188"/>
      <c r="S381" s="160"/>
      <c r="T381" s="161"/>
      <c r="U381" s="152"/>
      <c r="V381" s="162"/>
    </row>
    <row r="382" spans="1:22" s="190" customFormat="1" ht="32.25" customHeight="1" x14ac:dyDescent="0.2">
      <c r="A382" s="155">
        <f t="shared" si="23"/>
        <v>278</v>
      </c>
      <c r="B382" s="194" t="s">
        <v>1625</v>
      </c>
      <c r="C382" s="206" t="s">
        <v>1033</v>
      </c>
      <c r="D382" s="206"/>
      <c r="E382" s="206"/>
      <c r="F382" s="198" t="s">
        <v>1001</v>
      </c>
      <c r="G382" s="171"/>
      <c r="H382" s="198"/>
      <c r="I382" s="197"/>
      <c r="J382" s="197"/>
      <c r="K382" s="206"/>
      <c r="L382" s="212"/>
      <c r="M382" s="185"/>
      <c r="N382" s="185"/>
      <c r="O382" s="160"/>
      <c r="P382" s="187"/>
      <c r="Q382" s="187"/>
      <c r="R382" s="188"/>
      <c r="S382" s="160"/>
      <c r="T382" s="161"/>
      <c r="U382" s="152"/>
      <c r="V382" s="162"/>
    </row>
    <row r="383" spans="1:22" s="190" customFormat="1" ht="32.25" customHeight="1" x14ac:dyDescent="0.2">
      <c r="A383" s="155">
        <f t="shared" si="23"/>
        <v>279</v>
      </c>
      <c r="B383" s="194" t="s">
        <v>1626</v>
      </c>
      <c r="C383" s="206" t="s">
        <v>1019</v>
      </c>
      <c r="D383" s="206"/>
      <c r="E383" s="206"/>
      <c r="F383" s="198" t="s">
        <v>1013</v>
      </c>
      <c r="G383" s="171"/>
      <c r="H383" s="198"/>
      <c r="I383" s="197"/>
      <c r="J383" s="197"/>
      <c r="K383" s="206"/>
      <c r="L383" s="212"/>
      <c r="M383" s="185"/>
      <c r="N383" s="185"/>
      <c r="O383" s="160"/>
      <c r="P383" s="187"/>
      <c r="Q383" s="187"/>
      <c r="R383" s="188"/>
      <c r="S383" s="160"/>
      <c r="T383" s="161"/>
      <c r="U383" s="152"/>
      <c r="V383" s="162"/>
    </row>
    <row r="384" spans="1:22" s="190" customFormat="1" ht="32.25" customHeight="1" x14ac:dyDescent="0.2">
      <c r="A384" s="155">
        <f t="shared" si="23"/>
        <v>280</v>
      </c>
      <c r="B384" s="194" t="s">
        <v>1626</v>
      </c>
      <c r="C384" s="206" t="s">
        <v>1019</v>
      </c>
      <c r="D384" s="206"/>
      <c r="E384" s="206"/>
      <c r="F384" s="198" t="s">
        <v>1034</v>
      </c>
      <c r="G384" s="171"/>
      <c r="H384" s="198"/>
      <c r="I384" s="197"/>
      <c r="J384" s="197"/>
      <c r="K384" s="206"/>
      <c r="L384" s="212"/>
      <c r="M384" s="185"/>
      <c r="N384" s="185"/>
      <c r="O384" s="160"/>
      <c r="P384" s="187"/>
      <c r="Q384" s="187"/>
      <c r="R384" s="188"/>
      <c r="S384" s="160"/>
      <c r="T384" s="161"/>
      <c r="U384" s="152"/>
      <c r="V384" s="162"/>
    </row>
    <row r="385" spans="1:22" s="190" customFormat="1" ht="32.25" customHeight="1" x14ac:dyDescent="0.2">
      <c r="A385" s="155">
        <f t="shared" si="23"/>
        <v>281</v>
      </c>
      <c r="B385" s="194" t="s">
        <v>1626</v>
      </c>
      <c r="C385" s="206" t="s">
        <v>1027</v>
      </c>
      <c r="D385" s="206"/>
      <c r="E385" s="206"/>
      <c r="F385" s="198" t="s">
        <v>1126</v>
      </c>
      <c r="G385" s="171"/>
      <c r="H385" s="198"/>
      <c r="I385" s="197"/>
      <c r="J385" s="197"/>
      <c r="K385" s="206"/>
      <c r="L385" s="212"/>
      <c r="M385" s="185"/>
      <c r="N385" s="185"/>
      <c r="O385" s="160"/>
      <c r="P385" s="187"/>
      <c r="Q385" s="187"/>
      <c r="R385" s="188"/>
      <c r="S385" s="160"/>
      <c r="T385" s="161"/>
      <c r="U385" s="152"/>
      <c r="V385" s="162"/>
    </row>
    <row r="386" spans="1:22" s="190" customFormat="1" ht="32.25" customHeight="1" x14ac:dyDescent="0.2">
      <c r="A386" s="155">
        <f t="shared" si="23"/>
        <v>282</v>
      </c>
      <c r="B386" s="194" t="s">
        <v>1626</v>
      </c>
      <c r="C386" s="206" t="s">
        <v>1027</v>
      </c>
      <c r="D386" s="206"/>
      <c r="E386" s="206"/>
      <c r="F386" s="198" t="s">
        <v>1020</v>
      </c>
      <c r="G386" s="171"/>
      <c r="H386" s="198"/>
      <c r="I386" s="197"/>
      <c r="J386" s="197"/>
      <c r="K386" s="206"/>
      <c r="L386" s="212"/>
      <c r="M386" s="185"/>
      <c r="N386" s="185"/>
      <c r="O386" s="160"/>
      <c r="P386" s="187"/>
      <c r="Q386" s="187"/>
      <c r="R386" s="188"/>
      <c r="S386" s="160"/>
      <c r="T386" s="161"/>
      <c r="U386" s="152"/>
      <c r="V386" s="162"/>
    </row>
    <row r="387" spans="1:22" s="190" customFormat="1" ht="32.25" customHeight="1" x14ac:dyDescent="0.2">
      <c r="A387" s="155">
        <f t="shared" si="23"/>
        <v>283</v>
      </c>
      <c r="B387" s="194" t="s">
        <v>1626</v>
      </c>
      <c r="C387" s="206" t="s">
        <v>1022</v>
      </c>
      <c r="D387" s="206"/>
      <c r="E387" s="206"/>
      <c r="F387" s="198" t="s">
        <v>1028</v>
      </c>
      <c r="G387" s="171"/>
      <c r="H387" s="198"/>
      <c r="I387" s="197"/>
      <c r="J387" s="197"/>
      <c r="K387" s="206"/>
      <c r="L387" s="212"/>
      <c r="M387" s="185"/>
      <c r="N387" s="185"/>
      <c r="O387" s="160"/>
      <c r="P387" s="187"/>
      <c r="Q387" s="187"/>
      <c r="R387" s="188"/>
      <c r="S387" s="160"/>
      <c r="T387" s="161"/>
      <c r="U387" s="152"/>
      <c r="V387" s="162"/>
    </row>
    <row r="388" spans="1:22" s="190" customFormat="1" ht="32.25" customHeight="1" x14ac:dyDescent="0.2">
      <c r="A388" s="155">
        <f t="shared" si="23"/>
        <v>284</v>
      </c>
      <c r="B388" s="194" t="s">
        <v>1626</v>
      </c>
      <c r="C388" s="206" t="s">
        <v>1022</v>
      </c>
      <c r="D388" s="206"/>
      <c r="E388" s="206"/>
      <c r="F388" s="198" t="s">
        <v>1031</v>
      </c>
      <c r="G388" s="171"/>
      <c r="H388" s="198"/>
      <c r="I388" s="197"/>
      <c r="J388" s="197"/>
      <c r="K388" s="206"/>
      <c r="L388" s="212"/>
      <c r="M388" s="185"/>
      <c r="N388" s="185"/>
      <c r="O388" s="160"/>
      <c r="P388" s="187"/>
      <c r="Q388" s="187"/>
      <c r="R388" s="188"/>
      <c r="S388" s="160"/>
      <c r="T388" s="161"/>
      <c r="U388" s="152"/>
      <c r="V388" s="162"/>
    </row>
    <row r="389" spans="1:22" s="190" customFormat="1" ht="32.25" customHeight="1" x14ac:dyDescent="0.2">
      <c r="A389" s="155">
        <f t="shared" si="23"/>
        <v>285</v>
      </c>
      <c r="B389" s="194" t="s">
        <v>1626</v>
      </c>
      <c r="C389" s="206" t="s">
        <v>1036</v>
      </c>
      <c r="D389" s="206"/>
      <c r="E389" s="206"/>
      <c r="F389" s="198" t="s">
        <v>1025</v>
      </c>
      <c r="G389" s="171"/>
      <c r="H389" s="198"/>
      <c r="I389" s="197"/>
      <c r="J389" s="197"/>
      <c r="K389" s="206"/>
      <c r="L389" s="212"/>
      <c r="M389" s="185"/>
      <c r="N389" s="185"/>
      <c r="O389" s="160"/>
      <c r="P389" s="187"/>
      <c r="Q389" s="187"/>
      <c r="R389" s="188"/>
      <c r="S389" s="160"/>
      <c r="T389" s="161"/>
      <c r="U389" s="152"/>
      <c r="V389" s="162"/>
    </row>
    <row r="390" spans="1:22" s="190" customFormat="1" ht="32.25" customHeight="1" x14ac:dyDescent="0.2">
      <c r="A390" s="155">
        <f t="shared" si="23"/>
        <v>286</v>
      </c>
      <c r="B390" s="194" t="s">
        <v>1626</v>
      </c>
      <c r="C390" s="206" t="s">
        <v>1036</v>
      </c>
      <c r="D390" s="206"/>
      <c r="E390" s="206"/>
      <c r="F390" s="198" t="s">
        <v>1023</v>
      </c>
      <c r="G390" s="171"/>
      <c r="H390" s="198"/>
      <c r="I390" s="197"/>
      <c r="J390" s="197"/>
      <c r="K390" s="206"/>
      <c r="L390" s="212"/>
      <c r="M390" s="185"/>
      <c r="N390" s="185"/>
      <c r="O390" s="160"/>
      <c r="P390" s="187"/>
      <c r="Q390" s="187"/>
      <c r="R390" s="188"/>
      <c r="S390" s="160"/>
      <c r="T390" s="161"/>
      <c r="U390" s="152"/>
      <c r="V390" s="162"/>
    </row>
    <row r="391" spans="1:22" s="190" customFormat="1" ht="32.25" customHeight="1" x14ac:dyDescent="0.2">
      <c r="A391" s="155">
        <f t="shared" si="23"/>
        <v>287</v>
      </c>
      <c r="B391" s="194" t="s">
        <v>1626</v>
      </c>
      <c r="C391" s="206" t="s">
        <v>1036</v>
      </c>
      <c r="D391" s="206"/>
      <c r="E391" s="206"/>
      <c r="F391" s="198" t="s">
        <v>1037</v>
      </c>
      <c r="G391" s="171"/>
      <c r="H391" s="198"/>
      <c r="I391" s="197"/>
      <c r="J391" s="197"/>
      <c r="K391" s="206"/>
      <c r="L391" s="212"/>
      <c r="M391" s="185"/>
      <c r="N391" s="185"/>
      <c r="O391" s="160"/>
      <c r="P391" s="187"/>
      <c r="Q391" s="187"/>
      <c r="R391" s="188"/>
      <c r="S391" s="160"/>
      <c r="T391" s="161"/>
      <c r="U391" s="152"/>
      <c r="V391" s="162"/>
    </row>
    <row r="392" spans="1:22" s="190" customFormat="1" ht="32.25" customHeight="1" x14ac:dyDescent="0.2">
      <c r="A392" s="155">
        <f t="shared" si="23"/>
        <v>288</v>
      </c>
      <c r="B392" s="194" t="s">
        <v>1626</v>
      </c>
      <c r="C392" s="206" t="s">
        <v>1036</v>
      </c>
      <c r="D392" s="206"/>
      <c r="E392" s="206"/>
      <c r="F392" s="198" t="s">
        <v>1045</v>
      </c>
      <c r="G392" s="171"/>
      <c r="H392" s="198"/>
      <c r="I392" s="197"/>
      <c r="J392" s="197"/>
      <c r="K392" s="206"/>
      <c r="L392" s="212"/>
      <c r="M392" s="185"/>
      <c r="N392" s="185"/>
      <c r="O392" s="160"/>
      <c r="P392" s="187"/>
      <c r="Q392" s="187"/>
      <c r="R392" s="188"/>
      <c r="S392" s="160"/>
      <c r="T392" s="161"/>
      <c r="U392" s="152"/>
      <c r="V392" s="162"/>
    </row>
    <row r="393" spans="1:22" s="190" customFormat="1" ht="32.25" customHeight="1" x14ac:dyDescent="0.2">
      <c r="A393" s="155">
        <f t="shared" si="23"/>
        <v>289</v>
      </c>
      <c r="B393" s="194" t="s">
        <v>1626</v>
      </c>
      <c r="C393" s="206" t="s">
        <v>1036</v>
      </c>
      <c r="D393" s="206"/>
      <c r="E393" s="206"/>
      <c r="F393" s="198" t="s">
        <v>1039</v>
      </c>
      <c r="G393" s="171"/>
      <c r="H393" s="198"/>
      <c r="I393" s="197"/>
      <c r="J393" s="197"/>
      <c r="K393" s="206"/>
      <c r="L393" s="212"/>
      <c r="M393" s="185"/>
      <c r="N393" s="185"/>
      <c r="O393" s="160"/>
      <c r="P393" s="187"/>
      <c r="Q393" s="187"/>
      <c r="R393" s="188"/>
      <c r="S393" s="160"/>
      <c r="T393" s="161"/>
      <c r="U393" s="152"/>
      <c r="V393" s="162"/>
    </row>
    <row r="394" spans="1:22" s="190" customFormat="1" ht="32.25" customHeight="1" x14ac:dyDescent="0.2">
      <c r="A394" s="155">
        <f t="shared" si="23"/>
        <v>290</v>
      </c>
      <c r="B394" s="194" t="s">
        <v>1626</v>
      </c>
      <c r="C394" s="206" t="s">
        <v>1002</v>
      </c>
      <c r="D394" s="206"/>
      <c r="E394" s="206"/>
      <c r="F394" s="198" t="s">
        <v>1041</v>
      </c>
      <c r="G394" s="171"/>
      <c r="H394" s="198"/>
      <c r="I394" s="197"/>
      <c r="J394" s="197"/>
      <c r="K394" s="206"/>
      <c r="L394" s="212"/>
      <c r="M394" s="185"/>
      <c r="N394" s="185"/>
      <c r="O394" s="160"/>
      <c r="P394" s="187"/>
      <c r="Q394" s="187"/>
      <c r="R394" s="188"/>
      <c r="S394" s="160"/>
      <c r="T394" s="161"/>
      <c r="U394" s="152"/>
      <c r="V394" s="162"/>
    </row>
    <row r="395" spans="1:22" s="190" customFormat="1" ht="32.25" customHeight="1" x14ac:dyDescent="0.2">
      <c r="A395" s="155">
        <f t="shared" si="23"/>
        <v>291</v>
      </c>
      <c r="B395" s="194" t="s">
        <v>1626</v>
      </c>
      <c r="C395" s="206" t="s">
        <v>1053</v>
      </c>
      <c r="D395" s="206"/>
      <c r="E395" s="206"/>
      <c r="F395" s="198" t="s">
        <v>1043</v>
      </c>
      <c r="G395" s="171"/>
      <c r="H395" s="198"/>
      <c r="I395" s="197"/>
      <c r="J395" s="197"/>
      <c r="K395" s="206"/>
      <c r="L395" s="212"/>
      <c r="M395" s="185"/>
      <c r="N395" s="185"/>
      <c r="O395" s="160"/>
      <c r="P395" s="187"/>
      <c r="Q395" s="187"/>
      <c r="R395" s="188"/>
      <c r="S395" s="160"/>
      <c r="T395" s="161"/>
      <c r="U395" s="152"/>
      <c r="V395" s="162"/>
    </row>
    <row r="396" spans="1:22" s="190" customFormat="1" ht="32.25" customHeight="1" x14ac:dyDescent="0.2">
      <c r="A396" s="155">
        <f t="shared" si="23"/>
        <v>292</v>
      </c>
      <c r="B396" s="194" t="s">
        <v>1626</v>
      </c>
      <c r="C396" s="206" t="s">
        <v>1053</v>
      </c>
      <c r="D396" s="206"/>
      <c r="E396" s="206"/>
      <c r="F396" s="198" t="s">
        <v>1018</v>
      </c>
      <c r="G396" s="171"/>
      <c r="H396" s="198"/>
      <c r="I396" s="197"/>
      <c r="J396" s="197"/>
      <c r="K396" s="206"/>
      <c r="L396" s="212"/>
      <c r="M396" s="185"/>
      <c r="N396" s="185"/>
      <c r="O396" s="160"/>
      <c r="P396" s="187"/>
      <c r="Q396" s="187"/>
      <c r="R396" s="188"/>
      <c r="S396" s="160"/>
      <c r="T396" s="161"/>
      <c r="U396" s="152"/>
      <c r="V396" s="162"/>
    </row>
    <row r="397" spans="1:22" s="190" customFormat="1" ht="32.25" customHeight="1" x14ac:dyDescent="0.2">
      <c r="A397" s="155">
        <f t="shared" si="23"/>
        <v>293</v>
      </c>
      <c r="B397" s="194" t="s">
        <v>1626</v>
      </c>
      <c r="C397" s="206" t="s">
        <v>1053</v>
      </c>
      <c r="D397" s="206"/>
      <c r="E397" s="206"/>
      <c r="F397" s="198" t="s">
        <v>1066</v>
      </c>
      <c r="G397" s="171"/>
      <c r="H397" s="198"/>
      <c r="I397" s="197"/>
      <c r="J397" s="197"/>
      <c r="K397" s="206"/>
      <c r="L397" s="212"/>
      <c r="M397" s="185"/>
      <c r="N397" s="185"/>
      <c r="O397" s="160"/>
      <c r="P397" s="187"/>
      <c r="Q397" s="187"/>
      <c r="R397" s="188"/>
      <c r="S397" s="160"/>
      <c r="T397" s="161"/>
      <c r="U397" s="152"/>
      <c r="V397" s="162"/>
    </row>
    <row r="398" spans="1:22" s="190" customFormat="1" ht="32.25" customHeight="1" x14ac:dyDescent="0.2">
      <c r="A398" s="155">
        <f t="shared" si="23"/>
        <v>294</v>
      </c>
      <c r="B398" s="194" t="s">
        <v>1626</v>
      </c>
      <c r="C398" s="206" t="s">
        <v>1053</v>
      </c>
      <c r="D398" s="206"/>
      <c r="E398" s="206"/>
      <c r="F398" s="198" t="s">
        <v>1054</v>
      </c>
      <c r="G398" s="171"/>
      <c r="H398" s="198"/>
      <c r="I398" s="197"/>
      <c r="J398" s="197"/>
      <c r="K398" s="206"/>
      <c r="L398" s="212"/>
      <c r="M398" s="185"/>
      <c r="N398" s="185"/>
      <c r="O398" s="160"/>
      <c r="P398" s="187"/>
      <c r="Q398" s="187"/>
      <c r="R398" s="188"/>
      <c r="S398" s="160"/>
      <c r="T398" s="161"/>
      <c r="U398" s="152"/>
      <c r="V398" s="162"/>
    </row>
    <row r="399" spans="1:22" s="190" customFormat="1" ht="32.25" customHeight="1" x14ac:dyDescent="0.2">
      <c r="A399" s="155">
        <f t="shared" si="23"/>
        <v>295</v>
      </c>
      <c r="B399" s="194" t="s">
        <v>1626</v>
      </c>
      <c r="C399" s="206" t="s">
        <v>1053</v>
      </c>
      <c r="D399" s="206"/>
      <c r="E399" s="206"/>
      <c r="F399" s="198" t="s">
        <v>1062</v>
      </c>
      <c r="G399" s="171"/>
      <c r="H399" s="198"/>
      <c r="I399" s="197"/>
      <c r="J399" s="197"/>
      <c r="K399" s="206"/>
      <c r="L399" s="212"/>
      <c r="M399" s="185"/>
      <c r="N399" s="185"/>
      <c r="O399" s="160"/>
      <c r="P399" s="187"/>
      <c r="Q399" s="187"/>
      <c r="R399" s="188"/>
      <c r="S399" s="160"/>
      <c r="T399" s="161"/>
      <c r="U399" s="152"/>
      <c r="V399" s="162"/>
    </row>
    <row r="400" spans="1:22" s="190" customFormat="1" ht="32.25" customHeight="1" x14ac:dyDescent="0.2">
      <c r="A400" s="155">
        <f t="shared" si="23"/>
        <v>296</v>
      </c>
      <c r="B400" s="194" t="s">
        <v>1626</v>
      </c>
      <c r="C400" s="206" t="s">
        <v>1053</v>
      </c>
      <c r="D400" s="206"/>
      <c r="E400" s="206"/>
      <c r="F400" s="198" t="s">
        <v>1058</v>
      </c>
      <c r="G400" s="171"/>
      <c r="H400" s="198"/>
      <c r="I400" s="197"/>
      <c r="J400" s="197"/>
      <c r="K400" s="206"/>
      <c r="L400" s="212"/>
      <c r="M400" s="185"/>
      <c r="N400" s="185"/>
      <c r="O400" s="160"/>
      <c r="P400" s="187"/>
      <c r="Q400" s="187"/>
      <c r="R400" s="188"/>
      <c r="S400" s="160"/>
      <c r="T400" s="161"/>
      <c r="U400" s="152"/>
      <c r="V400" s="162"/>
    </row>
    <row r="401" spans="1:22" s="190" customFormat="1" ht="32.25" customHeight="1" x14ac:dyDescent="0.2">
      <c r="A401" s="155">
        <f t="shared" si="23"/>
        <v>297</v>
      </c>
      <c r="B401" s="194" t="s">
        <v>1626</v>
      </c>
      <c r="C401" s="206" t="s">
        <v>1022</v>
      </c>
      <c r="D401" s="206"/>
      <c r="E401" s="206"/>
      <c r="F401" s="198" t="s">
        <v>1060</v>
      </c>
      <c r="G401" s="171"/>
      <c r="H401" s="198"/>
      <c r="I401" s="197"/>
      <c r="J401" s="197"/>
      <c r="K401" s="206"/>
      <c r="L401" s="212"/>
      <c r="M401" s="185"/>
      <c r="N401" s="185"/>
      <c r="O401" s="160"/>
      <c r="P401" s="187"/>
      <c r="Q401" s="187"/>
      <c r="R401" s="188"/>
      <c r="S401" s="160"/>
      <c r="T401" s="161"/>
      <c r="U401" s="152"/>
      <c r="V401" s="162"/>
    </row>
    <row r="402" spans="1:22" s="190" customFormat="1" ht="32.25" customHeight="1" x14ac:dyDescent="0.2">
      <c r="A402" s="155">
        <f t="shared" si="23"/>
        <v>298</v>
      </c>
      <c r="B402" s="194" t="s">
        <v>1626</v>
      </c>
      <c r="C402" s="206" t="s">
        <v>1022</v>
      </c>
      <c r="D402" s="206"/>
      <c r="E402" s="206"/>
      <c r="F402" s="198" t="s">
        <v>1064</v>
      </c>
      <c r="G402" s="171"/>
      <c r="H402" s="198"/>
      <c r="I402" s="197"/>
      <c r="J402" s="197"/>
      <c r="K402" s="206"/>
      <c r="L402" s="212"/>
      <c r="M402" s="185"/>
      <c r="N402" s="185"/>
      <c r="O402" s="160"/>
      <c r="P402" s="187"/>
      <c r="Q402" s="187"/>
      <c r="R402" s="188"/>
      <c r="S402" s="160"/>
      <c r="T402" s="161"/>
      <c r="U402" s="152"/>
      <c r="V402" s="162"/>
    </row>
    <row r="403" spans="1:22" s="190" customFormat="1" ht="32.25" customHeight="1" x14ac:dyDescent="0.2">
      <c r="A403" s="155">
        <f t="shared" si="23"/>
        <v>299</v>
      </c>
      <c r="B403" s="194" t="s">
        <v>1627</v>
      </c>
      <c r="C403" s="206" t="s">
        <v>1022</v>
      </c>
      <c r="D403" s="206"/>
      <c r="E403" s="206"/>
      <c r="F403" s="198" t="s">
        <v>1047</v>
      </c>
      <c r="G403" s="171"/>
      <c r="H403" s="198"/>
      <c r="I403" s="197"/>
      <c r="J403" s="197"/>
      <c r="K403" s="206"/>
      <c r="L403" s="212"/>
      <c r="M403" s="185"/>
      <c r="N403" s="185"/>
      <c r="O403" s="160"/>
      <c r="P403" s="187"/>
      <c r="Q403" s="187"/>
      <c r="R403" s="188"/>
      <c r="S403" s="160"/>
      <c r="T403" s="161"/>
      <c r="U403" s="152"/>
      <c r="V403" s="162"/>
    </row>
    <row r="404" spans="1:22" s="190" customFormat="1" ht="32.25" customHeight="1" x14ac:dyDescent="0.2">
      <c r="A404" s="155">
        <f t="shared" si="23"/>
        <v>300</v>
      </c>
      <c r="B404" s="194" t="s">
        <v>1627</v>
      </c>
      <c r="C404" s="206" t="s">
        <v>1070</v>
      </c>
      <c r="D404" s="206"/>
      <c r="E404" s="206"/>
      <c r="F404" s="198" t="s">
        <v>1051</v>
      </c>
      <c r="G404" s="171"/>
      <c r="H404" s="198"/>
      <c r="I404" s="197"/>
      <c r="J404" s="197"/>
      <c r="K404" s="206"/>
      <c r="L404" s="212"/>
      <c r="M404" s="185"/>
      <c r="N404" s="185"/>
      <c r="O404" s="160"/>
      <c r="P404" s="187"/>
      <c r="Q404" s="187"/>
      <c r="R404" s="188"/>
      <c r="S404" s="160"/>
      <c r="T404" s="161"/>
      <c r="U404" s="152"/>
      <c r="V404" s="162"/>
    </row>
    <row r="405" spans="1:22" s="190" customFormat="1" ht="32.25" customHeight="1" x14ac:dyDescent="0.2">
      <c r="A405" s="155">
        <f t="shared" si="23"/>
        <v>301</v>
      </c>
      <c r="B405" s="194" t="s">
        <v>1627</v>
      </c>
      <c r="C405" s="206" t="s">
        <v>1070</v>
      </c>
      <c r="D405" s="206"/>
      <c r="E405" s="206"/>
      <c r="F405" s="198" t="s">
        <v>1068</v>
      </c>
      <c r="G405" s="171"/>
      <c r="H405" s="198"/>
      <c r="I405" s="197"/>
      <c r="J405" s="197"/>
      <c r="K405" s="206"/>
      <c r="L405" s="212"/>
      <c r="M405" s="185"/>
      <c r="N405" s="185"/>
      <c r="O405" s="160"/>
      <c r="P405" s="187"/>
      <c r="Q405" s="187"/>
      <c r="R405" s="188"/>
      <c r="S405" s="160"/>
      <c r="T405" s="161"/>
      <c r="U405" s="152"/>
      <c r="V405" s="162"/>
    </row>
    <row r="406" spans="1:22" s="190" customFormat="1" ht="32.25" customHeight="1" x14ac:dyDescent="0.2">
      <c r="A406" s="155">
        <f t="shared" si="23"/>
        <v>302</v>
      </c>
      <c r="B406" s="194" t="s">
        <v>1627</v>
      </c>
      <c r="C406" s="206" t="s">
        <v>1070</v>
      </c>
      <c r="D406" s="206"/>
      <c r="E406" s="206"/>
      <c r="F406" s="198" t="s">
        <v>1071</v>
      </c>
      <c r="G406" s="171"/>
      <c r="H406" s="198"/>
      <c r="I406" s="197"/>
      <c r="J406" s="197"/>
      <c r="K406" s="206"/>
      <c r="L406" s="212"/>
      <c r="M406" s="185"/>
      <c r="N406" s="185"/>
      <c r="O406" s="160"/>
      <c r="P406" s="187"/>
      <c r="Q406" s="187"/>
      <c r="R406" s="188"/>
      <c r="S406" s="160"/>
      <c r="T406" s="161"/>
      <c r="U406" s="152"/>
      <c r="V406" s="162"/>
    </row>
    <row r="407" spans="1:22" s="190" customFormat="1" ht="32.25" customHeight="1" x14ac:dyDescent="0.2">
      <c r="A407" s="155">
        <f t="shared" si="23"/>
        <v>303</v>
      </c>
      <c r="B407" s="194" t="s">
        <v>1627</v>
      </c>
      <c r="C407" s="206" t="s">
        <v>1070</v>
      </c>
      <c r="D407" s="206"/>
      <c r="E407" s="206"/>
      <c r="F407" s="198" t="s">
        <v>1075</v>
      </c>
      <c r="G407" s="171"/>
      <c r="H407" s="198"/>
      <c r="I407" s="197"/>
      <c r="J407" s="197"/>
      <c r="K407" s="206"/>
      <c r="L407" s="212"/>
      <c r="M407" s="185"/>
      <c r="N407" s="185"/>
      <c r="O407" s="160"/>
      <c r="P407" s="187"/>
      <c r="Q407" s="187"/>
      <c r="R407" s="188"/>
      <c r="S407" s="160"/>
      <c r="T407" s="161"/>
      <c r="U407" s="152"/>
      <c r="V407" s="162"/>
    </row>
    <row r="408" spans="1:22" s="190" customFormat="1" ht="32.25" customHeight="1" x14ac:dyDescent="0.2">
      <c r="A408" s="155">
        <f t="shared" si="23"/>
        <v>304</v>
      </c>
      <c r="B408" s="194" t="s">
        <v>1627</v>
      </c>
      <c r="C408" s="206" t="s">
        <v>1070</v>
      </c>
      <c r="D408" s="206"/>
      <c r="E408" s="206"/>
      <c r="F408" s="198" t="s">
        <v>1081</v>
      </c>
      <c r="G408" s="171"/>
      <c r="H408" s="198"/>
      <c r="I408" s="197"/>
      <c r="J408" s="197"/>
      <c r="K408" s="206"/>
      <c r="L408" s="212"/>
      <c r="M408" s="185"/>
      <c r="N408" s="185"/>
      <c r="O408" s="160"/>
      <c r="P408" s="187"/>
      <c r="Q408" s="187"/>
      <c r="R408" s="188"/>
      <c r="S408" s="160"/>
      <c r="T408" s="161"/>
      <c r="U408" s="152"/>
      <c r="V408" s="162"/>
    </row>
    <row r="409" spans="1:22" s="190" customFormat="1" ht="32.25" customHeight="1" x14ac:dyDescent="0.2">
      <c r="A409" s="155">
        <f t="shared" si="23"/>
        <v>305</v>
      </c>
      <c r="B409" s="194" t="s">
        <v>1627</v>
      </c>
      <c r="C409" s="206" t="s">
        <v>1070</v>
      </c>
      <c r="D409" s="206"/>
      <c r="E409" s="206"/>
      <c r="F409" s="198" t="s">
        <v>1073</v>
      </c>
      <c r="G409" s="171"/>
      <c r="H409" s="198"/>
      <c r="I409" s="197"/>
      <c r="J409" s="197"/>
      <c r="K409" s="206"/>
      <c r="L409" s="212"/>
      <c r="M409" s="185"/>
      <c r="N409" s="185"/>
      <c r="O409" s="160"/>
      <c r="P409" s="187"/>
      <c r="Q409" s="187"/>
      <c r="R409" s="188"/>
      <c r="S409" s="160"/>
      <c r="T409" s="161"/>
      <c r="U409" s="152"/>
      <c r="V409" s="162"/>
    </row>
    <row r="410" spans="1:22" s="190" customFormat="1" ht="32.25" customHeight="1" x14ac:dyDescent="0.2">
      <c r="A410" s="155">
        <f t="shared" si="23"/>
        <v>306</v>
      </c>
      <c r="B410" s="194" t="s">
        <v>1627</v>
      </c>
      <c r="C410" s="206" t="s">
        <v>1083</v>
      </c>
      <c r="D410" s="206"/>
      <c r="E410" s="206"/>
      <c r="F410" s="198" t="s">
        <v>1079</v>
      </c>
      <c r="G410" s="171"/>
      <c r="H410" s="198"/>
      <c r="I410" s="197"/>
      <c r="J410" s="197"/>
      <c r="K410" s="206"/>
      <c r="L410" s="212"/>
      <c r="M410" s="185"/>
      <c r="N410" s="185"/>
      <c r="O410" s="160"/>
      <c r="P410" s="187"/>
      <c r="Q410" s="187"/>
      <c r="R410" s="188"/>
      <c r="S410" s="160"/>
      <c r="T410" s="161"/>
      <c r="U410" s="152"/>
      <c r="V410" s="162"/>
    </row>
    <row r="411" spans="1:22" s="190" customFormat="1" ht="32.25" customHeight="1" x14ac:dyDescent="0.2">
      <c r="A411" s="155">
        <f t="shared" si="23"/>
        <v>307</v>
      </c>
      <c r="B411" s="194" t="s">
        <v>1627</v>
      </c>
      <c r="C411" s="206" t="s">
        <v>1083</v>
      </c>
      <c r="D411" s="206"/>
      <c r="E411" s="206"/>
      <c r="F411" s="198" t="s">
        <v>1077</v>
      </c>
      <c r="G411" s="171"/>
      <c r="H411" s="198"/>
      <c r="I411" s="197"/>
      <c r="J411" s="197"/>
      <c r="K411" s="206"/>
      <c r="L411" s="212"/>
      <c r="M411" s="185"/>
      <c r="N411" s="185"/>
      <c r="O411" s="160"/>
      <c r="P411" s="187"/>
      <c r="Q411" s="187"/>
      <c r="R411" s="188"/>
      <c r="S411" s="160"/>
      <c r="T411" s="161"/>
      <c r="U411" s="152"/>
      <c r="V411" s="162"/>
    </row>
    <row r="412" spans="1:22" s="190" customFormat="1" ht="32.25" customHeight="1" x14ac:dyDescent="0.2">
      <c r="A412" s="155">
        <f t="shared" si="23"/>
        <v>308</v>
      </c>
      <c r="B412" s="194" t="s">
        <v>1628</v>
      </c>
      <c r="C412" s="206" t="s">
        <v>1070</v>
      </c>
      <c r="D412" s="206"/>
      <c r="E412" s="206"/>
      <c r="F412" s="198" t="s">
        <v>1084</v>
      </c>
      <c r="G412" s="171"/>
      <c r="H412" s="198"/>
      <c r="I412" s="197"/>
      <c r="J412" s="197"/>
      <c r="K412" s="206"/>
      <c r="L412" s="212"/>
      <c r="M412" s="185"/>
      <c r="N412" s="185"/>
      <c r="O412" s="160"/>
      <c r="P412" s="187"/>
      <c r="Q412" s="187"/>
      <c r="R412" s="188"/>
      <c r="S412" s="160"/>
      <c r="T412" s="161"/>
      <c r="U412" s="152"/>
      <c r="V412" s="162"/>
    </row>
    <row r="413" spans="1:22" s="190" customFormat="1" ht="32.25" customHeight="1" x14ac:dyDescent="0.2">
      <c r="A413" s="155">
        <f t="shared" si="23"/>
        <v>309</v>
      </c>
      <c r="B413" s="194" t="s">
        <v>1628</v>
      </c>
      <c r="C413" s="206" t="s">
        <v>1070</v>
      </c>
      <c r="D413" s="206"/>
      <c r="E413" s="206"/>
      <c r="F413" s="198" t="s">
        <v>1087</v>
      </c>
      <c r="G413" s="171"/>
      <c r="H413" s="198"/>
      <c r="I413" s="197"/>
      <c r="J413" s="197"/>
      <c r="K413" s="206"/>
      <c r="L413" s="212"/>
      <c r="M413" s="185"/>
      <c r="N413" s="185"/>
      <c r="O413" s="160"/>
      <c r="P413" s="187"/>
      <c r="Q413" s="187"/>
      <c r="R413" s="188"/>
      <c r="S413" s="160"/>
      <c r="T413" s="161"/>
      <c r="U413" s="152"/>
      <c r="V413" s="162"/>
    </row>
    <row r="414" spans="1:22" s="190" customFormat="1" ht="32.25" customHeight="1" x14ac:dyDescent="0.2">
      <c r="A414" s="155">
        <f t="shared" si="23"/>
        <v>310</v>
      </c>
      <c r="B414" s="194" t="s">
        <v>1628</v>
      </c>
      <c r="C414" s="206" t="s">
        <v>1094</v>
      </c>
      <c r="D414" s="206"/>
      <c r="E414" s="206"/>
      <c r="F414" s="198" t="s">
        <v>1105</v>
      </c>
      <c r="G414" s="171"/>
      <c r="H414" s="198"/>
      <c r="I414" s="197"/>
      <c r="J414" s="197"/>
      <c r="K414" s="206"/>
      <c r="L414" s="212"/>
      <c r="M414" s="185"/>
      <c r="N414" s="185"/>
      <c r="O414" s="160"/>
      <c r="P414" s="187"/>
      <c r="Q414" s="187"/>
      <c r="R414" s="188"/>
      <c r="S414" s="160"/>
      <c r="T414" s="161"/>
      <c r="U414" s="152"/>
      <c r="V414" s="162"/>
    </row>
    <row r="415" spans="1:22" s="190" customFormat="1" ht="32.25" customHeight="1" x14ac:dyDescent="0.2">
      <c r="A415" s="155">
        <f t="shared" si="23"/>
        <v>311</v>
      </c>
      <c r="B415" s="194" t="s">
        <v>1628</v>
      </c>
      <c r="C415" s="206" t="s">
        <v>1094</v>
      </c>
      <c r="D415" s="206"/>
      <c r="E415" s="206"/>
      <c r="F415" s="198" t="s">
        <v>1103</v>
      </c>
      <c r="G415" s="171"/>
      <c r="H415" s="198"/>
      <c r="I415" s="197"/>
      <c r="J415" s="197"/>
      <c r="K415" s="206"/>
      <c r="L415" s="212"/>
      <c r="M415" s="185"/>
      <c r="N415" s="185"/>
      <c r="O415" s="160"/>
      <c r="P415" s="187"/>
      <c r="Q415" s="187"/>
      <c r="R415" s="188"/>
      <c r="S415" s="160"/>
      <c r="T415" s="161"/>
      <c r="U415" s="152"/>
      <c r="V415" s="162"/>
    </row>
    <row r="416" spans="1:22" s="190" customFormat="1" ht="32.25" customHeight="1" x14ac:dyDescent="0.2">
      <c r="A416" s="155">
        <f t="shared" si="23"/>
        <v>312</v>
      </c>
      <c r="B416" s="194" t="s">
        <v>1628</v>
      </c>
      <c r="C416" s="206" t="s">
        <v>1094</v>
      </c>
      <c r="D416" s="206"/>
      <c r="E416" s="206"/>
      <c r="F416" s="198" t="s">
        <v>1097</v>
      </c>
      <c r="G416" s="171"/>
      <c r="H416" s="198"/>
      <c r="I416" s="197"/>
      <c r="J416" s="197"/>
      <c r="K416" s="206"/>
      <c r="L416" s="212"/>
      <c r="M416" s="185"/>
      <c r="N416" s="185"/>
      <c r="O416" s="160"/>
      <c r="P416" s="187"/>
      <c r="Q416" s="187"/>
      <c r="R416" s="188"/>
      <c r="S416" s="160"/>
      <c r="T416" s="161"/>
      <c r="U416" s="152"/>
      <c r="V416" s="162"/>
    </row>
    <row r="417" spans="1:22" s="190" customFormat="1" ht="32.25" customHeight="1" x14ac:dyDescent="0.2">
      <c r="A417" s="155">
        <f t="shared" si="23"/>
        <v>313</v>
      </c>
      <c r="B417" s="194" t="s">
        <v>1628</v>
      </c>
      <c r="C417" s="206" t="s">
        <v>1094</v>
      </c>
      <c r="D417" s="206"/>
      <c r="E417" s="206"/>
      <c r="F417" s="198" t="s">
        <v>1095</v>
      </c>
      <c r="G417" s="171"/>
      <c r="H417" s="198"/>
      <c r="I417" s="197"/>
      <c r="J417" s="197"/>
      <c r="K417" s="206"/>
      <c r="L417" s="212"/>
      <c r="M417" s="185"/>
      <c r="N417" s="185"/>
      <c r="O417" s="160"/>
      <c r="P417" s="187"/>
      <c r="Q417" s="187"/>
      <c r="R417" s="188"/>
      <c r="S417" s="160"/>
      <c r="T417" s="161"/>
      <c r="U417" s="152"/>
      <c r="V417" s="162"/>
    </row>
    <row r="418" spans="1:22" s="190" customFormat="1" ht="32.25" customHeight="1" x14ac:dyDescent="0.2">
      <c r="A418" s="155">
        <f t="shared" si="23"/>
        <v>314</v>
      </c>
      <c r="B418" s="194" t="s">
        <v>1628</v>
      </c>
      <c r="C418" s="206" t="s">
        <v>1089</v>
      </c>
      <c r="D418" s="206"/>
      <c r="E418" s="206"/>
      <c r="F418" s="198" t="s">
        <v>1099</v>
      </c>
      <c r="G418" s="171"/>
      <c r="H418" s="198"/>
      <c r="I418" s="197"/>
      <c r="J418" s="197"/>
      <c r="K418" s="206"/>
      <c r="L418" s="212"/>
      <c r="M418" s="185"/>
      <c r="N418" s="185"/>
      <c r="O418" s="160"/>
      <c r="P418" s="187"/>
      <c r="Q418" s="187"/>
      <c r="R418" s="188"/>
      <c r="S418" s="160"/>
      <c r="T418" s="161"/>
      <c r="U418" s="152"/>
      <c r="V418" s="162"/>
    </row>
    <row r="419" spans="1:22" s="190" customFormat="1" ht="32.25" customHeight="1" x14ac:dyDescent="0.2">
      <c r="A419" s="155">
        <f t="shared" si="23"/>
        <v>315</v>
      </c>
      <c r="B419" s="194" t="s">
        <v>1628</v>
      </c>
      <c r="C419" s="206" t="s">
        <v>1089</v>
      </c>
      <c r="D419" s="206"/>
      <c r="E419" s="206"/>
      <c r="F419" s="198" t="s">
        <v>1101</v>
      </c>
      <c r="G419" s="171"/>
      <c r="H419" s="198"/>
      <c r="I419" s="197"/>
      <c r="J419" s="197"/>
      <c r="K419" s="206"/>
      <c r="L419" s="212"/>
      <c r="M419" s="185"/>
      <c r="N419" s="185"/>
      <c r="O419" s="160"/>
      <c r="P419" s="187"/>
      <c r="Q419" s="187"/>
      <c r="R419" s="188"/>
      <c r="S419" s="160"/>
      <c r="T419" s="161"/>
      <c r="U419" s="152"/>
      <c r="V419" s="162"/>
    </row>
    <row r="420" spans="1:22" s="190" customFormat="1" ht="32.25" customHeight="1" x14ac:dyDescent="0.2">
      <c r="A420" s="155">
        <f t="shared" si="23"/>
        <v>316</v>
      </c>
      <c r="B420" s="194" t="s">
        <v>1628</v>
      </c>
      <c r="C420" s="206" t="s">
        <v>1107</v>
      </c>
      <c r="D420" s="206"/>
      <c r="E420" s="206"/>
      <c r="F420" s="198" t="s">
        <v>1090</v>
      </c>
      <c r="G420" s="171"/>
      <c r="H420" s="198"/>
      <c r="I420" s="197"/>
      <c r="J420" s="197"/>
      <c r="K420" s="206"/>
      <c r="L420" s="212"/>
      <c r="M420" s="185"/>
      <c r="N420" s="185"/>
      <c r="O420" s="160"/>
      <c r="P420" s="187"/>
      <c r="Q420" s="187"/>
      <c r="R420" s="188"/>
      <c r="S420" s="160"/>
      <c r="T420" s="161"/>
      <c r="U420" s="152"/>
      <c r="V420" s="162"/>
    </row>
    <row r="421" spans="1:22" s="190" customFormat="1" ht="32.25" customHeight="1" x14ac:dyDescent="0.2">
      <c r="A421" s="155">
        <f t="shared" si="23"/>
        <v>317</v>
      </c>
      <c r="B421" s="194" t="s">
        <v>1628</v>
      </c>
      <c r="C421" s="206" t="s">
        <v>1107</v>
      </c>
      <c r="D421" s="206"/>
      <c r="E421" s="206"/>
      <c r="F421" s="198" t="s">
        <v>1092</v>
      </c>
      <c r="G421" s="171"/>
      <c r="H421" s="198"/>
      <c r="I421" s="197"/>
      <c r="J421" s="197"/>
      <c r="K421" s="206"/>
      <c r="L421" s="212"/>
      <c r="M421" s="185"/>
      <c r="N421" s="185"/>
      <c r="O421" s="160"/>
      <c r="P421" s="187"/>
      <c r="Q421" s="187"/>
      <c r="R421" s="188"/>
      <c r="S421" s="160"/>
      <c r="T421" s="161"/>
      <c r="U421" s="152"/>
      <c r="V421" s="162"/>
    </row>
    <row r="422" spans="1:22" s="190" customFormat="1" ht="32.25" customHeight="1" x14ac:dyDescent="0.2">
      <c r="A422" s="155">
        <f t="shared" si="23"/>
        <v>318</v>
      </c>
      <c r="B422" s="194" t="s">
        <v>1628</v>
      </c>
      <c r="C422" s="206" t="s">
        <v>1107</v>
      </c>
      <c r="D422" s="206"/>
      <c r="E422" s="206"/>
      <c r="F422" s="198" t="s">
        <v>1130</v>
      </c>
      <c r="G422" s="171"/>
      <c r="H422" s="198"/>
      <c r="I422" s="197"/>
      <c r="J422" s="197"/>
      <c r="K422" s="206"/>
      <c r="L422" s="212"/>
      <c r="M422" s="185"/>
      <c r="N422" s="185"/>
      <c r="O422" s="160"/>
      <c r="P422" s="187"/>
      <c r="Q422" s="187"/>
      <c r="R422" s="188"/>
      <c r="S422" s="160"/>
      <c r="T422" s="161"/>
      <c r="U422" s="152"/>
      <c r="V422" s="162"/>
    </row>
    <row r="423" spans="1:22" s="190" customFormat="1" ht="32.25" customHeight="1" x14ac:dyDescent="0.2">
      <c r="A423" s="155">
        <f t="shared" si="23"/>
        <v>319</v>
      </c>
      <c r="B423" s="194" t="s">
        <v>1628</v>
      </c>
      <c r="C423" s="206" t="s">
        <v>1107</v>
      </c>
      <c r="D423" s="206"/>
      <c r="E423" s="206"/>
      <c r="F423" s="198" t="s">
        <v>1108</v>
      </c>
      <c r="G423" s="171"/>
      <c r="H423" s="198"/>
      <c r="I423" s="197"/>
      <c r="J423" s="197"/>
      <c r="K423" s="206"/>
      <c r="L423" s="212"/>
      <c r="M423" s="185"/>
      <c r="N423" s="185"/>
      <c r="O423" s="160"/>
      <c r="P423" s="187"/>
      <c r="Q423" s="187"/>
      <c r="R423" s="188"/>
      <c r="S423" s="160"/>
      <c r="T423" s="161"/>
      <c r="U423" s="152"/>
      <c r="V423" s="162"/>
    </row>
    <row r="424" spans="1:22" s="190" customFormat="1" ht="32.25" customHeight="1" x14ac:dyDescent="0.2">
      <c r="A424" s="155">
        <f t="shared" si="23"/>
        <v>320</v>
      </c>
      <c r="B424" s="194">
        <v>45669</v>
      </c>
      <c r="C424" s="206" t="s">
        <v>1115</v>
      </c>
      <c r="D424" s="206"/>
      <c r="E424" s="206"/>
      <c r="F424" s="198" t="s">
        <v>1111</v>
      </c>
      <c r="G424" s="171"/>
      <c r="H424" s="198"/>
      <c r="I424" s="197"/>
      <c r="J424" s="197"/>
      <c r="K424" s="206"/>
      <c r="L424" s="212"/>
      <c r="M424" s="185"/>
      <c r="N424" s="185"/>
      <c r="O424" s="160"/>
      <c r="P424" s="187"/>
      <c r="Q424" s="187"/>
      <c r="R424" s="188"/>
      <c r="S424" s="160"/>
      <c r="T424" s="161"/>
      <c r="U424" s="152"/>
      <c r="V424" s="162"/>
    </row>
    <row r="425" spans="1:22" s="190" customFormat="1" ht="32.25" customHeight="1" x14ac:dyDescent="0.2">
      <c r="A425" s="155">
        <f t="shared" si="23"/>
        <v>321</v>
      </c>
      <c r="B425" s="194">
        <v>45669</v>
      </c>
      <c r="C425" s="206" t="s">
        <v>1115</v>
      </c>
      <c r="D425" s="206"/>
      <c r="E425" s="206"/>
      <c r="F425" s="198" t="s">
        <v>1113</v>
      </c>
      <c r="G425" s="171"/>
      <c r="H425" s="198"/>
      <c r="I425" s="197"/>
      <c r="J425" s="197"/>
      <c r="K425" s="206"/>
      <c r="L425" s="212"/>
      <c r="M425" s="185"/>
      <c r="N425" s="185"/>
      <c r="O425" s="160"/>
      <c r="P425" s="187"/>
      <c r="Q425" s="187"/>
      <c r="R425" s="188"/>
      <c r="S425" s="160"/>
      <c r="T425" s="161"/>
      <c r="U425" s="152"/>
      <c r="V425" s="162"/>
    </row>
    <row r="426" spans="1:22" s="190" customFormat="1" ht="32.25" customHeight="1" x14ac:dyDescent="0.2">
      <c r="A426" s="155">
        <f t="shared" ref="A426:A430" si="24">ROW()-104</f>
        <v>322</v>
      </c>
      <c r="B426" s="194">
        <v>45669</v>
      </c>
      <c r="C426" s="206" t="s">
        <v>1115</v>
      </c>
      <c r="D426" s="206"/>
      <c r="E426" s="206"/>
      <c r="F426" s="198" t="s">
        <v>1120</v>
      </c>
      <c r="G426" s="171"/>
      <c r="H426" s="198"/>
      <c r="I426" s="197"/>
      <c r="J426" s="197"/>
      <c r="K426" s="206"/>
      <c r="L426" s="212"/>
      <c r="M426" s="185"/>
      <c r="N426" s="185"/>
      <c r="O426" s="160"/>
      <c r="P426" s="187"/>
      <c r="Q426" s="187"/>
      <c r="R426" s="188"/>
      <c r="S426" s="160"/>
      <c r="T426" s="161"/>
      <c r="U426" s="152"/>
      <c r="V426" s="162"/>
    </row>
    <row r="427" spans="1:22" s="190" customFormat="1" ht="32.25" customHeight="1" x14ac:dyDescent="0.2">
      <c r="A427" s="155">
        <f t="shared" si="24"/>
        <v>323</v>
      </c>
      <c r="B427" s="194">
        <v>45669</v>
      </c>
      <c r="C427" s="206" t="s">
        <v>1115</v>
      </c>
      <c r="D427" s="206"/>
      <c r="E427" s="206"/>
      <c r="F427" s="198" t="s">
        <v>1124</v>
      </c>
      <c r="G427" s="171"/>
      <c r="H427" s="198"/>
      <c r="I427" s="197"/>
      <c r="J427" s="197"/>
      <c r="K427" s="206"/>
      <c r="L427" s="212"/>
      <c r="M427" s="185"/>
      <c r="N427" s="185"/>
      <c r="O427" s="160"/>
      <c r="P427" s="187"/>
      <c r="Q427" s="187"/>
      <c r="R427" s="188"/>
      <c r="S427" s="160"/>
      <c r="T427" s="161"/>
      <c r="U427" s="152"/>
      <c r="V427" s="162"/>
    </row>
    <row r="428" spans="1:22" s="190" customFormat="1" ht="32.25" customHeight="1" x14ac:dyDescent="0.2">
      <c r="A428" s="155">
        <f t="shared" si="24"/>
        <v>324</v>
      </c>
      <c r="B428" s="194">
        <v>45669</v>
      </c>
      <c r="C428" s="206" t="s">
        <v>1115</v>
      </c>
      <c r="D428" s="206"/>
      <c r="E428" s="206"/>
      <c r="F428" s="198" t="s">
        <v>1122</v>
      </c>
      <c r="G428" s="171"/>
      <c r="H428" s="198"/>
      <c r="I428" s="197"/>
      <c r="J428" s="197"/>
      <c r="K428" s="206"/>
      <c r="L428" s="212"/>
      <c r="M428" s="185"/>
      <c r="N428" s="185"/>
      <c r="O428" s="160"/>
      <c r="P428" s="187"/>
      <c r="Q428" s="187"/>
      <c r="R428" s="188"/>
      <c r="S428" s="160"/>
      <c r="T428" s="161"/>
      <c r="U428" s="152"/>
      <c r="V428" s="162"/>
    </row>
    <row r="429" spans="1:22" s="190" customFormat="1" ht="32.25" customHeight="1" x14ac:dyDescent="0.2">
      <c r="A429" s="155">
        <f t="shared" si="24"/>
        <v>325</v>
      </c>
      <c r="B429" s="194"/>
      <c r="C429" s="206"/>
      <c r="D429" s="206"/>
      <c r="E429" s="206"/>
      <c r="F429" s="198" t="s">
        <v>1118</v>
      </c>
      <c r="G429" s="171"/>
      <c r="H429" s="198"/>
      <c r="I429" s="197"/>
      <c r="J429" s="197"/>
      <c r="K429" s="206"/>
      <c r="L429" s="212"/>
      <c r="M429" s="185"/>
      <c r="N429" s="185"/>
      <c r="O429" s="160"/>
      <c r="P429" s="187"/>
      <c r="Q429" s="187"/>
      <c r="R429" s="188"/>
      <c r="S429" s="160"/>
      <c r="T429" s="161"/>
      <c r="U429" s="152"/>
      <c r="V429" s="162"/>
    </row>
    <row r="430" spans="1:22" s="190" customFormat="1" ht="32.25" customHeight="1" x14ac:dyDescent="0.2">
      <c r="A430" s="155">
        <f t="shared" si="24"/>
        <v>326</v>
      </c>
      <c r="B430" s="194"/>
      <c r="C430" s="206"/>
      <c r="D430" s="206"/>
      <c r="E430" s="206"/>
      <c r="F430" s="198" t="s">
        <v>1116</v>
      </c>
      <c r="G430" s="171"/>
      <c r="H430" s="198"/>
      <c r="I430" s="197"/>
      <c r="J430" s="197"/>
      <c r="K430" s="206"/>
      <c r="L430" s="212"/>
      <c r="M430" s="185"/>
      <c r="N430" s="185"/>
      <c r="O430" s="160"/>
      <c r="P430" s="187"/>
      <c r="Q430" s="187"/>
      <c r="R430" s="188"/>
      <c r="S430" s="160"/>
      <c r="T430" s="161"/>
      <c r="U430" s="152"/>
      <c r="V430" s="162"/>
    </row>
    <row r="431" spans="1:22" ht="32.25" customHeight="1" x14ac:dyDescent="0.2">
      <c r="A431" s="779" t="s">
        <v>52</v>
      </c>
      <c r="B431" s="779"/>
      <c r="C431" s="780"/>
      <c r="D431" s="225">
        <f>SUM(D18:D101)</f>
        <v>0</v>
      </c>
      <c r="E431" s="225">
        <f>SUM(E17:E430)</f>
        <v>351</v>
      </c>
      <c r="F431" s="225"/>
      <c r="G431" s="323"/>
      <c r="H431" s="226"/>
      <c r="I431" s="224"/>
      <c r="J431" s="156"/>
      <c r="K431" s="224"/>
      <c r="L431" s="150"/>
      <c r="M431" s="151">
        <f>SUM(M17:M367)</f>
        <v>521578600</v>
      </c>
      <c r="N431" s="151">
        <f>SUM(N17:N367)</f>
        <v>56800000</v>
      </c>
      <c r="O431" s="151">
        <f>SUM(O17:O367)</f>
        <v>1506370000</v>
      </c>
      <c r="P431" s="151">
        <f t="shared" ref="P431:T431" si="25">SUM(P17:P367)</f>
        <v>300000</v>
      </c>
      <c r="Q431" s="151">
        <f t="shared" si="25"/>
        <v>0</v>
      </c>
      <c r="R431" s="151">
        <f t="shared" si="25"/>
        <v>0</v>
      </c>
      <c r="S431" s="151">
        <f t="shared" si="25"/>
        <v>120509600</v>
      </c>
      <c r="T431" s="151">
        <f t="shared" si="25"/>
        <v>2205558200</v>
      </c>
      <c r="U431" s="152"/>
    </row>
    <row r="432" spans="1:22" ht="32.25" customHeight="1" x14ac:dyDescent="0.2">
      <c r="A432" s="781" t="s">
        <v>992</v>
      </c>
      <c r="B432" s="782"/>
      <c r="C432" s="783"/>
      <c r="D432" s="180"/>
      <c r="E432" s="180"/>
      <c r="F432" s="324"/>
      <c r="G432" s="204"/>
      <c r="H432" s="169"/>
      <c r="I432" s="181"/>
      <c r="J432" s="193"/>
      <c r="K432" s="181"/>
      <c r="L432" s="227"/>
      <c r="M432" s="228"/>
      <c r="N432" s="228"/>
      <c r="O432" s="229"/>
      <c r="P432" s="181"/>
      <c r="Q432" s="181"/>
      <c r="R432" s="228"/>
      <c r="S432" s="181"/>
      <c r="T432" s="181"/>
      <c r="U432" s="180"/>
    </row>
    <row r="433" spans="1:21" s="236" customFormat="1" ht="16" x14ac:dyDescent="0.2">
      <c r="A433" s="178"/>
      <c r="B433" s="230"/>
      <c r="C433" s="178"/>
      <c r="D433" s="231"/>
      <c r="E433" s="231"/>
      <c r="F433" s="231"/>
      <c r="G433" s="231"/>
      <c r="H433" s="232"/>
      <c r="I433" s="233"/>
      <c r="J433" s="233"/>
      <c r="K433" s="233"/>
      <c r="L433" s="234"/>
      <c r="M433" s="242" t="s">
        <v>1600</v>
      </c>
      <c r="N433" s="242">
        <f>O431</f>
        <v>1506370000</v>
      </c>
      <c r="O433" s="233"/>
      <c r="P433" s="233"/>
      <c r="Q433" s="233"/>
      <c r="R433" s="235"/>
      <c r="S433" s="233"/>
      <c r="T433" s="233"/>
      <c r="U433" s="173"/>
    </row>
    <row r="434" spans="1:21" ht="16" x14ac:dyDescent="0.2">
      <c r="A434" s="237"/>
      <c r="B434" s="238"/>
      <c r="C434" s="233"/>
      <c r="D434" s="237"/>
      <c r="E434" s="237"/>
      <c r="F434" s="239"/>
      <c r="G434" s="239"/>
      <c r="H434" s="240"/>
      <c r="I434" s="237"/>
      <c r="J434" s="237"/>
      <c r="K434" s="237"/>
      <c r="L434" s="241"/>
      <c r="M434" s="242" t="s">
        <v>1601</v>
      </c>
      <c r="N434" s="242">
        <f>S431</f>
        <v>120509600</v>
      </c>
      <c r="O434" s="237"/>
      <c r="P434" s="237"/>
      <c r="Q434" s="237"/>
      <c r="R434" s="242"/>
      <c r="S434" s="237"/>
      <c r="T434" s="237"/>
      <c r="U434" s="173"/>
    </row>
    <row r="435" spans="1:21" ht="16" x14ac:dyDescent="0.2">
      <c r="A435" s="237"/>
      <c r="B435" s="238"/>
      <c r="C435" s="233"/>
      <c r="D435" s="237"/>
      <c r="E435" s="237"/>
      <c r="F435" s="239"/>
      <c r="G435" s="239"/>
      <c r="H435" s="240"/>
      <c r="I435" s="237"/>
      <c r="J435" s="237"/>
      <c r="K435" s="237"/>
      <c r="L435" s="241"/>
      <c r="M435" s="235" t="s">
        <v>52</v>
      </c>
      <c r="N435" s="235">
        <f>N433+N434</f>
        <v>1626879600</v>
      </c>
      <c r="O435" s="237"/>
      <c r="P435" s="237"/>
      <c r="Q435" s="237"/>
      <c r="R435" s="242"/>
      <c r="S435" s="237"/>
      <c r="T435" s="237"/>
      <c r="U435" s="173"/>
    </row>
    <row r="436" spans="1:21" ht="16" x14ac:dyDescent="0.2">
      <c r="A436" s="237"/>
      <c r="B436" s="238"/>
      <c r="C436" s="233"/>
      <c r="D436" s="237"/>
      <c r="E436" s="237"/>
      <c r="F436" s="239"/>
      <c r="G436" s="239"/>
      <c r="H436" s="240"/>
      <c r="I436" s="237"/>
      <c r="J436" s="237"/>
      <c r="K436" s="237"/>
      <c r="L436" s="241"/>
      <c r="M436" s="242"/>
      <c r="N436" s="242"/>
      <c r="O436" s="237"/>
      <c r="P436" s="237"/>
      <c r="Q436" s="237"/>
      <c r="R436" s="242"/>
      <c r="S436" s="237"/>
      <c r="T436" s="237"/>
      <c r="U436" s="173"/>
    </row>
    <row r="437" spans="1:21" ht="16" x14ac:dyDescent="0.2">
      <c r="A437" s="237"/>
      <c r="B437" s="238"/>
      <c r="C437" s="233"/>
      <c r="D437" s="237"/>
      <c r="E437" s="237"/>
      <c r="F437" s="239"/>
      <c r="G437" s="239"/>
      <c r="H437" s="240"/>
      <c r="I437" s="237"/>
      <c r="J437" s="237"/>
      <c r="K437" s="237"/>
      <c r="L437" s="241"/>
      <c r="M437" s="235" t="s">
        <v>1602</v>
      </c>
      <c r="N437" s="235">
        <f>SUM(N438:N442)</f>
        <v>578678600</v>
      </c>
      <c r="O437" s="237"/>
      <c r="P437" s="237"/>
      <c r="Q437" s="237"/>
      <c r="R437" s="242"/>
      <c r="S437" s="237"/>
      <c r="T437" s="237"/>
      <c r="U437" s="173"/>
    </row>
    <row r="438" spans="1:21" ht="16" x14ac:dyDescent="0.2">
      <c r="A438" s="328"/>
      <c r="B438" s="328"/>
      <c r="C438" s="328"/>
      <c r="D438" s="328"/>
      <c r="E438" s="328"/>
      <c r="F438" s="328"/>
      <c r="G438" s="233"/>
      <c r="H438" s="243"/>
      <c r="I438" s="244"/>
      <c r="J438" s="244"/>
      <c r="K438" s="173"/>
      <c r="L438" s="233"/>
      <c r="M438" s="237" t="s">
        <v>1603</v>
      </c>
      <c r="N438" s="327">
        <f>N431</f>
        <v>56800000</v>
      </c>
      <c r="O438" s="233"/>
      <c r="P438" s="233"/>
      <c r="Q438" s="233"/>
      <c r="R438" s="233"/>
      <c r="S438" s="233"/>
      <c r="T438" s="233"/>
      <c r="U438" s="173"/>
    </row>
    <row r="439" spans="1:21" ht="16" x14ac:dyDescent="0.2">
      <c r="A439" s="245"/>
      <c r="B439" s="246"/>
      <c r="C439" s="245"/>
      <c r="D439" s="245"/>
      <c r="E439" s="245"/>
      <c r="G439" s="245"/>
      <c r="H439" s="247"/>
      <c r="I439" s="245"/>
      <c r="J439" s="245"/>
      <c r="K439" s="245"/>
      <c r="L439" s="248"/>
      <c r="M439" s="129" t="s">
        <v>993</v>
      </c>
      <c r="N439" s="129">
        <f>P431</f>
        <v>300000</v>
      </c>
      <c r="O439" s="245"/>
      <c r="P439" s="245"/>
      <c r="Q439" s="245"/>
      <c r="R439" s="129"/>
      <c r="S439" s="245"/>
      <c r="T439" s="245"/>
      <c r="U439" s="245"/>
    </row>
    <row r="440" spans="1:21" ht="16" x14ac:dyDescent="0.2">
      <c r="A440" s="245"/>
      <c r="B440" s="246"/>
      <c r="C440" s="245"/>
      <c r="D440" s="245"/>
      <c r="E440" s="245"/>
      <c r="G440" s="245"/>
      <c r="H440" s="247"/>
      <c r="I440" s="245"/>
      <c r="J440" s="245"/>
      <c r="K440" s="245"/>
      <c r="L440" s="248"/>
      <c r="M440" s="129" t="s">
        <v>1607</v>
      </c>
      <c r="N440" s="129">
        <f>M431</f>
        <v>521578600</v>
      </c>
      <c r="O440" s="245"/>
      <c r="P440" s="245"/>
      <c r="Q440" s="245"/>
      <c r="R440" s="129"/>
      <c r="S440" s="245"/>
      <c r="T440" s="245"/>
      <c r="U440" s="245"/>
    </row>
    <row r="441" spans="1:21" ht="16" x14ac:dyDescent="0.2">
      <c r="A441" s="245"/>
      <c r="B441" s="246"/>
      <c r="C441" s="245"/>
      <c r="D441" s="245"/>
      <c r="E441" s="245"/>
      <c r="G441" s="245"/>
      <c r="H441" s="247"/>
      <c r="I441" s="245"/>
      <c r="J441" s="245"/>
      <c r="K441" s="245"/>
      <c r="L441" s="248"/>
      <c r="M441" s="129" t="s">
        <v>1604</v>
      </c>
      <c r="N441" s="129">
        <v>0</v>
      </c>
      <c r="O441" s="245"/>
      <c r="P441" s="245"/>
      <c r="Q441" s="245"/>
      <c r="R441" s="129"/>
      <c r="S441" s="245"/>
      <c r="T441" s="245"/>
      <c r="U441" s="245"/>
    </row>
    <row r="442" spans="1:21" ht="16" x14ac:dyDescent="0.2">
      <c r="A442" s="245"/>
      <c r="B442" s="246"/>
      <c r="C442" s="245"/>
      <c r="D442" s="245"/>
      <c r="E442" s="245"/>
      <c r="G442" s="245"/>
      <c r="H442" s="247"/>
      <c r="I442" s="245"/>
      <c r="J442" s="245"/>
      <c r="K442" s="245"/>
      <c r="L442" s="248"/>
      <c r="M442" s="129" t="s">
        <v>1605</v>
      </c>
      <c r="N442" s="129">
        <v>0</v>
      </c>
      <c r="O442" s="245"/>
      <c r="P442" s="245"/>
      <c r="Q442" s="245"/>
      <c r="R442" s="129"/>
      <c r="S442" s="245"/>
      <c r="T442" s="245"/>
      <c r="U442" s="245"/>
    </row>
    <row r="443" spans="1:21" ht="16" x14ac:dyDescent="0.2">
      <c r="A443" s="245"/>
      <c r="B443" s="246"/>
      <c r="C443" s="245"/>
      <c r="D443" s="245"/>
      <c r="E443" s="245"/>
      <c r="G443" s="245"/>
      <c r="H443" s="247"/>
      <c r="I443" s="245"/>
      <c r="J443" s="245"/>
      <c r="K443" s="245"/>
      <c r="L443" s="248"/>
      <c r="M443" s="129"/>
      <c r="N443" s="129"/>
      <c r="O443" s="245"/>
      <c r="P443" s="245"/>
      <c r="Q443" s="245"/>
      <c r="R443" s="129"/>
      <c r="S443" s="245"/>
      <c r="T443" s="245"/>
      <c r="U443" s="245"/>
    </row>
    <row r="444" spans="1:21" ht="16" x14ac:dyDescent="0.2">
      <c r="A444" s="245"/>
      <c r="B444" s="246"/>
      <c r="C444" s="245"/>
      <c r="D444" s="245"/>
      <c r="E444" s="245"/>
      <c r="G444" s="245"/>
      <c r="H444" s="247"/>
      <c r="I444" s="245"/>
      <c r="J444" s="245"/>
      <c r="K444" s="245"/>
      <c r="L444" s="248"/>
      <c r="M444" s="326" t="s">
        <v>1606</v>
      </c>
      <c r="N444" s="326">
        <f>N437+N435</f>
        <v>2205558200</v>
      </c>
      <c r="O444" s="245"/>
      <c r="P444" s="245"/>
      <c r="Q444" s="245"/>
      <c r="R444" s="129"/>
      <c r="S444" s="245"/>
      <c r="T444" s="245"/>
      <c r="U444" s="245"/>
    </row>
    <row r="445" spans="1:21" ht="16" x14ac:dyDescent="0.2">
      <c r="H445" s="250"/>
      <c r="J445" s="251"/>
    </row>
    <row r="446" spans="1:21" ht="16" x14ac:dyDescent="0.2">
      <c r="H446" s="250"/>
      <c r="J446" s="251"/>
    </row>
    <row r="447" spans="1:21" ht="16" x14ac:dyDescent="0.2">
      <c r="H447" s="250"/>
      <c r="J447" s="251"/>
    </row>
    <row r="448" spans="1:21" ht="16" x14ac:dyDescent="0.2">
      <c r="H448" s="250"/>
      <c r="J448" s="251"/>
    </row>
    <row r="449" spans="8:10" ht="16" x14ac:dyDescent="0.2">
      <c r="H449" s="250"/>
      <c r="J449" s="251"/>
    </row>
    <row r="450" spans="8:10" ht="16" x14ac:dyDescent="0.2">
      <c r="H450" s="250"/>
      <c r="J450" s="251"/>
    </row>
    <row r="451" spans="8:10" ht="16" x14ac:dyDescent="0.2">
      <c r="H451" s="250"/>
      <c r="J451" s="251"/>
    </row>
    <row r="452" spans="8:10" ht="16" x14ac:dyDescent="0.2">
      <c r="H452" s="250"/>
      <c r="J452" s="251"/>
    </row>
    <row r="453" spans="8:10" ht="16" x14ac:dyDescent="0.2">
      <c r="H453" s="250"/>
      <c r="J453" s="251"/>
    </row>
    <row r="454" spans="8:10" ht="16" x14ac:dyDescent="0.2">
      <c r="H454" s="250"/>
      <c r="J454" s="251"/>
    </row>
    <row r="455" spans="8:10" ht="16" x14ac:dyDescent="0.2">
      <c r="H455" s="250"/>
      <c r="J455" s="251"/>
    </row>
    <row r="456" spans="8:10" ht="16" x14ac:dyDescent="0.2">
      <c r="H456" s="250"/>
      <c r="J456" s="251"/>
    </row>
    <row r="457" spans="8:10" ht="16" x14ac:dyDescent="0.2">
      <c r="H457" s="250"/>
      <c r="J457" s="251"/>
    </row>
    <row r="458" spans="8:10" ht="16" x14ac:dyDescent="0.2">
      <c r="H458" s="250"/>
      <c r="J458" s="251"/>
    </row>
    <row r="459" spans="8:10" ht="16" x14ac:dyDescent="0.2">
      <c r="H459" s="250"/>
      <c r="J459" s="251"/>
    </row>
    <row r="460" spans="8:10" ht="16" x14ac:dyDescent="0.2">
      <c r="H460" s="250"/>
      <c r="J460" s="251"/>
    </row>
    <row r="461" spans="8:10" ht="16" x14ac:dyDescent="0.2">
      <c r="H461" s="250"/>
      <c r="J461" s="251"/>
    </row>
    <row r="462" spans="8:10" ht="16" x14ac:dyDescent="0.2">
      <c r="H462" s="250"/>
      <c r="J462" s="251"/>
    </row>
    <row r="463" spans="8:10" ht="16" x14ac:dyDescent="0.2">
      <c r="H463" s="250"/>
      <c r="J463" s="251"/>
    </row>
    <row r="464" spans="8:10" ht="16" x14ac:dyDescent="0.2">
      <c r="H464" s="250"/>
      <c r="J464" s="251"/>
    </row>
    <row r="465" spans="8:10" ht="16" x14ac:dyDescent="0.2">
      <c r="H465" s="250"/>
      <c r="J465" s="251"/>
    </row>
    <row r="466" spans="8:10" ht="16" x14ac:dyDescent="0.2">
      <c r="H466" s="250"/>
      <c r="J466" s="251"/>
    </row>
    <row r="467" spans="8:10" ht="16" x14ac:dyDescent="0.2">
      <c r="H467" s="250"/>
      <c r="J467" s="251"/>
    </row>
    <row r="468" spans="8:10" ht="16" x14ac:dyDescent="0.2">
      <c r="H468" s="250"/>
      <c r="J468" s="251"/>
    </row>
    <row r="469" spans="8:10" ht="16" x14ac:dyDescent="0.2">
      <c r="H469" s="250"/>
      <c r="J469" s="251"/>
    </row>
    <row r="470" spans="8:10" ht="16" x14ac:dyDescent="0.2">
      <c r="H470" s="250"/>
      <c r="J470" s="251"/>
    </row>
    <row r="471" spans="8:10" ht="16" x14ac:dyDescent="0.2">
      <c r="H471" s="250"/>
      <c r="J471" s="251"/>
    </row>
    <row r="472" spans="8:10" ht="60" customHeight="1" x14ac:dyDescent="0.2">
      <c r="H472" s="250"/>
      <c r="J472" s="251"/>
    </row>
    <row r="473" spans="8:10" ht="60" customHeight="1" x14ac:dyDescent="0.2">
      <c r="H473" s="250"/>
      <c r="J473" s="251"/>
    </row>
    <row r="474" spans="8:10" ht="60" customHeight="1" x14ac:dyDescent="0.2">
      <c r="H474" s="250"/>
      <c r="J474" s="251"/>
    </row>
    <row r="475" spans="8:10" ht="60" customHeight="1" x14ac:dyDescent="0.2">
      <c r="H475" s="250"/>
      <c r="J475" s="251"/>
    </row>
    <row r="476" spans="8:10" ht="60" customHeight="1" x14ac:dyDescent="0.2">
      <c r="H476" s="250"/>
      <c r="J476" s="251"/>
    </row>
    <row r="477" spans="8:10" ht="60" customHeight="1" x14ac:dyDescent="0.2">
      <c r="H477" s="250"/>
      <c r="J477" s="251"/>
    </row>
    <row r="478" spans="8:10" ht="60" customHeight="1" x14ac:dyDescent="0.2">
      <c r="H478" s="250"/>
      <c r="J478" s="251"/>
    </row>
    <row r="479" spans="8:10" ht="60" customHeight="1" x14ac:dyDescent="0.2">
      <c r="H479" s="250"/>
      <c r="J479" s="251"/>
    </row>
  </sheetData>
  <autoFilter ref="A15:U438" xr:uid="{00000000-0009-0000-0000-000004000000}"/>
  <mergeCells count="27">
    <mergeCell ref="N15:N16"/>
    <mergeCell ref="O15:S15"/>
    <mergeCell ref="T15:T16"/>
    <mergeCell ref="A431:C431"/>
    <mergeCell ref="A432:C432"/>
    <mergeCell ref="H15:H16"/>
    <mergeCell ref="I15:I16"/>
    <mergeCell ref="J15:J16"/>
    <mergeCell ref="K15:K16"/>
    <mergeCell ref="L15:L16"/>
    <mergeCell ref="M15:M16"/>
    <mergeCell ref="A9:I9"/>
    <mergeCell ref="A11:H11"/>
    <mergeCell ref="A12:K12"/>
    <mergeCell ref="A13:F13"/>
    <mergeCell ref="A15:A16"/>
    <mergeCell ref="B15:B16"/>
    <mergeCell ref="C15:C16"/>
    <mergeCell ref="D15:E15"/>
    <mergeCell ref="F15:F16"/>
    <mergeCell ref="G15:G16"/>
    <mergeCell ref="A8:F8"/>
    <mergeCell ref="A2:T2"/>
    <mergeCell ref="A3:T3"/>
    <mergeCell ref="A4:T4"/>
    <mergeCell ref="A6:H6"/>
    <mergeCell ref="A7:K7"/>
  </mergeCells>
  <conditionalFormatting sqref="L1:L1048576">
    <cfRule type="duplicateValues" dxfId="16" priority="1"/>
  </conditionalFormatting>
  <pageMargins left="0.2" right="0.2" top="0.32" bottom="0.32" header="0.2" footer="0.2"/>
  <pageSetup paperSize="9" scale="36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6B50-ACBC-4899-9460-684B98BC7C11}">
  <sheetPr>
    <tabColor rgb="FF00B050"/>
    <pageSetUpPr fitToPage="1"/>
  </sheetPr>
  <dimension ref="A1:T151"/>
  <sheetViews>
    <sheetView topLeftCell="J10" zoomScaleNormal="100" zoomScaleSheetLayoutView="85" workbookViewId="0">
      <pane ySplit="7" topLeftCell="A17" activePane="bottomLeft" state="frozen"/>
      <selection pane="bottomLeft" activeCell="T15" sqref="T15:T16"/>
    </sheetView>
  </sheetViews>
  <sheetFormatPr baseColWidth="10" defaultColWidth="9" defaultRowHeight="60" customHeight="1" x14ac:dyDescent="0.2"/>
  <cols>
    <col min="1" max="1" width="7.33203125" style="126" customWidth="1"/>
    <col min="2" max="2" width="17.33203125" style="249" customWidth="1"/>
    <col min="3" max="3" width="32" style="126" customWidth="1"/>
    <col min="4" max="4" width="6.1640625" style="126" customWidth="1"/>
    <col min="5" max="5" width="4.83203125" style="126" customWidth="1"/>
    <col min="6" max="6" width="25" style="245" customWidth="1"/>
    <col min="7" max="7" width="20.1640625" style="236" customWidth="1"/>
    <col min="8" max="8" width="23.1640625" style="253" customWidth="1"/>
    <col min="9" max="9" width="46.1640625" style="126" customWidth="1"/>
    <col min="10" max="10" width="30.5" style="126" customWidth="1"/>
    <col min="11" max="11" width="35.33203125" style="126" customWidth="1"/>
    <col min="12" max="12" width="25" style="252" customWidth="1"/>
    <col min="13" max="14" width="31.1640625" style="125" customWidth="1"/>
    <col min="15" max="15" width="19.5" style="125" customWidth="1"/>
    <col min="16" max="16" width="19.5" style="526" customWidth="1"/>
    <col min="17" max="19" width="21.1640625" style="125" customWidth="1"/>
    <col min="20" max="20" width="27.33203125" style="126" customWidth="1"/>
    <col min="21" max="16384" width="9" style="126"/>
  </cols>
  <sheetData>
    <row r="1" spans="1:20" ht="23.25" customHeight="1" x14ac:dyDescent="0.2">
      <c r="A1" s="119"/>
      <c r="B1" s="120"/>
      <c r="C1" s="121"/>
      <c r="D1" s="119"/>
      <c r="E1" s="119"/>
      <c r="F1" s="119"/>
      <c r="G1" s="119"/>
      <c r="H1" s="122"/>
      <c r="I1" s="123"/>
      <c r="J1" s="121"/>
      <c r="K1" s="123"/>
      <c r="L1" s="124"/>
      <c r="T1" s="123"/>
    </row>
    <row r="2" spans="1:20" ht="23.25" customHeight="1" x14ac:dyDescent="0.2">
      <c r="A2" s="770" t="s">
        <v>157</v>
      </c>
      <c r="B2" s="770"/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</row>
    <row r="3" spans="1:20" ht="23.25" customHeight="1" x14ac:dyDescent="0.2">
      <c r="A3" s="771" t="s">
        <v>158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</row>
    <row r="4" spans="1:20" ht="23.25" customHeight="1" x14ac:dyDescent="0.2">
      <c r="A4" s="771" t="s">
        <v>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</row>
    <row r="5" spans="1:20" ht="23.25" customHeight="1" x14ac:dyDescent="0.2">
      <c r="A5" s="119"/>
      <c r="B5" s="127"/>
      <c r="C5" s="119"/>
      <c r="D5" s="119"/>
      <c r="E5" s="119"/>
      <c r="F5" s="119"/>
      <c r="G5" s="119"/>
      <c r="H5" s="122"/>
      <c r="I5" s="119"/>
      <c r="J5" s="119"/>
      <c r="K5" s="119"/>
      <c r="L5" s="128"/>
      <c r="M5" s="129"/>
      <c r="N5" s="129"/>
      <c r="O5" s="129"/>
      <c r="P5" s="527"/>
      <c r="Q5" s="129"/>
      <c r="R5" s="129"/>
      <c r="S5" s="129"/>
      <c r="T5" s="119"/>
    </row>
    <row r="6" spans="1:20" ht="23.25" customHeight="1" x14ac:dyDescent="0.2">
      <c r="A6" s="772" t="s">
        <v>159</v>
      </c>
      <c r="B6" s="772"/>
      <c r="C6" s="772"/>
      <c r="D6" s="772"/>
      <c r="E6" s="772"/>
      <c r="F6" s="773"/>
      <c r="G6" s="772"/>
      <c r="H6" s="772"/>
      <c r="I6" s="130"/>
      <c r="J6" s="131"/>
      <c r="K6" s="130"/>
      <c r="L6" s="132"/>
      <c r="M6" s="133"/>
      <c r="N6" s="133"/>
      <c r="O6" s="133"/>
      <c r="P6" s="528"/>
      <c r="Q6" s="133"/>
      <c r="R6" s="133"/>
      <c r="S6" s="133"/>
      <c r="T6" s="130"/>
    </row>
    <row r="7" spans="1:20" ht="23.25" customHeight="1" x14ac:dyDescent="0.2">
      <c r="A7" s="774" t="s">
        <v>160</v>
      </c>
      <c r="B7" s="774"/>
      <c r="C7" s="774"/>
      <c r="D7" s="774"/>
      <c r="E7" s="774"/>
      <c r="F7" s="775"/>
      <c r="G7" s="774"/>
      <c r="H7" s="774"/>
      <c r="I7" s="774"/>
      <c r="J7" s="774"/>
      <c r="K7" s="774"/>
      <c r="L7" s="135"/>
      <c r="M7" s="136"/>
      <c r="N7" s="136"/>
      <c r="O7" s="136"/>
      <c r="P7" s="529"/>
      <c r="Q7" s="136"/>
      <c r="R7" s="136"/>
      <c r="S7" s="136"/>
      <c r="T7" s="130"/>
    </row>
    <row r="8" spans="1:20" ht="23.25" customHeight="1" x14ac:dyDescent="0.2">
      <c r="A8" s="774" t="s">
        <v>161</v>
      </c>
      <c r="B8" s="774"/>
      <c r="C8" s="774"/>
      <c r="D8" s="774"/>
      <c r="E8" s="774"/>
      <c r="F8" s="775"/>
      <c r="G8" s="137"/>
      <c r="H8" s="138"/>
      <c r="I8" s="139"/>
      <c r="J8" s="140"/>
      <c r="K8" s="139"/>
      <c r="L8" s="135"/>
      <c r="M8" s="136"/>
      <c r="N8" s="136"/>
      <c r="O8" s="136"/>
      <c r="P8" s="529"/>
      <c r="Q8" s="136"/>
      <c r="R8" s="136"/>
      <c r="S8" s="136"/>
      <c r="T8" s="130"/>
    </row>
    <row r="9" spans="1:20" ht="23.25" customHeight="1" x14ac:dyDescent="0.2">
      <c r="A9" s="776" t="s">
        <v>162</v>
      </c>
      <c r="B9" s="776"/>
      <c r="C9" s="776"/>
      <c r="D9" s="776"/>
      <c r="E9" s="776"/>
      <c r="F9" s="777"/>
      <c r="G9" s="776"/>
      <c r="H9" s="776"/>
      <c r="I9" s="776"/>
      <c r="J9" s="140"/>
      <c r="K9" s="139"/>
      <c r="L9" s="135"/>
      <c r="M9" s="136"/>
      <c r="N9" s="136"/>
      <c r="O9" s="136"/>
      <c r="P9" s="529"/>
      <c r="Q9" s="136"/>
      <c r="R9" s="136"/>
      <c r="S9" s="136"/>
      <c r="T9" s="130"/>
    </row>
    <row r="10" spans="1:20" ht="23.25" hidden="1" customHeight="1" x14ac:dyDescent="0.2">
      <c r="A10" s="141"/>
      <c r="B10" s="142"/>
      <c r="C10" s="141"/>
      <c r="E10" s="130"/>
      <c r="F10" s="119"/>
      <c r="G10" s="137"/>
      <c r="H10" s="138"/>
      <c r="I10" s="139"/>
      <c r="J10" s="140"/>
      <c r="K10" s="139"/>
      <c r="L10" s="135"/>
      <c r="M10" s="136"/>
      <c r="N10" s="136"/>
      <c r="O10" s="136"/>
      <c r="P10" s="529"/>
      <c r="Q10" s="136"/>
      <c r="R10" s="136"/>
      <c r="S10" s="136"/>
      <c r="T10" s="130"/>
    </row>
    <row r="11" spans="1:20" ht="23.25" hidden="1" customHeight="1" x14ac:dyDescent="0.2">
      <c r="A11" s="772" t="s">
        <v>163</v>
      </c>
      <c r="B11" s="772"/>
      <c r="C11" s="772"/>
      <c r="D11" s="772"/>
      <c r="E11" s="772"/>
      <c r="F11" s="773"/>
      <c r="G11" s="772"/>
      <c r="H11" s="772"/>
      <c r="I11" s="130"/>
      <c r="J11" s="131"/>
      <c r="K11" s="130"/>
      <c r="L11" s="132"/>
      <c r="M11" s="133"/>
      <c r="N11" s="133"/>
      <c r="O11" s="133"/>
      <c r="P11" s="528"/>
      <c r="Q11" s="133"/>
      <c r="R11" s="133"/>
      <c r="S11" s="133"/>
      <c r="T11" s="130"/>
    </row>
    <row r="12" spans="1:20" ht="23.25" hidden="1" customHeight="1" x14ac:dyDescent="0.2">
      <c r="A12" s="774" t="s">
        <v>164</v>
      </c>
      <c r="B12" s="774"/>
      <c r="C12" s="774"/>
      <c r="D12" s="774"/>
      <c r="E12" s="774"/>
      <c r="F12" s="775"/>
      <c r="G12" s="774"/>
      <c r="H12" s="774"/>
      <c r="I12" s="774"/>
      <c r="J12" s="774"/>
      <c r="K12" s="774"/>
      <c r="L12" s="135"/>
      <c r="M12" s="136"/>
      <c r="N12" s="136"/>
      <c r="O12" s="136"/>
      <c r="P12" s="529"/>
      <c r="Q12" s="136"/>
      <c r="R12" s="136"/>
      <c r="S12" s="136"/>
      <c r="T12" s="130"/>
    </row>
    <row r="13" spans="1:20" ht="23.25" hidden="1" customHeight="1" x14ac:dyDescent="0.2">
      <c r="A13" s="774" t="s">
        <v>165</v>
      </c>
      <c r="B13" s="774"/>
      <c r="C13" s="774"/>
      <c r="D13" s="774"/>
      <c r="E13" s="774"/>
      <c r="F13" s="775"/>
      <c r="G13" s="137"/>
      <c r="H13" s="138"/>
      <c r="I13" s="140"/>
      <c r="J13" s="140"/>
      <c r="K13" s="139"/>
      <c r="L13" s="135"/>
      <c r="M13" s="136"/>
      <c r="N13" s="136"/>
      <c r="O13" s="136"/>
      <c r="P13" s="529"/>
      <c r="Q13" s="136"/>
      <c r="R13" s="136"/>
      <c r="S13" s="136"/>
      <c r="T13" s="137"/>
    </row>
    <row r="14" spans="1:20" ht="23.25" hidden="1" customHeight="1" x14ac:dyDescent="0.2">
      <c r="A14" s="143"/>
      <c r="B14" s="144"/>
      <c r="C14" s="143"/>
      <c r="D14" s="143"/>
      <c r="E14" s="143"/>
      <c r="F14" s="119"/>
      <c r="G14" s="143"/>
      <c r="H14" s="122"/>
      <c r="I14" s="143"/>
      <c r="J14" s="119"/>
      <c r="K14" s="143"/>
      <c r="L14" s="145"/>
      <c r="M14" s="146"/>
      <c r="N14" s="146"/>
      <c r="O14" s="146"/>
      <c r="P14" s="530"/>
      <c r="Q14" s="146"/>
      <c r="R14" s="146"/>
      <c r="S14" s="146"/>
      <c r="T14" s="143"/>
    </row>
    <row r="15" spans="1:20" s="153" customFormat="1" ht="16" x14ac:dyDescent="0.2">
      <c r="A15" s="764" t="s">
        <v>15</v>
      </c>
      <c r="B15" s="766" t="s">
        <v>16</v>
      </c>
      <c r="C15" s="764" t="s">
        <v>17</v>
      </c>
      <c r="D15" s="764" t="s">
        <v>18</v>
      </c>
      <c r="E15" s="764"/>
      <c r="F15" s="764" t="s">
        <v>19</v>
      </c>
      <c r="G15" s="764" t="s">
        <v>166</v>
      </c>
      <c r="H15" s="764" t="s">
        <v>20</v>
      </c>
      <c r="I15" s="764" t="s">
        <v>21</v>
      </c>
      <c r="J15" s="778" t="s">
        <v>22</v>
      </c>
      <c r="K15" s="778" t="s">
        <v>23</v>
      </c>
      <c r="L15" s="753" t="s">
        <v>167</v>
      </c>
      <c r="M15" s="754" t="s">
        <v>1607</v>
      </c>
      <c r="N15" s="522"/>
      <c r="O15" s="759" t="s">
        <v>1684</v>
      </c>
      <c r="P15" s="761" t="s">
        <v>1675</v>
      </c>
      <c r="Q15" s="754" t="s">
        <v>26</v>
      </c>
      <c r="R15" s="759" t="s">
        <v>1681</v>
      </c>
      <c r="S15" s="522" t="s">
        <v>1604</v>
      </c>
      <c r="T15" s="755" t="s">
        <v>29</v>
      </c>
    </row>
    <row r="16" spans="1:20" s="153" customFormat="1" ht="16" x14ac:dyDescent="0.2">
      <c r="A16" s="765"/>
      <c r="B16" s="767"/>
      <c r="C16" s="768"/>
      <c r="D16" s="148">
        <v>20</v>
      </c>
      <c r="E16" s="148">
        <v>40</v>
      </c>
      <c r="F16" s="769"/>
      <c r="G16" s="768"/>
      <c r="H16" s="768"/>
      <c r="I16" s="769"/>
      <c r="J16" s="769"/>
      <c r="K16" s="769"/>
      <c r="L16" s="753"/>
      <c r="M16" s="754"/>
      <c r="N16" s="500"/>
      <c r="O16" s="760"/>
      <c r="P16" s="762"/>
      <c r="Q16" s="754"/>
      <c r="R16" s="760"/>
      <c r="S16" s="500"/>
      <c r="T16" s="756"/>
    </row>
    <row r="17" spans="1:20" s="190" customFormat="1" ht="32.25" customHeight="1" x14ac:dyDescent="0.2">
      <c r="A17" s="446">
        <f t="shared" ref="A17:A70" si="0">ROW()-16</f>
        <v>1</v>
      </c>
      <c r="B17" s="163">
        <v>45987</v>
      </c>
      <c r="C17" s="447" t="s">
        <v>994</v>
      </c>
      <c r="D17" s="447"/>
      <c r="E17" s="447">
        <v>1</v>
      </c>
      <c r="F17" s="701" t="s">
        <v>995</v>
      </c>
      <c r="G17" s="457" t="s">
        <v>210</v>
      </c>
      <c r="H17" s="457" t="s">
        <v>298</v>
      </c>
      <c r="I17" s="449" t="s">
        <v>299</v>
      </c>
      <c r="J17" s="457" t="s">
        <v>617</v>
      </c>
      <c r="K17" s="449" t="s">
        <v>732</v>
      </c>
      <c r="L17" s="450" t="s">
        <v>996</v>
      </c>
      <c r="M17" s="451">
        <v>1500000</v>
      </c>
      <c r="N17" s="671"/>
      <c r="O17" s="671"/>
      <c r="P17" s="672"/>
      <c r="Q17" s="451"/>
      <c r="R17" s="671"/>
      <c r="S17" s="639">
        <v>260000</v>
      </c>
      <c r="T17" s="642">
        <v>5300000</v>
      </c>
    </row>
    <row r="18" spans="1:20" s="190" customFormat="1" ht="32.25" customHeight="1" x14ac:dyDescent="0.2">
      <c r="A18" s="446">
        <f t="shared" si="0"/>
        <v>2</v>
      </c>
      <c r="B18" s="163">
        <v>45987</v>
      </c>
      <c r="C18" s="447" t="s">
        <v>997</v>
      </c>
      <c r="D18" s="166"/>
      <c r="E18" s="447">
        <v>1</v>
      </c>
      <c r="F18" s="453" t="s">
        <v>998</v>
      </c>
      <c r="G18" s="457" t="s">
        <v>222</v>
      </c>
      <c r="H18" s="457" t="s">
        <v>999</v>
      </c>
      <c r="I18" s="449" t="s">
        <v>200</v>
      </c>
      <c r="J18" s="449" t="s">
        <v>1000</v>
      </c>
      <c r="K18" s="449" t="s">
        <v>39</v>
      </c>
      <c r="L18" s="659">
        <v>89923</v>
      </c>
      <c r="M18" s="451">
        <v>1500000</v>
      </c>
      <c r="N18" s="671"/>
      <c r="O18" s="671"/>
      <c r="P18" s="672"/>
      <c r="Q18" s="451"/>
      <c r="R18" s="671"/>
      <c r="S18" s="671"/>
      <c r="T18" s="452">
        <v>4500000</v>
      </c>
    </row>
    <row r="19" spans="1:20" s="190" customFormat="1" ht="32.25" customHeight="1" x14ac:dyDescent="0.2">
      <c r="A19" s="446">
        <f t="shared" si="0"/>
        <v>3</v>
      </c>
      <c r="B19" s="163">
        <v>45987</v>
      </c>
      <c r="C19" s="447" t="s">
        <v>997</v>
      </c>
      <c r="D19" s="447"/>
      <c r="E19" s="447">
        <v>1</v>
      </c>
      <c r="F19" s="454" t="s">
        <v>1001</v>
      </c>
      <c r="G19" s="457" t="s">
        <v>207</v>
      </c>
      <c r="H19" s="457" t="s">
        <v>999</v>
      </c>
      <c r="I19" s="449" t="s">
        <v>200</v>
      </c>
      <c r="J19" s="449" t="s">
        <v>1000</v>
      </c>
      <c r="K19" s="449" t="s">
        <v>39</v>
      </c>
      <c r="L19" s="659">
        <v>89917</v>
      </c>
      <c r="M19" s="451">
        <v>1500000</v>
      </c>
      <c r="N19" s="671"/>
      <c r="O19" s="671"/>
      <c r="P19" s="672"/>
      <c r="Q19" s="451"/>
      <c r="R19" s="671"/>
      <c r="S19" s="671"/>
      <c r="T19" s="452">
        <v>4500000</v>
      </c>
    </row>
    <row r="20" spans="1:20" s="190" customFormat="1" ht="32.25" customHeight="1" x14ac:dyDescent="0.2">
      <c r="A20" s="446">
        <f t="shared" si="0"/>
        <v>4</v>
      </c>
      <c r="B20" s="163">
        <v>45987</v>
      </c>
      <c r="C20" s="447" t="s">
        <v>1002</v>
      </c>
      <c r="D20" s="636"/>
      <c r="E20" s="447">
        <v>1</v>
      </c>
      <c r="F20" s="448" t="s">
        <v>1003</v>
      </c>
      <c r="G20" s="457" t="s">
        <v>302</v>
      </c>
      <c r="H20" s="457" t="s">
        <v>172</v>
      </c>
      <c r="I20" s="446" t="s">
        <v>1004</v>
      </c>
      <c r="J20" s="449" t="s">
        <v>174</v>
      </c>
      <c r="K20" s="449" t="s">
        <v>39</v>
      </c>
      <c r="L20" s="659" t="s">
        <v>1005</v>
      </c>
      <c r="M20" s="451">
        <v>1470000</v>
      </c>
      <c r="N20" s="671"/>
      <c r="O20" s="671"/>
      <c r="P20" s="672"/>
      <c r="Q20" s="451"/>
      <c r="R20" s="671"/>
      <c r="S20" s="671"/>
      <c r="T20" s="452">
        <v>2700000</v>
      </c>
    </row>
    <row r="21" spans="1:20" s="190" customFormat="1" ht="32.25" customHeight="1" x14ac:dyDescent="0.2">
      <c r="A21" s="446">
        <f t="shared" si="0"/>
        <v>5</v>
      </c>
      <c r="B21" s="163">
        <v>45987</v>
      </c>
      <c r="C21" s="447" t="s">
        <v>1002</v>
      </c>
      <c r="D21" s="644"/>
      <c r="E21" s="447">
        <v>1</v>
      </c>
      <c r="F21" s="325" t="s">
        <v>1006</v>
      </c>
      <c r="G21" s="457" t="s">
        <v>368</v>
      </c>
      <c r="H21" s="457" t="s">
        <v>172</v>
      </c>
      <c r="I21" s="446" t="s">
        <v>1004</v>
      </c>
      <c r="J21" s="449" t="s">
        <v>174</v>
      </c>
      <c r="K21" s="449" t="s">
        <v>39</v>
      </c>
      <c r="L21" s="450" t="s">
        <v>1007</v>
      </c>
      <c r="M21" s="451">
        <v>1470000</v>
      </c>
      <c r="N21" s="671"/>
      <c r="O21" s="671"/>
      <c r="P21" s="672"/>
      <c r="Q21" s="451"/>
      <c r="R21" s="671"/>
      <c r="S21" s="671"/>
      <c r="T21" s="452">
        <v>2700000</v>
      </c>
    </row>
    <row r="22" spans="1:20" s="190" customFormat="1" ht="32.25" customHeight="1" x14ac:dyDescent="0.2">
      <c r="A22" s="446">
        <f t="shared" si="0"/>
        <v>6</v>
      </c>
      <c r="B22" s="163">
        <v>45987</v>
      </c>
      <c r="C22" s="447" t="s">
        <v>1002</v>
      </c>
      <c r="D22" s="455"/>
      <c r="E22" s="447">
        <v>1</v>
      </c>
      <c r="F22" s="454" t="s">
        <v>1008</v>
      </c>
      <c r="G22" s="457" t="s">
        <v>219</v>
      </c>
      <c r="H22" s="457" t="s">
        <v>172</v>
      </c>
      <c r="I22" s="446" t="s">
        <v>1004</v>
      </c>
      <c r="J22" s="449" t="s">
        <v>174</v>
      </c>
      <c r="K22" s="449" t="s">
        <v>39</v>
      </c>
      <c r="L22" s="450" t="s">
        <v>1009</v>
      </c>
      <c r="M22" s="451">
        <v>1470000</v>
      </c>
      <c r="N22" s="671"/>
      <c r="O22" s="671"/>
      <c r="P22" s="672"/>
      <c r="Q22" s="451"/>
      <c r="R22" s="671"/>
      <c r="S22" s="671"/>
      <c r="T22" s="452">
        <v>2700000</v>
      </c>
    </row>
    <row r="23" spans="1:20" s="190" customFormat="1" ht="32.25" customHeight="1" x14ac:dyDescent="0.2">
      <c r="A23" s="446">
        <f t="shared" si="0"/>
        <v>7</v>
      </c>
      <c r="B23" s="163">
        <v>45987</v>
      </c>
      <c r="C23" s="447" t="s">
        <v>1002</v>
      </c>
      <c r="D23" s="636"/>
      <c r="E23" s="447">
        <v>1</v>
      </c>
      <c r="F23" s="454" t="s">
        <v>1010</v>
      </c>
      <c r="G23" s="457" t="s">
        <v>216</v>
      </c>
      <c r="H23" s="457" t="s">
        <v>172</v>
      </c>
      <c r="I23" s="446" t="s">
        <v>1004</v>
      </c>
      <c r="J23" s="449" t="s">
        <v>174</v>
      </c>
      <c r="K23" s="449" t="s">
        <v>39</v>
      </c>
      <c r="L23" s="450" t="s">
        <v>1011</v>
      </c>
      <c r="M23" s="451">
        <v>1470000</v>
      </c>
      <c r="N23" s="671"/>
      <c r="O23" s="671"/>
      <c r="P23" s="672"/>
      <c r="Q23" s="451"/>
      <c r="R23" s="671"/>
      <c r="S23" s="671"/>
      <c r="T23" s="452">
        <v>2700000</v>
      </c>
    </row>
    <row r="24" spans="1:20" s="190" customFormat="1" ht="32.25" customHeight="1" x14ac:dyDescent="0.2">
      <c r="A24" s="446">
        <f t="shared" si="0"/>
        <v>8</v>
      </c>
      <c r="B24" s="163">
        <v>45987</v>
      </c>
      <c r="C24" s="455" t="s">
        <v>1012</v>
      </c>
      <c r="D24" s="636"/>
      <c r="E24" s="447">
        <v>1</v>
      </c>
      <c r="F24" s="453" t="s">
        <v>1013</v>
      </c>
      <c r="G24" s="457" t="s">
        <v>354</v>
      </c>
      <c r="H24" s="457" t="s">
        <v>1014</v>
      </c>
      <c r="I24" s="446" t="s">
        <v>1015</v>
      </c>
      <c r="J24" s="449" t="s">
        <v>39</v>
      </c>
      <c r="K24" s="468" t="s">
        <v>1016</v>
      </c>
      <c r="L24" s="450" t="s">
        <v>1017</v>
      </c>
      <c r="M24" s="451">
        <v>1500000</v>
      </c>
      <c r="N24" s="671"/>
      <c r="O24" s="671"/>
      <c r="P24" s="672"/>
      <c r="Q24" s="451"/>
      <c r="R24" s="671"/>
      <c r="S24" s="671"/>
      <c r="T24" s="452">
        <v>7500000</v>
      </c>
    </row>
    <row r="25" spans="1:20" s="190" customFormat="1" ht="32.25" customHeight="1" x14ac:dyDescent="0.2">
      <c r="A25" s="446">
        <f t="shared" si="0"/>
        <v>9</v>
      </c>
      <c r="B25" s="163">
        <v>45988</v>
      </c>
      <c r="C25" s="455" t="s">
        <v>1002</v>
      </c>
      <c r="D25" s="636"/>
      <c r="E25" s="447">
        <v>1</v>
      </c>
      <c r="F25" s="453" t="s">
        <v>1018</v>
      </c>
      <c r="G25" s="457" t="s">
        <v>308</v>
      </c>
      <c r="H25" s="457" t="s">
        <v>172</v>
      </c>
      <c r="I25" s="446" t="s">
        <v>1004</v>
      </c>
      <c r="J25" s="449" t="s">
        <v>174</v>
      </c>
      <c r="K25" s="449" t="s">
        <v>39</v>
      </c>
      <c r="L25" s="450" t="s">
        <v>1678</v>
      </c>
      <c r="M25" s="451">
        <v>1500000</v>
      </c>
      <c r="N25" s="639"/>
      <c r="O25" s="639">
        <v>453600</v>
      </c>
      <c r="P25" s="672">
        <v>16186</v>
      </c>
      <c r="Q25" s="451"/>
      <c r="R25" s="671"/>
      <c r="S25" s="671"/>
      <c r="T25" s="452">
        <v>2700000</v>
      </c>
    </row>
    <row r="26" spans="1:20" s="190" customFormat="1" ht="32.25" customHeight="1" x14ac:dyDescent="0.2">
      <c r="A26" s="446">
        <f t="shared" si="0"/>
        <v>10</v>
      </c>
      <c r="B26" s="163">
        <v>45988</v>
      </c>
      <c r="C26" s="455" t="s">
        <v>1019</v>
      </c>
      <c r="D26" s="636"/>
      <c r="E26" s="447">
        <v>1</v>
      </c>
      <c r="F26" s="453" t="s">
        <v>1020</v>
      </c>
      <c r="G26" s="457" t="s">
        <v>290</v>
      </c>
      <c r="H26" s="457" t="s">
        <v>486</v>
      </c>
      <c r="I26" s="446" t="s">
        <v>256</v>
      </c>
      <c r="J26" s="449" t="s">
        <v>39</v>
      </c>
      <c r="K26" s="468" t="s">
        <v>174</v>
      </c>
      <c r="L26" s="450" t="s">
        <v>1021</v>
      </c>
      <c r="M26" s="451">
        <v>1500000</v>
      </c>
      <c r="N26" s="671"/>
      <c r="O26" s="671"/>
      <c r="P26" s="672"/>
      <c r="Q26" s="451"/>
      <c r="R26" s="671"/>
      <c r="S26" s="671"/>
      <c r="T26" s="452">
        <v>4500000</v>
      </c>
    </row>
    <row r="27" spans="1:20" s="190" customFormat="1" ht="32.25" customHeight="1" x14ac:dyDescent="0.2">
      <c r="A27" s="446">
        <f t="shared" si="0"/>
        <v>11</v>
      </c>
      <c r="B27" s="163">
        <v>45988</v>
      </c>
      <c r="C27" s="455" t="s">
        <v>1022</v>
      </c>
      <c r="D27" s="636"/>
      <c r="E27" s="447">
        <v>1</v>
      </c>
      <c r="F27" s="453" t="s">
        <v>1023</v>
      </c>
      <c r="G27" s="457" t="s">
        <v>927</v>
      </c>
      <c r="H27" s="457" t="s">
        <v>298</v>
      </c>
      <c r="I27" s="449" t="s">
        <v>299</v>
      </c>
      <c r="J27" s="449" t="s">
        <v>39</v>
      </c>
      <c r="K27" s="468" t="s">
        <v>174</v>
      </c>
      <c r="L27" s="450" t="s">
        <v>1024</v>
      </c>
      <c r="M27" s="451">
        <v>1500000</v>
      </c>
      <c r="N27" s="671"/>
      <c r="O27" s="671"/>
      <c r="P27" s="672"/>
      <c r="Q27" s="451"/>
      <c r="R27" s="671"/>
      <c r="S27" s="671"/>
      <c r="T27" s="452">
        <v>5300000</v>
      </c>
    </row>
    <row r="28" spans="1:20" s="190" customFormat="1" ht="32.25" customHeight="1" x14ac:dyDescent="0.2">
      <c r="A28" s="446">
        <f t="shared" si="0"/>
        <v>12</v>
      </c>
      <c r="B28" s="163">
        <v>45988</v>
      </c>
      <c r="C28" s="455" t="s">
        <v>1022</v>
      </c>
      <c r="D28" s="636"/>
      <c r="E28" s="447">
        <v>1</v>
      </c>
      <c r="F28" s="456" t="s">
        <v>1025</v>
      </c>
      <c r="G28" s="457" t="s">
        <v>302</v>
      </c>
      <c r="H28" s="457" t="s">
        <v>298</v>
      </c>
      <c r="I28" s="449" t="s">
        <v>299</v>
      </c>
      <c r="J28" s="449" t="s">
        <v>39</v>
      </c>
      <c r="K28" s="468" t="s">
        <v>174</v>
      </c>
      <c r="L28" s="450" t="s">
        <v>1026</v>
      </c>
      <c r="M28" s="451">
        <v>1500000</v>
      </c>
      <c r="N28" s="671"/>
      <c r="O28" s="671"/>
      <c r="P28" s="672"/>
      <c r="Q28" s="451"/>
      <c r="R28" s="671"/>
      <c r="S28" s="671"/>
      <c r="T28" s="452">
        <v>5300000</v>
      </c>
    </row>
    <row r="29" spans="1:20" s="190" customFormat="1" ht="32.25" customHeight="1" x14ac:dyDescent="0.2">
      <c r="A29" s="446">
        <f t="shared" si="0"/>
        <v>13</v>
      </c>
      <c r="B29" s="163">
        <v>45988</v>
      </c>
      <c r="C29" s="447" t="s">
        <v>1027</v>
      </c>
      <c r="D29" s="636"/>
      <c r="E29" s="447">
        <v>1</v>
      </c>
      <c r="F29" s="453" t="s">
        <v>1028</v>
      </c>
      <c r="G29" s="457" t="s">
        <v>308</v>
      </c>
      <c r="H29" s="457" t="s">
        <v>180</v>
      </c>
      <c r="I29" s="449" t="s">
        <v>181</v>
      </c>
      <c r="J29" s="449" t="s">
        <v>39</v>
      </c>
      <c r="K29" s="468" t="s">
        <v>1029</v>
      </c>
      <c r="L29" s="638" t="s">
        <v>1030</v>
      </c>
      <c r="M29" s="451">
        <v>1500000</v>
      </c>
      <c r="N29" s="671"/>
      <c r="O29" s="671"/>
      <c r="P29" s="672"/>
      <c r="Q29" s="451"/>
      <c r="R29" s="671"/>
      <c r="S29" s="671"/>
      <c r="T29" s="452">
        <v>4500000</v>
      </c>
    </row>
    <row r="30" spans="1:20" s="190" customFormat="1" ht="32.25" customHeight="1" x14ac:dyDescent="0.2">
      <c r="A30" s="446">
        <f t="shared" si="0"/>
        <v>14</v>
      </c>
      <c r="B30" s="163">
        <v>45988</v>
      </c>
      <c r="C30" s="447" t="s">
        <v>1027</v>
      </c>
      <c r="D30" s="166"/>
      <c r="E30" s="447">
        <v>1</v>
      </c>
      <c r="F30" s="152" t="s">
        <v>1031</v>
      </c>
      <c r="G30" s="457" t="s">
        <v>335</v>
      </c>
      <c r="H30" s="457" t="s">
        <v>180</v>
      </c>
      <c r="I30" s="449" t="s">
        <v>181</v>
      </c>
      <c r="J30" s="449" t="s">
        <v>39</v>
      </c>
      <c r="K30" s="468" t="s">
        <v>1029</v>
      </c>
      <c r="L30" s="450" t="s">
        <v>1032</v>
      </c>
      <c r="M30" s="451">
        <v>1500000</v>
      </c>
      <c r="N30" s="671"/>
      <c r="O30" s="671"/>
      <c r="P30" s="672"/>
      <c r="Q30" s="451"/>
      <c r="R30" s="671"/>
      <c r="S30" s="671"/>
      <c r="T30" s="452">
        <v>4500000</v>
      </c>
    </row>
    <row r="31" spans="1:20" s="190" customFormat="1" ht="32.25" customHeight="1" x14ac:dyDescent="0.2">
      <c r="A31" s="446">
        <f t="shared" si="0"/>
        <v>15</v>
      </c>
      <c r="B31" s="163">
        <v>45988</v>
      </c>
      <c r="C31" s="447" t="s">
        <v>1033</v>
      </c>
      <c r="D31" s="166"/>
      <c r="E31" s="447">
        <v>1</v>
      </c>
      <c r="F31" s="453" t="s">
        <v>1034</v>
      </c>
      <c r="G31" s="457" t="s">
        <v>225</v>
      </c>
      <c r="H31" s="457" t="s">
        <v>180</v>
      </c>
      <c r="I31" s="449" t="s">
        <v>181</v>
      </c>
      <c r="J31" s="449" t="s">
        <v>537</v>
      </c>
      <c r="K31" s="468" t="s">
        <v>39</v>
      </c>
      <c r="L31" s="450" t="s">
        <v>1035</v>
      </c>
      <c r="M31" s="451">
        <v>1512000</v>
      </c>
      <c r="N31" s="671"/>
      <c r="O31" s="671"/>
      <c r="P31" s="672"/>
      <c r="Q31" s="451"/>
      <c r="R31" s="671"/>
      <c r="S31" s="671"/>
      <c r="T31" s="452">
        <v>4500000</v>
      </c>
    </row>
    <row r="32" spans="1:20" s="190" customFormat="1" ht="32.25" customHeight="1" x14ac:dyDescent="0.2">
      <c r="A32" s="446">
        <f t="shared" si="0"/>
        <v>16</v>
      </c>
      <c r="B32" s="163">
        <v>45988</v>
      </c>
      <c r="C32" s="157" t="s">
        <v>1036</v>
      </c>
      <c r="D32" s="166"/>
      <c r="E32" s="447">
        <v>1</v>
      </c>
      <c r="F32" s="453" t="s">
        <v>1037</v>
      </c>
      <c r="G32" s="457" t="s">
        <v>194</v>
      </c>
      <c r="H32" s="457" t="s">
        <v>999</v>
      </c>
      <c r="I32" s="449" t="s">
        <v>200</v>
      </c>
      <c r="J32" s="449" t="s">
        <v>853</v>
      </c>
      <c r="K32" s="468" t="s">
        <v>39</v>
      </c>
      <c r="L32" s="450" t="s">
        <v>1038</v>
      </c>
      <c r="M32" s="451">
        <v>1512000</v>
      </c>
      <c r="N32" s="671"/>
      <c r="O32" s="671"/>
      <c r="P32" s="672"/>
      <c r="Q32" s="451"/>
      <c r="R32" s="671"/>
      <c r="S32" s="671"/>
      <c r="T32" s="452">
        <v>4500000</v>
      </c>
    </row>
    <row r="33" spans="1:20" s="190" customFormat="1" ht="32.25" customHeight="1" x14ac:dyDescent="0.2">
      <c r="A33" s="446">
        <f t="shared" si="0"/>
        <v>17</v>
      </c>
      <c r="B33" s="163">
        <v>45988</v>
      </c>
      <c r="C33" s="157" t="s">
        <v>1036</v>
      </c>
      <c r="D33" s="166"/>
      <c r="E33" s="447">
        <v>1</v>
      </c>
      <c r="F33" s="453" t="s">
        <v>1039</v>
      </c>
      <c r="G33" s="457" t="s">
        <v>210</v>
      </c>
      <c r="H33" s="457" t="s">
        <v>999</v>
      </c>
      <c r="I33" s="449" t="s">
        <v>200</v>
      </c>
      <c r="J33" s="449" t="s">
        <v>853</v>
      </c>
      <c r="K33" s="468" t="s">
        <v>39</v>
      </c>
      <c r="L33" s="450" t="s">
        <v>1040</v>
      </c>
      <c r="M33" s="451">
        <v>1512000</v>
      </c>
      <c r="N33" s="671"/>
      <c r="O33" s="671"/>
      <c r="P33" s="672"/>
      <c r="Q33" s="451"/>
      <c r="R33" s="671"/>
      <c r="S33" s="671"/>
      <c r="T33" s="452">
        <v>4500000</v>
      </c>
    </row>
    <row r="34" spans="1:20" s="190" customFormat="1" ht="32.25" customHeight="1" x14ac:dyDescent="0.2">
      <c r="A34" s="446">
        <f t="shared" si="0"/>
        <v>18</v>
      </c>
      <c r="B34" s="163">
        <v>45988</v>
      </c>
      <c r="C34" s="157" t="s">
        <v>1036</v>
      </c>
      <c r="D34" s="166"/>
      <c r="E34" s="447">
        <v>1</v>
      </c>
      <c r="F34" s="453" t="s">
        <v>1041</v>
      </c>
      <c r="G34" s="457" t="s">
        <v>207</v>
      </c>
      <c r="H34" s="457" t="s">
        <v>999</v>
      </c>
      <c r="I34" s="449" t="s">
        <v>200</v>
      </c>
      <c r="J34" s="449" t="s">
        <v>853</v>
      </c>
      <c r="K34" s="468" t="s">
        <v>39</v>
      </c>
      <c r="L34" s="450" t="s">
        <v>1042</v>
      </c>
      <c r="M34" s="451">
        <v>1512000</v>
      </c>
      <c r="N34" s="671"/>
      <c r="O34" s="671"/>
      <c r="P34" s="672"/>
      <c r="Q34" s="451"/>
      <c r="R34" s="671"/>
      <c r="S34" s="671"/>
      <c r="T34" s="452">
        <v>4500000</v>
      </c>
    </row>
    <row r="35" spans="1:20" s="190" customFormat="1" ht="32.25" customHeight="1" x14ac:dyDescent="0.2">
      <c r="A35" s="446">
        <f t="shared" si="0"/>
        <v>19</v>
      </c>
      <c r="B35" s="163">
        <v>45988</v>
      </c>
      <c r="C35" s="157" t="s">
        <v>1036</v>
      </c>
      <c r="D35" s="166"/>
      <c r="E35" s="447">
        <v>1</v>
      </c>
      <c r="F35" s="453" t="s">
        <v>1043</v>
      </c>
      <c r="G35" s="457" t="s">
        <v>222</v>
      </c>
      <c r="H35" s="457" t="s">
        <v>999</v>
      </c>
      <c r="I35" s="449" t="s">
        <v>200</v>
      </c>
      <c r="J35" s="449" t="s">
        <v>853</v>
      </c>
      <c r="K35" s="468" t="s">
        <v>39</v>
      </c>
      <c r="L35" s="450" t="s">
        <v>1044</v>
      </c>
      <c r="M35" s="451">
        <v>1512000</v>
      </c>
      <c r="N35" s="671"/>
      <c r="O35" s="671"/>
      <c r="P35" s="672"/>
      <c r="Q35" s="451"/>
      <c r="R35" s="671"/>
      <c r="S35" s="671"/>
      <c r="T35" s="452">
        <v>4500000</v>
      </c>
    </row>
    <row r="36" spans="1:20" s="190" customFormat="1" ht="32.25" customHeight="1" x14ac:dyDescent="0.2">
      <c r="A36" s="446">
        <f t="shared" si="0"/>
        <v>20</v>
      </c>
      <c r="B36" s="163">
        <v>45988</v>
      </c>
      <c r="C36" s="157" t="s">
        <v>1036</v>
      </c>
      <c r="D36" s="166"/>
      <c r="E36" s="447">
        <v>1</v>
      </c>
      <c r="F36" s="456" t="s">
        <v>1045</v>
      </c>
      <c r="G36" s="457" t="s">
        <v>204</v>
      </c>
      <c r="H36" s="457" t="s">
        <v>999</v>
      </c>
      <c r="I36" s="449" t="s">
        <v>200</v>
      </c>
      <c r="J36" s="449" t="s">
        <v>853</v>
      </c>
      <c r="K36" s="468" t="s">
        <v>39</v>
      </c>
      <c r="L36" s="450" t="s">
        <v>1046</v>
      </c>
      <c r="M36" s="451">
        <v>1512000</v>
      </c>
      <c r="N36" s="671"/>
      <c r="O36" s="671"/>
      <c r="P36" s="672"/>
      <c r="Q36" s="451"/>
      <c r="R36" s="671"/>
      <c r="S36" s="671"/>
      <c r="T36" s="452">
        <v>4500000</v>
      </c>
    </row>
    <row r="37" spans="1:20" s="190" customFormat="1" ht="32.25" customHeight="1" x14ac:dyDescent="0.2">
      <c r="A37" s="446">
        <f t="shared" si="0"/>
        <v>21</v>
      </c>
      <c r="B37" s="163">
        <v>45989</v>
      </c>
      <c r="C37" s="157" t="s">
        <v>1022</v>
      </c>
      <c r="D37" s="166"/>
      <c r="E37" s="447">
        <v>1</v>
      </c>
      <c r="F37" s="152" t="s">
        <v>1047</v>
      </c>
      <c r="G37" s="457" t="s">
        <v>943</v>
      </c>
      <c r="H37" s="457" t="s">
        <v>1048</v>
      </c>
      <c r="I37" s="449" t="s">
        <v>1049</v>
      </c>
      <c r="J37" s="468" t="s">
        <v>39</v>
      </c>
      <c r="K37" s="457" t="s">
        <v>683</v>
      </c>
      <c r="L37" s="450" t="s">
        <v>1050</v>
      </c>
      <c r="M37" s="451">
        <v>1500000</v>
      </c>
      <c r="N37" s="671"/>
      <c r="O37" s="671"/>
      <c r="P37" s="672"/>
      <c r="Q37" s="451"/>
      <c r="R37" s="671"/>
      <c r="S37" s="671"/>
      <c r="T37" s="452">
        <v>3100000</v>
      </c>
    </row>
    <row r="38" spans="1:20" s="190" customFormat="1" ht="32.25" customHeight="1" x14ac:dyDescent="0.2">
      <c r="A38" s="446">
        <f t="shared" si="0"/>
        <v>22</v>
      </c>
      <c r="B38" s="163">
        <v>45989</v>
      </c>
      <c r="C38" s="157" t="s">
        <v>1022</v>
      </c>
      <c r="D38" s="166"/>
      <c r="E38" s="447">
        <v>1</v>
      </c>
      <c r="F38" s="458" t="s">
        <v>1051</v>
      </c>
      <c r="G38" s="457" t="s">
        <v>210</v>
      </c>
      <c r="H38" s="457" t="s">
        <v>1048</v>
      </c>
      <c r="I38" s="449" t="s">
        <v>1049</v>
      </c>
      <c r="J38" s="468" t="s">
        <v>39</v>
      </c>
      <c r="K38" s="470" t="s">
        <v>683</v>
      </c>
      <c r="L38" s="450" t="s">
        <v>1052</v>
      </c>
      <c r="M38" s="451">
        <v>1500000</v>
      </c>
      <c r="N38" s="671"/>
      <c r="O38" s="671"/>
      <c r="P38" s="672"/>
      <c r="Q38" s="451"/>
      <c r="R38" s="671"/>
      <c r="S38" s="671"/>
      <c r="T38" s="452">
        <v>3100000</v>
      </c>
    </row>
    <row r="39" spans="1:20" s="190" customFormat="1" ht="32.25" customHeight="1" x14ac:dyDescent="0.2">
      <c r="A39" s="446">
        <f t="shared" si="0"/>
        <v>23</v>
      </c>
      <c r="B39" s="163">
        <v>45989</v>
      </c>
      <c r="C39" s="157" t="s">
        <v>1053</v>
      </c>
      <c r="D39" s="702"/>
      <c r="E39" s="447">
        <v>1</v>
      </c>
      <c r="F39" s="458" t="s">
        <v>1054</v>
      </c>
      <c r="G39" s="457" t="s">
        <v>207</v>
      </c>
      <c r="H39" s="457" t="s">
        <v>1055</v>
      </c>
      <c r="I39" s="446" t="s">
        <v>1056</v>
      </c>
      <c r="J39" s="468" t="s">
        <v>39</v>
      </c>
      <c r="K39" s="449" t="s">
        <v>461</v>
      </c>
      <c r="L39" s="638" t="s">
        <v>1057</v>
      </c>
      <c r="M39" s="451">
        <v>1500000</v>
      </c>
      <c r="N39" s="671"/>
      <c r="O39" s="671"/>
      <c r="P39" s="672"/>
      <c r="Q39" s="451"/>
      <c r="R39" s="671"/>
      <c r="S39" s="671"/>
      <c r="T39" s="452">
        <v>4000000</v>
      </c>
    </row>
    <row r="40" spans="1:20" s="190" customFormat="1" ht="32.25" customHeight="1" x14ac:dyDescent="0.2">
      <c r="A40" s="446">
        <f t="shared" si="0"/>
        <v>24</v>
      </c>
      <c r="B40" s="163">
        <v>45989</v>
      </c>
      <c r="C40" s="157" t="s">
        <v>1053</v>
      </c>
      <c r="D40" s="702"/>
      <c r="E40" s="447">
        <v>1</v>
      </c>
      <c r="F40" s="458" t="s">
        <v>1058</v>
      </c>
      <c r="G40" s="457" t="s">
        <v>191</v>
      </c>
      <c r="H40" s="457" t="s">
        <v>1055</v>
      </c>
      <c r="I40" s="446" t="s">
        <v>1056</v>
      </c>
      <c r="J40" s="468" t="s">
        <v>39</v>
      </c>
      <c r="K40" s="449" t="s">
        <v>461</v>
      </c>
      <c r="L40" s="450" t="s">
        <v>1059</v>
      </c>
      <c r="M40" s="451">
        <v>1500000</v>
      </c>
      <c r="N40" s="671"/>
      <c r="O40" s="671"/>
      <c r="P40" s="672"/>
      <c r="Q40" s="451"/>
      <c r="R40" s="671"/>
      <c r="S40" s="671"/>
      <c r="T40" s="452">
        <v>4000000</v>
      </c>
    </row>
    <row r="41" spans="1:20" s="190" customFormat="1" ht="32.25" customHeight="1" x14ac:dyDescent="0.2">
      <c r="A41" s="446">
        <f t="shared" si="0"/>
        <v>25</v>
      </c>
      <c r="B41" s="163">
        <v>45989</v>
      </c>
      <c r="C41" s="157" t="s">
        <v>1053</v>
      </c>
      <c r="D41" s="702"/>
      <c r="E41" s="459">
        <v>1</v>
      </c>
      <c r="F41" s="183" t="s">
        <v>1060</v>
      </c>
      <c r="G41" s="457" t="s">
        <v>216</v>
      </c>
      <c r="H41" s="457" t="s">
        <v>1055</v>
      </c>
      <c r="I41" s="446" t="s">
        <v>1056</v>
      </c>
      <c r="J41" s="468" t="s">
        <v>39</v>
      </c>
      <c r="K41" s="449" t="s">
        <v>461</v>
      </c>
      <c r="L41" s="450" t="s">
        <v>1061</v>
      </c>
      <c r="M41" s="451">
        <v>1500000</v>
      </c>
      <c r="N41" s="671"/>
      <c r="O41" s="671"/>
      <c r="P41" s="672"/>
      <c r="Q41" s="451"/>
      <c r="R41" s="671"/>
      <c r="S41" s="671"/>
      <c r="T41" s="452">
        <v>4000000</v>
      </c>
    </row>
    <row r="42" spans="1:20" s="190" customFormat="1" ht="32.25" customHeight="1" x14ac:dyDescent="0.2">
      <c r="A42" s="446">
        <f t="shared" si="0"/>
        <v>26</v>
      </c>
      <c r="B42" s="163">
        <v>45989</v>
      </c>
      <c r="C42" s="157" t="s">
        <v>1053</v>
      </c>
      <c r="D42" s="460"/>
      <c r="E42" s="459">
        <v>1</v>
      </c>
      <c r="F42" s="458" t="s">
        <v>1062</v>
      </c>
      <c r="G42" s="457" t="s">
        <v>222</v>
      </c>
      <c r="H42" s="457" t="s">
        <v>1055</v>
      </c>
      <c r="I42" s="446" t="s">
        <v>1056</v>
      </c>
      <c r="J42" s="468" t="s">
        <v>39</v>
      </c>
      <c r="K42" s="449" t="s">
        <v>461</v>
      </c>
      <c r="L42" s="450" t="s">
        <v>1063</v>
      </c>
      <c r="M42" s="451">
        <v>1500000</v>
      </c>
      <c r="N42" s="671"/>
      <c r="O42" s="671"/>
      <c r="P42" s="672"/>
      <c r="Q42" s="451"/>
      <c r="R42" s="671"/>
      <c r="S42" s="671"/>
      <c r="T42" s="452">
        <v>4000000</v>
      </c>
    </row>
    <row r="43" spans="1:20" s="190" customFormat="1" ht="32.25" customHeight="1" x14ac:dyDescent="0.2">
      <c r="A43" s="446">
        <f t="shared" si="0"/>
        <v>27</v>
      </c>
      <c r="B43" s="163">
        <v>45989</v>
      </c>
      <c r="C43" s="157" t="s">
        <v>1053</v>
      </c>
      <c r="D43" s="702"/>
      <c r="E43" s="459">
        <v>1</v>
      </c>
      <c r="F43" s="458" t="s">
        <v>1064</v>
      </c>
      <c r="G43" s="457" t="s">
        <v>207</v>
      </c>
      <c r="H43" s="457" t="s">
        <v>1055</v>
      </c>
      <c r="I43" s="446" t="s">
        <v>1056</v>
      </c>
      <c r="J43" s="468" t="s">
        <v>39</v>
      </c>
      <c r="K43" s="449" t="s">
        <v>461</v>
      </c>
      <c r="L43" s="450" t="s">
        <v>1065</v>
      </c>
      <c r="M43" s="451">
        <v>1500000</v>
      </c>
      <c r="N43" s="671"/>
      <c r="O43" s="671"/>
      <c r="P43" s="672"/>
      <c r="Q43" s="451"/>
      <c r="R43" s="671"/>
      <c r="S43" s="671"/>
      <c r="T43" s="452">
        <v>4000000</v>
      </c>
    </row>
    <row r="44" spans="1:20" s="190" customFormat="1" ht="32.25" customHeight="1" x14ac:dyDescent="0.2">
      <c r="A44" s="446">
        <f t="shared" si="0"/>
        <v>28</v>
      </c>
      <c r="B44" s="163">
        <v>45989</v>
      </c>
      <c r="C44" s="157" t="s">
        <v>1053</v>
      </c>
      <c r="D44" s="702"/>
      <c r="E44" s="459">
        <v>1</v>
      </c>
      <c r="F44" s="458" t="s">
        <v>1066</v>
      </c>
      <c r="G44" s="457" t="s">
        <v>335</v>
      </c>
      <c r="H44" s="457" t="s">
        <v>1055</v>
      </c>
      <c r="I44" s="446" t="s">
        <v>1056</v>
      </c>
      <c r="J44" s="468" t="s">
        <v>39</v>
      </c>
      <c r="K44" s="449" t="s">
        <v>461</v>
      </c>
      <c r="L44" s="450" t="s">
        <v>1067</v>
      </c>
      <c r="M44" s="451">
        <v>1500000</v>
      </c>
      <c r="N44" s="671"/>
      <c r="O44" s="671"/>
      <c r="P44" s="672"/>
      <c r="Q44" s="451"/>
      <c r="R44" s="671"/>
      <c r="S44" s="671"/>
      <c r="T44" s="452">
        <v>4000000</v>
      </c>
    </row>
    <row r="45" spans="1:20" s="190" customFormat="1" ht="32.25" customHeight="1" x14ac:dyDescent="0.2">
      <c r="A45" s="446">
        <f t="shared" si="0"/>
        <v>29</v>
      </c>
      <c r="B45" s="163">
        <v>45990</v>
      </c>
      <c r="C45" s="157" t="s">
        <v>1022</v>
      </c>
      <c r="D45" s="702"/>
      <c r="E45" s="459">
        <v>1</v>
      </c>
      <c r="F45" s="458" t="s">
        <v>1068</v>
      </c>
      <c r="G45" s="457" t="s">
        <v>308</v>
      </c>
      <c r="H45" s="457" t="s">
        <v>298</v>
      </c>
      <c r="I45" s="449" t="s">
        <v>299</v>
      </c>
      <c r="J45" s="468" t="s">
        <v>39</v>
      </c>
      <c r="K45" s="449" t="s">
        <v>683</v>
      </c>
      <c r="L45" s="450" t="s">
        <v>1069</v>
      </c>
      <c r="M45" s="451">
        <v>1500000</v>
      </c>
      <c r="N45" s="671"/>
      <c r="O45" s="671"/>
      <c r="P45" s="672"/>
      <c r="Q45" s="451"/>
      <c r="R45" s="671"/>
      <c r="S45" s="671"/>
      <c r="T45" s="452">
        <v>5300000</v>
      </c>
    </row>
    <row r="46" spans="1:20" s="190" customFormat="1" ht="32.25" customHeight="1" x14ac:dyDescent="0.2">
      <c r="A46" s="446">
        <f t="shared" si="0"/>
        <v>30</v>
      </c>
      <c r="B46" s="163">
        <v>45990</v>
      </c>
      <c r="C46" s="157" t="s">
        <v>1070</v>
      </c>
      <c r="D46" s="702"/>
      <c r="E46" s="459">
        <v>1</v>
      </c>
      <c r="F46" s="183" t="s">
        <v>1071</v>
      </c>
      <c r="G46" s="457" t="s">
        <v>207</v>
      </c>
      <c r="H46" s="457" t="s">
        <v>298</v>
      </c>
      <c r="I46" s="449" t="s">
        <v>608</v>
      </c>
      <c r="J46" s="468" t="s">
        <v>39</v>
      </c>
      <c r="K46" s="449" t="s">
        <v>433</v>
      </c>
      <c r="L46" s="450" t="s">
        <v>1072</v>
      </c>
      <c r="M46" s="451">
        <v>1500000</v>
      </c>
      <c r="N46" s="671"/>
      <c r="O46" s="671"/>
      <c r="P46" s="672"/>
      <c r="Q46" s="451"/>
      <c r="R46" s="671"/>
      <c r="S46" s="671"/>
      <c r="T46" s="452">
        <v>5300000</v>
      </c>
    </row>
    <row r="47" spans="1:20" s="190" customFormat="1" ht="32.25" customHeight="1" x14ac:dyDescent="0.2">
      <c r="A47" s="446">
        <f t="shared" si="0"/>
        <v>31</v>
      </c>
      <c r="B47" s="163">
        <v>45990</v>
      </c>
      <c r="C47" s="157" t="s">
        <v>1070</v>
      </c>
      <c r="D47" s="176"/>
      <c r="E47" s="461">
        <v>1</v>
      </c>
      <c r="F47" s="458" t="s">
        <v>1073</v>
      </c>
      <c r="G47" s="457" t="s">
        <v>198</v>
      </c>
      <c r="H47" s="457" t="s">
        <v>298</v>
      </c>
      <c r="I47" s="449" t="s">
        <v>608</v>
      </c>
      <c r="J47" s="468" t="s">
        <v>39</v>
      </c>
      <c r="K47" s="449" t="s">
        <v>433</v>
      </c>
      <c r="L47" s="450" t="s">
        <v>1074</v>
      </c>
      <c r="M47" s="451">
        <v>1500000</v>
      </c>
      <c r="N47" s="671"/>
      <c r="O47" s="671"/>
      <c r="P47" s="672"/>
      <c r="Q47" s="451"/>
      <c r="R47" s="671"/>
      <c r="S47" s="671"/>
      <c r="T47" s="452">
        <v>5300000</v>
      </c>
    </row>
    <row r="48" spans="1:20" s="190" customFormat="1" ht="32.25" customHeight="1" x14ac:dyDescent="0.2">
      <c r="A48" s="446">
        <f t="shared" si="0"/>
        <v>32</v>
      </c>
      <c r="B48" s="163">
        <v>45990</v>
      </c>
      <c r="C48" s="157" t="s">
        <v>1070</v>
      </c>
      <c r="D48" s="166"/>
      <c r="E48" s="461">
        <v>1</v>
      </c>
      <c r="F48" s="458" t="s">
        <v>1075</v>
      </c>
      <c r="G48" s="457" t="s">
        <v>305</v>
      </c>
      <c r="H48" s="457" t="s">
        <v>298</v>
      </c>
      <c r="I48" s="449" t="s">
        <v>608</v>
      </c>
      <c r="J48" s="468" t="s">
        <v>39</v>
      </c>
      <c r="K48" s="449" t="s">
        <v>433</v>
      </c>
      <c r="L48" s="450" t="s">
        <v>1076</v>
      </c>
      <c r="M48" s="451">
        <v>1500000</v>
      </c>
      <c r="N48" s="671"/>
      <c r="O48" s="671"/>
      <c r="P48" s="672"/>
      <c r="Q48" s="451"/>
      <c r="R48" s="671"/>
      <c r="S48" s="671"/>
      <c r="T48" s="452">
        <v>5300000</v>
      </c>
    </row>
    <row r="49" spans="1:20" s="190" customFormat="1" ht="32.25" customHeight="1" x14ac:dyDescent="0.2">
      <c r="A49" s="446">
        <f t="shared" si="0"/>
        <v>33</v>
      </c>
      <c r="B49" s="163">
        <v>45990</v>
      </c>
      <c r="C49" s="157" t="s">
        <v>1070</v>
      </c>
      <c r="D49" s="166"/>
      <c r="E49" s="461">
        <v>1</v>
      </c>
      <c r="F49" s="458" t="s">
        <v>1077</v>
      </c>
      <c r="G49" s="457" t="s">
        <v>341</v>
      </c>
      <c r="H49" s="457" t="s">
        <v>298</v>
      </c>
      <c r="I49" s="449" t="s">
        <v>608</v>
      </c>
      <c r="J49" s="468" t="s">
        <v>39</v>
      </c>
      <c r="K49" s="449" t="s">
        <v>433</v>
      </c>
      <c r="L49" s="450" t="s">
        <v>1078</v>
      </c>
      <c r="M49" s="451">
        <v>1500000</v>
      </c>
      <c r="N49" s="671"/>
      <c r="O49" s="671"/>
      <c r="P49" s="672"/>
      <c r="Q49" s="451"/>
      <c r="R49" s="671"/>
      <c r="S49" s="671"/>
      <c r="T49" s="452">
        <v>5300000</v>
      </c>
    </row>
    <row r="50" spans="1:20" s="190" customFormat="1" ht="32.25" customHeight="1" x14ac:dyDescent="0.2">
      <c r="A50" s="446">
        <f t="shared" si="0"/>
        <v>34</v>
      </c>
      <c r="B50" s="163">
        <v>45990</v>
      </c>
      <c r="C50" s="157" t="s">
        <v>1070</v>
      </c>
      <c r="D50" s="177"/>
      <c r="E50" s="461">
        <v>1</v>
      </c>
      <c r="F50" s="183" t="s">
        <v>1079</v>
      </c>
      <c r="G50" s="457" t="s">
        <v>213</v>
      </c>
      <c r="H50" s="457" t="s">
        <v>298</v>
      </c>
      <c r="I50" s="449" t="s">
        <v>608</v>
      </c>
      <c r="J50" s="468" t="s">
        <v>39</v>
      </c>
      <c r="K50" s="449" t="s">
        <v>433</v>
      </c>
      <c r="L50" s="450" t="s">
        <v>1080</v>
      </c>
      <c r="M50" s="451">
        <v>1500000</v>
      </c>
      <c r="N50" s="671"/>
      <c r="O50" s="671"/>
      <c r="P50" s="672"/>
      <c r="Q50" s="451"/>
      <c r="R50" s="671"/>
      <c r="S50" s="671"/>
      <c r="T50" s="452">
        <v>5300000</v>
      </c>
    </row>
    <row r="51" spans="1:20" s="190" customFormat="1" ht="32.25" customHeight="1" x14ac:dyDescent="0.2">
      <c r="A51" s="446">
        <f t="shared" si="0"/>
        <v>35</v>
      </c>
      <c r="B51" s="163">
        <v>45990</v>
      </c>
      <c r="C51" s="157" t="s">
        <v>1070</v>
      </c>
      <c r="D51" s="166"/>
      <c r="E51" s="461">
        <v>1</v>
      </c>
      <c r="F51" s="458" t="s">
        <v>1081</v>
      </c>
      <c r="G51" s="457" t="s">
        <v>194</v>
      </c>
      <c r="H51" s="457" t="s">
        <v>298</v>
      </c>
      <c r="I51" s="449" t="s">
        <v>608</v>
      </c>
      <c r="J51" s="468" t="s">
        <v>39</v>
      </c>
      <c r="K51" s="449" t="s">
        <v>433</v>
      </c>
      <c r="L51" s="450" t="s">
        <v>1082</v>
      </c>
      <c r="M51" s="451">
        <v>1500000</v>
      </c>
      <c r="N51" s="671"/>
      <c r="O51" s="671"/>
      <c r="P51" s="672"/>
      <c r="Q51" s="451"/>
      <c r="R51" s="671"/>
      <c r="S51" s="671"/>
      <c r="T51" s="452">
        <v>5300000</v>
      </c>
    </row>
    <row r="52" spans="1:20" s="190" customFormat="1" ht="32.25" customHeight="1" x14ac:dyDescent="0.2">
      <c r="A52" s="446">
        <f t="shared" si="0"/>
        <v>36</v>
      </c>
      <c r="B52" s="163">
        <v>45990</v>
      </c>
      <c r="C52" s="462" t="s">
        <v>1083</v>
      </c>
      <c r="D52" s="170"/>
      <c r="E52" s="459">
        <v>1</v>
      </c>
      <c r="F52" s="179" t="s">
        <v>1084</v>
      </c>
      <c r="G52" s="457" t="s">
        <v>349</v>
      </c>
      <c r="H52" s="463" t="s">
        <v>976</v>
      </c>
      <c r="I52" s="464" t="s">
        <v>38</v>
      </c>
      <c r="J52" s="468" t="s">
        <v>39</v>
      </c>
      <c r="K52" s="457" t="s">
        <v>1085</v>
      </c>
      <c r="L52" s="450" t="s">
        <v>1086</v>
      </c>
      <c r="M52" s="451">
        <v>1500000</v>
      </c>
      <c r="N52" s="671"/>
      <c r="O52" s="671"/>
      <c r="P52" s="672"/>
      <c r="Q52" s="451">
        <v>1500000</v>
      </c>
      <c r="R52" s="671"/>
      <c r="S52" s="671"/>
      <c r="T52" s="452">
        <v>4400000</v>
      </c>
    </row>
    <row r="53" spans="1:20" s="190" customFormat="1" ht="32.25" customHeight="1" x14ac:dyDescent="0.2">
      <c r="A53" s="446">
        <f t="shared" si="0"/>
        <v>37</v>
      </c>
      <c r="B53" s="163">
        <v>45990</v>
      </c>
      <c r="C53" s="157" t="s">
        <v>1083</v>
      </c>
      <c r="D53" s="636"/>
      <c r="E53" s="447">
        <v>1</v>
      </c>
      <c r="F53" s="458" t="s">
        <v>1087</v>
      </c>
      <c r="G53" s="457" t="s">
        <v>768</v>
      </c>
      <c r="H53" s="463" t="s">
        <v>976</v>
      </c>
      <c r="I53" s="449" t="s">
        <v>38</v>
      </c>
      <c r="J53" s="468" t="s">
        <v>39</v>
      </c>
      <c r="K53" s="457" t="s">
        <v>1085</v>
      </c>
      <c r="L53" s="450" t="s">
        <v>1088</v>
      </c>
      <c r="M53" s="451">
        <v>1500000</v>
      </c>
      <c r="N53" s="671"/>
      <c r="O53" s="671"/>
      <c r="P53" s="672"/>
      <c r="Q53" s="451">
        <v>1500000</v>
      </c>
      <c r="R53" s="671"/>
      <c r="S53" s="671"/>
      <c r="T53" s="452">
        <v>4400000</v>
      </c>
    </row>
    <row r="54" spans="1:20" s="190" customFormat="1" ht="32.25" customHeight="1" x14ac:dyDescent="0.2">
      <c r="A54" s="446">
        <f t="shared" si="0"/>
        <v>38</v>
      </c>
      <c r="B54" s="163">
        <v>45991</v>
      </c>
      <c r="C54" s="157" t="s">
        <v>1089</v>
      </c>
      <c r="D54" s="636"/>
      <c r="E54" s="447">
        <v>1</v>
      </c>
      <c r="F54" s="183" t="s">
        <v>1090</v>
      </c>
      <c r="G54" s="457" t="s">
        <v>210</v>
      </c>
      <c r="H54" s="457" t="s">
        <v>486</v>
      </c>
      <c r="I54" s="446" t="s">
        <v>256</v>
      </c>
      <c r="J54" s="468" t="s">
        <v>39</v>
      </c>
      <c r="K54" s="449" t="s">
        <v>461</v>
      </c>
      <c r="L54" s="450" t="s">
        <v>1091</v>
      </c>
      <c r="M54" s="451">
        <v>1500000</v>
      </c>
      <c r="N54" s="671"/>
      <c r="O54" s="671"/>
      <c r="P54" s="672"/>
      <c r="Q54" s="451"/>
      <c r="R54" s="671"/>
      <c r="S54" s="671"/>
      <c r="T54" s="452">
        <v>4500000</v>
      </c>
    </row>
    <row r="55" spans="1:20" s="190" customFormat="1" ht="32.25" customHeight="1" x14ac:dyDescent="0.2">
      <c r="A55" s="446">
        <f t="shared" si="0"/>
        <v>39</v>
      </c>
      <c r="B55" s="163">
        <v>45991</v>
      </c>
      <c r="C55" s="157" t="s">
        <v>1089</v>
      </c>
      <c r="D55" s="166"/>
      <c r="E55" s="447">
        <v>1</v>
      </c>
      <c r="F55" s="458" t="s">
        <v>1092</v>
      </c>
      <c r="G55" s="457" t="s">
        <v>302</v>
      </c>
      <c r="H55" s="457" t="s">
        <v>486</v>
      </c>
      <c r="I55" s="446" t="s">
        <v>256</v>
      </c>
      <c r="J55" s="468" t="s">
        <v>39</v>
      </c>
      <c r="K55" s="449" t="s">
        <v>461</v>
      </c>
      <c r="L55" s="450" t="s">
        <v>1093</v>
      </c>
      <c r="M55" s="451">
        <v>1500000</v>
      </c>
      <c r="N55" s="671"/>
      <c r="O55" s="671"/>
      <c r="P55" s="672"/>
      <c r="Q55" s="451"/>
      <c r="R55" s="671"/>
      <c r="S55" s="671"/>
      <c r="T55" s="452">
        <v>4500000</v>
      </c>
    </row>
    <row r="56" spans="1:20" s="190" customFormat="1" ht="32.25" customHeight="1" x14ac:dyDescent="0.2">
      <c r="A56" s="446">
        <f t="shared" si="0"/>
        <v>40</v>
      </c>
      <c r="B56" s="163">
        <v>45991</v>
      </c>
      <c r="C56" s="157" t="s">
        <v>1094</v>
      </c>
      <c r="D56" s="166"/>
      <c r="E56" s="447">
        <v>1</v>
      </c>
      <c r="F56" s="183" t="s">
        <v>1095</v>
      </c>
      <c r="G56" s="457" t="s">
        <v>305</v>
      </c>
      <c r="H56" s="457" t="s">
        <v>486</v>
      </c>
      <c r="I56" s="446" t="s">
        <v>256</v>
      </c>
      <c r="J56" s="468" t="s">
        <v>39</v>
      </c>
      <c r="K56" s="449" t="s">
        <v>174</v>
      </c>
      <c r="L56" s="450" t="s">
        <v>1096</v>
      </c>
      <c r="M56" s="451">
        <v>1500000</v>
      </c>
      <c r="N56" s="671"/>
      <c r="O56" s="671"/>
      <c r="P56" s="672"/>
      <c r="Q56" s="451"/>
      <c r="R56" s="671"/>
      <c r="S56" s="671"/>
      <c r="T56" s="452">
        <v>4500000</v>
      </c>
    </row>
    <row r="57" spans="1:20" s="190" customFormat="1" ht="32.25" customHeight="1" x14ac:dyDescent="0.2">
      <c r="A57" s="446">
        <f t="shared" si="0"/>
        <v>41</v>
      </c>
      <c r="B57" s="163">
        <v>45991</v>
      </c>
      <c r="C57" s="157" t="s">
        <v>1094</v>
      </c>
      <c r="D57" s="166"/>
      <c r="E57" s="447">
        <v>1</v>
      </c>
      <c r="F57" s="458" t="s">
        <v>1097</v>
      </c>
      <c r="G57" s="457" t="s">
        <v>341</v>
      </c>
      <c r="H57" s="457" t="s">
        <v>486</v>
      </c>
      <c r="I57" s="446" t="s">
        <v>256</v>
      </c>
      <c r="J57" s="468" t="s">
        <v>39</v>
      </c>
      <c r="K57" s="449" t="s">
        <v>174</v>
      </c>
      <c r="L57" s="450" t="s">
        <v>1098</v>
      </c>
      <c r="M57" s="451">
        <v>1500000</v>
      </c>
      <c r="N57" s="671"/>
      <c r="O57" s="671"/>
      <c r="P57" s="672"/>
      <c r="Q57" s="451">
        <v>1400000</v>
      </c>
      <c r="R57" s="671"/>
      <c r="S57" s="671"/>
      <c r="T57" s="452">
        <v>4500000</v>
      </c>
    </row>
    <row r="58" spans="1:20" s="190" customFormat="1" ht="32.25" customHeight="1" x14ac:dyDescent="0.2">
      <c r="A58" s="446">
        <f t="shared" si="0"/>
        <v>42</v>
      </c>
      <c r="B58" s="163">
        <v>45991</v>
      </c>
      <c r="C58" s="157" t="s">
        <v>1094</v>
      </c>
      <c r="D58" s="166"/>
      <c r="E58" s="447">
        <v>1</v>
      </c>
      <c r="F58" s="458" t="s">
        <v>1099</v>
      </c>
      <c r="G58" s="457" t="s">
        <v>194</v>
      </c>
      <c r="H58" s="457" t="s">
        <v>486</v>
      </c>
      <c r="I58" s="446" t="s">
        <v>256</v>
      </c>
      <c r="J58" s="468" t="s">
        <v>39</v>
      </c>
      <c r="K58" s="449" t="s">
        <v>174</v>
      </c>
      <c r="L58" s="450" t="s">
        <v>1100</v>
      </c>
      <c r="M58" s="451">
        <v>1500000</v>
      </c>
      <c r="N58" s="671"/>
      <c r="O58" s="671"/>
      <c r="P58" s="672"/>
      <c r="Q58" s="451"/>
      <c r="R58" s="671"/>
      <c r="S58" s="671"/>
      <c r="T58" s="452">
        <v>4500000</v>
      </c>
    </row>
    <row r="59" spans="1:20" s="190" customFormat="1" ht="32.25" customHeight="1" x14ac:dyDescent="0.2">
      <c r="A59" s="446">
        <f t="shared" si="0"/>
        <v>43</v>
      </c>
      <c r="B59" s="163">
        <v>45991</v>
      </c>
      <c r="C59" s="157" t="s">
        <v>1094</v>
      </c>
      <c r="D59" s="166"/>
      <c r="E59" s="447">
        <v>1</v>
      </c>
      <c r="F59" s="183" t="s">
        <v>1101</v>
      </c>
      <c r="G59" s="457" t="s">
        <v>213</v>
      </c>
      <c r="H59" s="457" t="s">
        <v>486</v>
      </c>
      <c r="I59" s="446" t="s">
        <v>256</v>
      </c>
      <c r="J59" s="468" t="s">
        <v>39</v>
      </c>
      <c r="K59" s="449" t="s">
        <v>174</v>
      </c>
      <c r="L59" s="450" t="s">
        <v>1102</v>
      </c>
      <c r="M59" s="451">
        <v>1500000</v>
      </c>
      <c r="N59" s="671"/>
      <c r="O59" s="671"/>
      <c r="P59" s="672"/>
      <c r="Q59" s="451"/>
      <c r="R59" s="671"/>
      <c r="S59" s="671"/>
      <c r="T59" s="452">
        <v>4500000</v>
      </c>
    </row>
    <row r="60" spans="1:20" s="190" customFormat="1" ht="32.25" customHeight="1" x14ac:dyDescent="0.2">
      <c r="A60" s="446">
        <f t="shared" si="0"/>
        <v>44</v>
      </c>
      <c r="B60" s="163">
        <v>45991</v>
      </c>
      <c r="C60" s="157" t="s">
        <v>1070</v>
      </c>
      <c r="D60" s="166"/>
      <c r="E60" s="447">
        <v>1</v>
      </c>
      <c r="F60" s="458" t="s">
        <v>1103</v>
      </c>
      <c r="G60" s="457" t="s">
        <v>368</v>
      </c>
      <c r="H60" s="457" t="s">
        <v>607</v>
      </c>
      <c r="I60" s="449" t="s">
        <v>608</v>
      </c>
      <c r="J60" s="468" t="s">
        <v>39</v>
      </c>
      <c r="K60" s="449" t="s">
        <v>433</v>
      </c>
      <c r="L60" s="450" t="s">
        <v>1104</v>
      </c>
      <c r="M60" s="451">
        <v>1500000</v>
      </c>
      <c r="N60" s="671"/>
      <c r="O60" s="671"/>
      <c r="P60" s="672"/>
      <c r="Q60" s="451"/>
      <c r="R60" s="671"/>
      <c r="S60" s="671"/>
      <c r="T60" s="452">
        <v>3300000</v>
      </c>
    </row>
    <row r="61" spans="1:20" s="190" customFormat="1" ht="32.25" customHeight="1" x14ac:dyDescent="0.2">
      <c r="A61" s="446">
        <f t="shared" si="0"/>
        <v>45</v>
      </c>
      <c r="B61" s="163">
        <v>45991</v>
      </c>
      <c r="C61" s="157" t="s">
        <v>1070</v>
      </c>
      <c r="D61" s="166"/>
      <c r="E61" s="447">
        <v>1</v>
      </c>
      <c r="F61" s="458" t="s">
        <v>1105</v>
      </c>
      <c r="G61" s="457" t="s">
        <v>222</v>
      </c>
      <c r="H61" s="457" t="s">
        <v>607</v>
      </c>
      <c r="I61" s="449" t="s">
        <v>608</v>
      </c>
      <c r="J61" s="468" t="s">
        <v>39</v>
      </c>
      <c r="K61" s="449" t="s">
        <v>433</v>
      </c>
      <c r="L61" s="450" t="s">
        <v>1106</v>
      </c>
      <c r="M61" s="451">
        <v>1500000</v>
      </c>
      <c r="N61" s="671"/>
      <c r="O61" s="671"/>
      <c r="P61" s="672"/>
      <c r="Q61" s="451"/>
      <c r="R61" s="671"/>
      <c r="S61" s="671"/>
      <c r="T61" s="452">
        <v>3300000</v>
      </c>
    </row>
    <row r="62" spans="1:20" s="190" customFormat="1" ht="32.25" customHeight="1" x14ac:dyDescent="0.2">
      <c r="A62" s="446">
        <f t="shared" si="0"/>
        <v>46</v>
      </c>
      <c r="B62" s="163">
        <v>45991</v>
      </c>
      <c r="C62" s="157" t="s">
        <v>1107</v>
      </c>
      <c r="D62" s="636"/>
      <c r="E62" s="447">
        <v>1</v>
      </c>
      <c r="F62" s="183" t="s">
        <v>1108</v>
      </c>
      <c r="G62" s="457" t="s">
        <v>308</v>
      </c>
      <c r="H62" s="457" t="s">
        <v>298</v>
      </c>
      <c r="I62" s="449" t="s">
        <v>299</v>
      </c>
      <c r="J62" s="468" t="s">
        <v>39</v>
      </c>
      <c r="K62" s="449" t="s">
        <v>233</v>
      </c>
      <c r="L62" s="450" t="s">
        <v>1109</v>
      </c>
      <c r="M62" s="451">
        <v>1500000</v>
      </c>
      <c r="N62" s="671"/>
      <c r="O62" s="671"/>
      <c r="P62" s="672"/>
      <c r="Q62" s="451"/>
      <c r="R62" s="671"/>
      <c r="S62" s="671"/>
      <c r="T62" s="452">
        <v>5300000</v>
      </c>
    </row>
    <row r="63" spans="1:20" s="190" customFormat="1" ht="32.25" customHeight="1" x14ac:dyDescent="0.2">
      <c r="A63" s="446">
        <f t="shared" si="0"/>
        <v>47</v>
      </c>
      <c r="B63" s="163">
        <v>45991</v>
      </c>
      <c r="C63" s="157" t="s">
        <v>1107</v>
      </c>
      <c r="D63" s="166"/>
      <c r="E63" s="447">
        <v>1</v>
      </c>
      <c r="F63" s="458" t="s">
        <v>1130</v>
      </c>
      <c r="G63" s="457" t="s">
        <v>228</v>
      </c>
      <c r="H63" s="457" t="s">
        <v>298</v>
      </c>
      <c r="I63" s="449" t="s">
        <v>299</v>
      </c>
      <c r="J63" s="468" t="s">
        <v>39</v>
      </c>
      <c r="K63" s="449" t="s">
        <v>233</v>
      </c>
      <c r="L63" s="450" t="s">
        <v>1110</v>
      </c>
      <c r="M63" s="451">
        <v>1500000</v>
      </c>
      <c r="N63" s="671"/>
      <c r="O63" s="671"/>
      <c r="P63" s="672"/>
      <c r="Q63" s="451"/>
      <c r="R63" s="671"/>
      <c r="S63" s="671"/>
      <c r="T63" s="452">
        <v>5300000</v>
      </c>
    </row>
    <row r="64" spans="1:20" s="190" customFormat="1" ht="32.25" customHeight="1" x14ac:dyDescent="0.2">
      <c r="A64" s="446">
        <f t="shared" si="0"/>
        <v>48</v>
      </c>
      <c r="B64" s="163">
        <v>45991</v>
      </c>
      <c r="C64" s="157" t="s">
        <v>1107</v>
      </c>
      <c r="D64" s="166"/>
      <c r="E64" s="447">
        <v>1</v>
      </c>
      <c r="F64" s="448" t="s">
        <v>1111</v>
      </c>
      <c r="G64" s="457" t="s">
        <v>191</v>
      </c>
      <c r="H64" s="457" t="s">
        <v>298</v>
      </c>
      <c r="I64" s="449" t="s">
        <v>299</v>
      </c>
      <c r="J64" s="468" t="s">
        <v>39</v>
      </c>
      <c r="K64" s="449" t="s">
        <v>233</v>
      </c>
      <c r="L64" s="450" t="s">
        <v>1112</v>
      </c>
      <c r="M64" s="451">
        <v>1500000</v>
      </c>
      <c r="N64" s="671"/>
      <c r="O64" s="671"/>
      <c r="P64" s="672"/>
      <c r="Q64" s="451"/>
      <c r="R64" s="671"/>
      <c r="S64" s="671"/>
      <c r="T64" s="452">
        <v>5300000</v>
      </c>
    </row>
    <row r="65" spans="1:20" s="190" customFormat="1" ht="32.25" customHeight="1" x14ac:dyDescent="0.2">
      <c r="A65" s="446">
        <f t="shared" si="0"/>
        <v>49</v>
      </c>
      <c r="B65" s="163">
        <v>45991</v>
      </c>
      <c r="C65" s="157" t="s">
        <v>1107</v>
      </c>
      <c r="D65" s="447"/>
      <c r="E65" s="447">
        <v>1</v>
      </c>
      <c r="F65" s="458" t="s">
        <v>1113</v>
      </c>
      <c r="G65" s="457" t="s">
        <v>207</v>
      </c>
      <c r="H65" s="457" t="s">
        <v>298</v>
      </c>
      <c r="I65" s="449" t="s">
        <v>299</v>
      </c>
      <c r="J65" s="468" t="s">
        <v>39</v>
      </c>
      <c r="K65" s="449" t="s">
        <v>233</v>
      </c>
      <c r="L65" s="465" t="s">
        <v>1114</v>
      </c>
      <c r="M65" s="451">
        <v>1500000</v>
      </c>
      <c r="N65" s="671"/>
      <c r="O65" s="671"/>
      <c r="P65" s="672"/>
      <c r="Q65" s="451"/>
      <c r="R65" s="671"/>
      <c r="S65" s="671"/>
      <c r="T65" s="452">
        <v>5300000</v>
      </c>
    </row>
    <row r="66" spans="1:20" s="190" customFormat="1" ht="32.25" customHeight="1" x14ac:dyDescent="0.2">
      <c r="A66" s="446">
        <f t="shared" si="0"/>
        <v>50</v>
      </c>
      <c r="B66" s="163">
        <v>45991</v>
      </c>
      <c r="C66" s="157" t="s">
        <v>1115</v>
      </c>
      <c r="D66" s="166"/>
      <c r="E66" s="447">
        <v>1</v>
      </c>
      <c r="F66" s="448" t="s">
        <v>1116</v>
      </c>
      <c r="G66" s="457" t="s">
        <v>210</v>
      </c>
      <c r="H66" s="468" t="s">
        <v>1055</v>
      </c>
      <c r="I66" s="446" t="s">
        <v>1056</v>
      </c>
      <c r="J66" s="468" t="s">
        <v>39</v>
      </c>
      <c r="K66" s="457" t="s">
        <v>697</v>
      </c>
      <c r="L66" s="465" t="s">
        <v>1117</v>
      </c>
      <c r="M66" s="451">
        <v>1512000</v>
      </c>
      <c r="N66" s="671"/>
      <c r="O66" s="671"/>
      <c r="P66" s="672"/>
      <c r="Q66" s="451"/>
      <c r="R66" s="671"/>
      <c r="S66" s="671"/>
      <c r="T66" s="452">
        <v>4000000</v>
      </c>
    </row>
    <row r="67" spans="1:20" s="190" customFormat="1" ht="32.25" customHeight="1" x14ac:dyDescent="0.2">
      <c r="A67" s="446">
        <f t="shared" si="0"/>
        <v>51</v>
      </c>
      <c r="B67" s="163">
        <v>45991</v>
      </c>
      <c r="C67" s="157" t="s">
        <v>1115</v>
      </c>
      <c r="D67" s="166"/>
      <c r="E67" s="447">
        <v>1</v>
      </c>
      <c r="F67" s="183" t="s">
        <v>1118</v>
      </c>
      <c r="G67" s="457" t="s">
        <v>194</v>
      </c>
      <c r="H67" s="468" t="s">
        <v>1055</v>
      </c>
      <c r="I67" s="446" t="s">
        <v>1056</v>
      </c>
      <c r="J67" s="468" t="s">
        <v>39</v>
      </c>
      <c r="K67" s="457" t="s">
        <v>697</v>
      </c>
      <c r="L67" s="465" t="s">
        <v>1119</v>
      </c>
      <c r="M67" s="451">
        <v>1512000</v>
      </c>
      <c r="N67" s="671"/>
      <c r="O67" s="671"/>
      <c r="P67" s="672"/>
      <c r="Q67" s="451"/>
      <c r="R67" s="671"/>
      <c r="S67" s="671"/>
      <c r="T67" s="452">
        <v>4000000</v>
      </c>
    </row>
    <row r="68" spans="1:20" s="190" customFormat="1" ht="32.25" customHeight="1" x14ac:dyDescent="0.2">
      <c r="A68" s="446">
        <f t="shared" si="0"/>
        <v>52</v>
      </c>
      <c r="B68" s="163">
        <v>45991</v>
      </c>
      <c r="C68" s="157" t="s">
        <v>1115</v>
      </c>
      <c r="D68" s="166"/>
      <c r="E68" s="447">
        <v>1</v>
      </c>
      <c r="F68" s="458" t="s">
        <v>1120</v>
      </c>
      <c r="G68" s="457" t="s">
        <v>341</v>
      </c>
      <c r="H68" s="468" t="s">
        <v>1055</v>
      </c>
      <c r="I68" s="446" t="s">
        <v>1056</v>
      </c>
      <c r="J68" s="468" t="s">
        <v>39</v>
      </c>
      <c r="K68" s="457" t="s">
        <v>697</v>
      </c>
      <c r="L68" s="465" t="s">
        <v>1121</v>
      </c>
      <c r="M68" s="451">
        <v>1512000</v>
      </c>
      <c r="N68" s="671"/>
      <c r="O68" s="671"/>
      <c r="P68" s="672"/>
      <c r="Q68" s="451"/>
      <c r="R68" s="671"/>
      <c r="S68" s="671"/>
      <c r="T68" s="452">
        <v>4000000</v>
      </c>
    </row>
    <row r="69" spans="1:20" s="190" customFormat="1" ht="32.25" customHeight="1" x14ac:dyDescent="0.2">
      <c r="A69" s="446">
        <f t="shared" si="0"/>
        <v>53</v>
      </c>
      <c r="B69" s="163">
        <v>45991</v>
      </c>
      <c r="C69" s="157" t="s">
        <v>1115</v>
      </c>
      <c r="D69" s="166"/>
      <c r="E69" s="447">
        <v>1</v>
      </c>
      <c r="F69" s="458" t="s">
        <v>1122</v>
      </c>
      <c r="G69" s="457" t="s">
        <v>198</v>
      </c>
      <c r="H69" s="468" t="s">
        <v>1055</v>
      </c>
      <c r="I69" s="446" t="s">
        <v>1056</v>
      </c>
      <c r="J69" s="468" t="s">
        <v>39</v>
      </c>
      <c r="K69" s="457" t="s">
        <v>697</v>
      </c>
      <c r="L69" s="668" t="s">
        <v>1123</v>
      </c>
      <c r="M69" s="641">
        <v>1500000</v>
      </c>
      <c r="N69" s="639"/>
      <c r="O69" s="639"/>
      <c r="P69" s="640"/>
      <c r="Q69" s="641"/>
      <c r="R69" s="639"/>
      <c r="S69" s="639"/>
      <c r="T69" s="452">
        <v>4000000</v>
      </c>
    </row>
    <row r="70" spans="1:20" s="190" customFormat="1" ht="32.25" customHeight="1" x14ac:dyDescent="0.2">
      <c r="A70" s="446">
        <f t="shared" si="0"/>
        <v>54</v>
      </c>
      <c r="B70" s="163">
        <v>45991</v>
      </c>
      <c r="C70" s="157" t="s">
        <v>1115</v>
      </c>
      <c r="D70" s="166"/>
      <c r="E70" s="447">
        <v>1</v>
      </c>
      <c r="F70" s="458" t="s">
        <v>1124</v>
      </c>
      <c r="G70" s="457" t="s">
        <v>305</v>
      </c>
      <c r="H70" s="468" t="s">
        <v>1055</v>
      </c>
      <c r="I70" s="446" t="s">
        <v>1056</v>
      </c>
      <c r="J70" s="468" t="s">
        <v>39</v>
      </c>
      <c r="K70" s="457" t="s">
        <v>697</v>
      </c>
      <c r="L70" s="450" t="s">
        <v>1125</v>
      </c>
      <c r="M70" s="451">
        <v>1512000</v>
      </c>
      <c r="N70" s="671"/>
      <c r="O70" s="671"/>
      <c r="P70" s="672"/>
      <c r="Q70" s="451"/>
      <c r="R70" s="671"/>
      <c r="S70" s="671"/>
      <c r="T70" s="452">
        <v>4000000</v>
      </c>
    </row>
    <row r="71" spans="1:20" s="190" customFormat="1" ht="32.25" customHeight="1" x14ac:dyDescent="0.2">
      <c r="A71" s="505">
        <v>55</v>
      </c>
      <c r="B71" s="506">
        <v>45988</v>
      </c>
      <c r="C71" s="507" t="s">
        <v>1019</v>
      </c>
      <c r="D71" s="505"/>
      <c r="E71" s="508">
        <v>1</v>
      </c>
      <c r="F71" s="509" t="s">
        <v>1126</v>
      </c>
      <c r="G71" s="706" t="s">
        <v>1127</v>
      </c>
      <c r="H71" s="663" t="s">
        <v>486</v>
      </c>
      <c r="I71" s="663" t="s">
        <v>256</v>
      </c>
      <c r="J71" s="647" t="s">
        <v>39</v>
      </c>
      <c r="K71" s="647" t="s">
        <v>174</v>
      </c>
      <c r="L71" s="707" t="s">
        <v>1128</v>
      </c>
      <c r="M71" s="708">
        <v>1500000</v>
      </c>
      <c r="N71" s="708"/>
      <c r="O71" s="708"/>
      <c r="P71" s="647"/>
      <c r="Q71" s="708"/>
      <c r="R71" s="708"/>
      <c r="S71" s="708"/>
      <c r="T71" s="709">
        <v>4500000</v>
      </c>
    </row>
    <row r="72" spans="1:20" s="153" customFormat="1" ht="25.5" customHeight="1" x14ac:dyDescent="0.2">
      <c r="A72" s="477"/>
      <c r="B72" s="703" t="s">
        <v>1625</v>
      </c>
      <c r="C72" s="703" t="s">
        <v>1660</v>
      </c>
      <c r="D72" s="477"/>
      <c r="E72" s="479"/>
      <c r="F72" s="704" t="s">
        <v>1144</v>
      </c>
      <c r="G72" s="710"/>
      <c r="H72" s="654"/>
      <c r="I72" s="637" t="s">
        <v>1661</v>
      </c>
      <c r="J72" s="637"/>
      <c r="K72" s="637"/>
      <c r="L72" s="711"/>
      <c r="M72" s="712">
        <v>0</v>
      </c>
      <c r="N72" s="712"/>
      <c r="O72" s="712"/>
      <c r="P72" s="637"/>
      <c r="Q72" s="712"/>
      <c r="R72" s="712"/>
      <c r="S72" s="712"/>
      <c r="T72" s="642">
        <v>4200000</v>
      </c>
    </row>
    <row r="73" spans="1:20" s="153" customFormat="1" ht="25.5" customHeight="1" x14ac:dyDescent="0.2">
      <c r="A73" s="477"/>
      <c r="B73" s="703" t="s">
        <v>1625</v>
      </c>
      <c r="C73" s="703" t="s">
        <v>1660</v>
      </c>
      <c r="D73" s="477"/>
      <c r="E73" s="479"/>
      <c r="F73" s="704" t="s">
        <v>1144</v>
      </c>
      <c r="G73" s="710"/>
      <c r="H73" s="654"/>
      <c r="I73" s="637" t="s">
        <v>1662</v>
      </c>
      <c r="J73" s="637"/>
      <c r="K73" s="637"/>
      <c r="L73" s="711"/>
      <c r="M73" s="712">
        <v>0</v>
      </c>
      <c r="N73" s="712"/>
      <c r="O73" s="712"/>
      <c r="P73" s="637"/>
      <c r="Q73" s="712"/>
      <c r="R73" s="712"/>
      <c r="S73" s="712"/>
      <c r="T73" s="642">
        <v>3000000</v>
      </c>
    </row>
    <row r="74" spans="1:20" ht="32.25" customHeight="1" x14ac:dyDescent="0.2">
      <c r="A74" s="784" t="s">
        <v>52</v>
      </c>
      <c r="B74" s="784"/>
      <c r="C74" s="784"/>
      <c r="D74" s="714"/>
      <c r="E74" s="714"/>
      <c r="F74" s="714"/>
      <c r="G74" s="715"/>
      <c r="H74" s="716"/>
      <c r="I74" s="714"/>
      <c r="J74" s="473"/>
      <c r="K74" s="714"/>
      <c r="L74" s="717">
        <f>SUM(M74:T74)</f>
        <v>336613600</v>
      </c>
      <c r="M74" s="516">
        <f>SUM(M17:M73)</f>
        <v>82500000</v>
      </c>
      <c r="N74" s="516"/>
      <c r="O74" s="516">
        <f>SUM(O17:O73)</f>
        <v>453600</v>
      </c>
      <c r="P74" s="539"/>
      <c r="Q74" s="516">
        <f>SUM(Q17:Q73)</f>
        <v>4400000</v>
      </c>
      <c r="R74" s="516">
        <f>SUM(R17:R73)</f>
        <v>0</v>
      </c>
      <c r="S74" s="516">
        <f>SUM(S17:S73)</f>
        <v>260000</v>
      </c>
      <c r="T74" s="516">
        <f>SUM(T17:T73)</f>
        <v>249000000</v>
      </c>
    </row>
    <row r="75" spans="1:20" ht="32.25" customHeight="1" x14ac:dyDescent="0.2">
      <c r="A75" s="785"/>
      <c r="B75" s="785"/>
      <c r="C75" s="785"/>
      <c r="D75" s="173"/>
      <c r="E75" s="173"/>
      <c r="F75" s="173"/>
      <c r="G75" s="173"/>
      <c r="H75" s="435"/>
      <c r="I75" s="237"/>
      <c r="J75" s="240"/>
      <c r="K75" s="237"/>
      <c r="L75" s="241"/>
      <c r="M75" s="242"/>
      <c r="N75" s="242"/>
      <c r="O75" s="242"/>
      <c r="P75" s="536"/>
      <c r="Q75" s="242"/>
      <c r="R75" s="242"/>
      <c r="S75" s="242"/>
      <c r="T75" s="713"/>
    </row>
    <row r="76" spans="1:20" s="236" customFormat="1" ht="20.25" customHeight="1" x14ac:dyDescent="0.2">
      <c r="A76" s="178"/>
      <c r="B76" s="230"/>
      <c r="C76" s="178"/>
      <c r="D76" s="231"/>
      <c r="E76" s="231"/>
      <c r="F76" s="231"/>
      <c r="G76" s="231"/>
      <c r="H76" s="232"/>
      <c r="I76" s="233"/>
      <c r="J76" s="233"/>
      <c r="K76" s="233"/>
      <c r="L76" s="234"/>
      <c r="M76" s="242" t="s">
        <v>1600</v>
      </c>
      <c r="N76" s="242"/>
      <c r="O76" s="242"/>
      <c r="P76" s="536"/>
      <c r="Q76" s="242">
        <f>T74</f>
        <v>249000000</v>
      </c>
      <c r="R76" s="242"/>
      <c r="S76" s="242"/>
      <c r="T76" s="239"/>
    </row>
    <row r="77" spans="1:20" ht="20.25" customHeight="1" x14ac:dyDescent="0.2">
      <c r="A77" s="237"/>
      <c r="B77" s="238"/>
      <c r="C77" s="233"/>
      <c r="D77" s="237"/>
      <c r="E77" s="237"/>
      <c r="F77" s="239"/>
      <c r="G77" s="239"/>
      <c r="H77" s="240"/>
      <c r="I77" s="237"/>
      <c r="J77" s="237"/>
      <c r="K77" s="237"/>
      <c r="L77" s="241"/>
      <c r="M77" s="242" t="s">
        <v>1601</v>
      </c>
      <c r="N77" s="242"/>
      <c r="O77" s="242"/>
      <c r="P77" s="536"/>
      <c r="Q77" s="242">
        <f>Q76*8%</f>
        <v>19920000</v>
      </c>
      <c r="R77" s="242"/>
      <c r="S77" s="242"/>
      <c r="T77" s="445"/>
    </row>
    <row r="78" spans="1:20" ht="20.25" customHeight="1" x14ac:dyDescent="0.2">
      <c r="A78" s="237"/>
      <c r="B78" s="238"/>
      <c r="C78" s="233"/>
      <c r="D78" s="237"/>
      <c r="E78" s="237"/>
      <c r="F78" s="239"/>
      <c r="G78" s="239"/>
      <c r="H78" s="240"/>
      <c r="I78" s="237"/>
      <c r="J78" s="237"/>
      <c r="K78" s="237"/>
      <c r="L78" s="241"/>
      <c r="M78" s="235" t="s">
        <v>52</v>
      </c>
      <c r="N78" s="235"/>
      <c r="O78" s="235"/>
      <c r="P78" s="537"/>
      <c r="Q78" s="718">
        <f>Q77+Q76</f>
        <v>268920000</v>
      </c>
      <c r="R78" s="235"/>
      <c r="S78" s="235"/>
      <c r="T78" s="327"/>
    </row>
    <row r="79" spans="1:20" ht="20.25" customHeight="1" x14ac:dyDescent="0.2">
      <c r="A79" s="237"/>
      <c r="B79" s="238"/>
      <c r="C79" s="233"/>
      <c r="D79" s="237"/>
      <c r="E79" s="237"/>
      <c r="F79" s="239"/>
      <c r="G79" s="438"/>
      <c r="H79" s="240"/>
      <c r="I79" s="237"/>
      <c r="J79" s="237"/>
      <c r="K79" s="237"/>
      <c r="L79" s="241"/>
      <c r="M79" s="242"/>
      <c r="N79" s="242"/>
      <c r="O79" s="242"/>
      <c r="P79" s="536"/>
      <c r="Q79" s="242"/>
      <c r="R79" s="242"/>
      <c r="S79" s="242"/>
      <c r="T79" s="237"/>
    </row>
    <row r="80" spans="1:20" ht="20.25" customHeight="1" x14ac:dyDescent="0.2">
      <c r="A80" s="237"/>
      <c r="B80" s="238"/>
      <c r="C80" s="233"/>
      <c r="D80" s="237"/>
      <c r="E80" s="237"/>
      <c r="F80" s="239"/>
      <c r="G80" s="438"/>
      <c r="H80" s="240"/>
      <c r="I80" s="237"/>
      <c r="J80" s="237"/>
      <c r="K80" s="237"/>
      <c r="L80" s="241"/>
      <c r="M80" s="235" t="s">
        <v>1602</v>
      </c>
      <c r="N80" s="235"/>
      <c r="O80" s="235"/>
      <c r="P80" s="537"/>
      <c r="Q80" s="718">
        <f>SUM(Q81:Q84)</f>
        <v>87613600</v>
      </c>
      <c r="R80" s="235"/>
      <c r="S80" s="235">
        <f>Q80+Q76</f>
        <v>336613600</v>
      </c>
      <c r="T80" s="237"/>
    </row>
    <row r="81" spans="1:20" ht="20.25" customHeight="1" x14ac:dyDescent="0.2">
      <c r="A81" s="763"/>
      <c r="B81" s="763"/>
      <c r="C81" s="763"/>
      <c r="D81" s="763"/>
      <c r="E81" s="763"/>
      <c r="F81" s="763"/>
      <c r="G81" s="438"/>
      <c r="H81" s="240"/>
      <c r="I81" s="237"/>
      <c r="J81" s="244"/>
      <c r="K81" s="173"/>
      <c r="L81" s="233"/>
      <c r="M81" s="789" t="s">
        <v>1603</v>
      </c>
      <c r="N81" s="237"/>
      <c r="O81" s="237"/>
      <c r="P81" s="237"/>
      <c r="Q81" s="327">
        <f>Q74</f>
        <v>4400000</v>
      </c>
      <c r="R81" s="327"/>
      <c r="S81" s="327"/>
      <c r="T81" s="233"/>
    </row>
    <row r="82" spans="1:20" ht="20.25" customHeight="1" x14ac:dyDescent="0.2">
      <c r="A82" s="245"/>
      <c r="B82" s="246"/>
      <c r="C82" s="245"/>
      <c r="D82" s="245"/>
      <c r="E82" s="245"/>
      <c r="G82" s="438"/>
      <c r="H82" s="247"/>
      <c r="I82" s="247"/>
      <c r="J82" s="245"/>
      <c r="K82" s="245"/>
      <c r="L82" s="248"/>
      <c r="M82" s="129" t="s">
        <v>1684</v>
      </c>
      <c r="N82" s="129"/>
      <c r="O82" s="129"/>
      <c r="P82" s="527"/>
      <c r="Q82" s="129">
        <f>O74</f>
        <v>453600</v>
      </c>
      <c r="R82" s="129"/>
      <c r="S82" s="129"/>
      <c r="T82" s="245"/>
    </row>
    <row r="83" spans="1:20" ht="20.25" customHeight="1" x14ac:dyDescent="0.2">
      <c r="A83" s="245"/>
      <c r="B83" s="246"/>
      <c r="C83" s="245"/>
      <c r="D83" s="245"/>
      <c r="E83" s="245"/>
      <c r="G83" s="245"/>
      <c r="H83" s="247"/>
      <c r="I83" s="245"/>
      <c r="J83" s="245"/>
      <c r="K83" s="245"/>
      <c r="L83" s="248"/>
      <c r="M83" s="129" t="s">
        <v>1607</v>
      </c>
      <c r="N83" s="129"/>
      <c r="O83" s="545"/>
      <c r="P83" s="527"/>
      <c r="Q83" s="129">
        <f>M74</f>
        <v>82500000</v>
      </c>
      <c r="R83" s="129"/>
      <c r="S83" s="129"/>
      <c r="T83" s="245"/>
    </row>
    <row r="84" spans="1:20" ht="16" x14ac:dyDescent="0.2">
      <c r="A84" s="245"/>
      <c r="B84" s="246"/>
      <c r="C84" s="245"/>
      <c r="D84" s="245"/>
      <c r="E84" s="245"/>
      <c r="G84" s="245"/>
      <c r="H84" s="247"/>
      <c r="I84" s="245"/>
      <c r="J84" s="245"/>
      <c r="K84" s="245"/>
      <c r="L84" s="248"/>
      <c r="M84" s="129" t="s">
        <v>1604</v>
      </c>
      <c r="N84" s="129"/>
      <c r="O84" s="129"/>
      <c r="P84" s="527"/>
      <c r="Q84" s="129">
        <f>S74</f>
        <v>260000</v>
      </c>
      <c r="R84" s="129"/>
      <c r="S84" s="129"/>
      <c r="T84" s="245"/>
    </row>
    <row r="85" spans="1:20" s="438" customFormat="1" ht="25.5" customHeight="1" x14ac:dyDescent="0.2">
      <c r="A85" s="173"/>
      <c r="B85" s="434"/>
      <c r="C85" s="173"/>
      <c r="D85" s="173"/>
      <c r="E85" s="173"/>
      <c r="F85" s="173"/>
      <c r="G85" s="173"/>
      <c r="H85" s="435"/>
      <c r="I85" s="173"/>
      <c r="J85" s="173"/>
      <c r="K85" s="173"/>
      <c r="L85" s="436"/>
      <c r="M85" s="437" t="s">
        <v>1606</v>
      </c>
      <c r="N85" s="437"/>
      <c r="O85" s="437"/>
      <c r="P85" s="538"/>
      <c r="Q85" s="437">
        <f>Q80+Q78</f>
        <v>356533600</v>
      </c>
      <c r="R85" s="129"/>
      <c r="S85" s="129"/>
      <c r="T85" s="173"/>
    </row>
    <row r="86" spans="1:20" ht="16" x14ac:dyDescent="0.2">
      <c r="D86" s="173"/>
      <c r="E86" s="173"/>
      <c r="F86" s="173"/>
      <c r="G86" s="173"/>
      <c r="H86" s="435"/>
      <c r="I86" s="173"/>
      <c r="J86" s="251"/>
      <c r="R86" s="129"/>
      <c r="S86" s="129"/>
    </row>
    <row r="87" spans="1:20" ht="16" x14ac:dyDescent="0.2">
      <c r="D87" s="173"/>
      <c r="E87" s="173"/>
      <c r="F87" s="173"/>
      <c r="G87" s="173"/>
      <c r="H87" s="435"/>
      <c r="I87" s="173"/>
      <c r="J87" s="251"/>
      <c r="L87" s="705"/>
      <c r="R87" s="129"/>
      <c r="S87" s="129"/>
    </row>
    <row r="88" spans="1:20" ht="16" x14ac:dyDescent="0.2">
      <c r="D88" s="173"/>
      <c r="E88" s="173"/>
      <c r="F88" s="173"/>
      <c r="G88" s="173"/>
      <c r="H88" s="435"/>
      <c r="I88" s="173"/>
      <c r="J88" s="251"/>
      <c r="L88" s="705"/>
    </row>
    <row r="89" spans="1:20" ht="16" x14ac:dyDescent="0.2">
      <c r="D89" s="173"/>
      <c r="E89" s="173"/>
      <c r="F89" s="173"/>
      <c r="G89" s="173"/>
      <c r="H89" s="435"/>
      <c r="I89" s="173"/>
      <c r="J89" s="251"/>
    </row>
    <row r="90" spans="1:20" ht="16" x14ac:dyDescent="0.2">
      <c r="D90" s="173"/>
      <c r="E90" s="173"/>
      <c r="F90" s="173"/>
      <c r="G90" s="173"/>
      <c r="H90" s="435"/>
      <c r="I90" s="173"/>
      <c r="J90" s="251"/>
      <c r="L90" s="705"/>
    </row>
    <row r="91" spans="1:20" ht="16" x14ac:dyDescent="0.2">
      <c r="D91" s="173"/>
      <c r="E91" s="173"/>
      <c r="F91" s="173"/>
      <c r="G91" s="173"/>
      <c r="H91" s="435"/>
      <c r="I91" s="173"/>
      <c r="J91" s="251"/>
    </row>
    <row r="92" spans="1:20" ht="16" x14ac:dyDescent="0.2">
      <c r="D92" s="173"/>
      <c r="E92" s="173"/>
      <c r="F92" s="173"/>
      <c r="G92" s="173"/>
      <c r="H92" s="435"/>
      <c r="I92" s="173"/>
      <c r="J92" s="251"/>
    </row>
    <row r="93" spans="1:20" ht="16" x14ac:dyDescent="0.2">
      <c r="D93" s="173"/>
      <c r="E93" s="173"/>
      <c r="F93" s="173"/>
      <c r="G93" s="173"/>
      <c r="H93" s="435"/>
      <c r="I93" s="173"/>
      <c r="J93" s="251"/>
    </row>
    <row r="94" spans="1:20" ht="16" x14ac:dyDescent="0.2">
      <c r="D94" s="173"/>
      <c r="E94" s="173"/>
      <c r="F94" s="173"/>
      <c r="G94" s="173"/>
      <c r="H94" s="435"/>
      <c r="I94" s="173"/>
      <c r="J94" s="251"/>
    </row>
    <row r="95" spans="1:20" ht="16" x14ac:dyDescent="0.2">
      <c r="H95" s="250"/>
      <c r="J95" s="251"/>
    </row>
    <row r="96" spans="1:20" ht="16" x14ac:dyDescent="0.2">
      <c r="H96" s="250"/>
      <c r="J96" s="251"/>
    </row>
    <row r="97" spans="8:10" ht="16" x14ac:dyDescent="0.2">
      <c r="H97" s="250"/>
      <c r="J97" s="251"/>
    </row>
    <row r="98" spans="8:10" ht="16" x14ac:dyDescent="0.2">
      <c r="H98" s="250"/>
      <c r="J98" s="251"/>
    </row>
    <row r="99" spans="8:10" ht="16" x14ac:dyDescent="0.2">
      <c r="H99" s="250"/>
      <c r="J99" s="251"/>
    </row>
    <row r="100" spans="8:10" ht="16" x14ac:dyDescent="0.2">
      <c r="H100" s="250"/>
      <c r="J100" s="251"/>
    </row>
    <row r="101" spans="8:10" ht="16" x14ac:dyDescent="0.2">
      <c r="H101" s="250"/>
      <c r="J101" s="251"/>
    </row>
    <row r="102" spans="8:10" ht="16" x14ac:dyDescent="0.2">
      <c r="H102" s="250"/>
      <c r="J102" s="251"/>
    </row>
    <row r="103" spans="8:10" ht="16" x14ac:dyDescent="0.2">
      <c r="H103" s="250"/>
      <c r="J103" s="251"/>
    </row>
    <row r="104" spans="8:10" ht="16" x14ac:dyDescent="0.2">
      <c r="H104" s="250"/>
      <c r="J104" s="251"/>
    </row>
    <row r="105" spans="8:10" ht="16" x14ac:dyDescent="0.2">
      <c r="H105" s="250"/>
      <c r="J105" s="251"/>
    </row>
    <row r="106" spans="8:10" ht="16" x14ac:dyDescent="0.2">
      <c r="H106" s="250"/>
      <c r="J106" s="251"/>
    </row>
    <row r="107" spans="8:10" ht="16" x14ac:dyDescent="0.2">
      <c r="H107" s="250"/>
      <c r="J107" s="251"/>
    </row>
    <row r="108" spans="8:10" ht="16" x14ac:dyDescent="0.2">
      <c r="H108" s="250"/>
      <c r="J108" s="251"/>
    </row>
    <row r="109" spans="8:10" ht="16" x14ac:dyDescent="0.2">
      <c r="H109" s="250"/>
      <c r="J109" s="251"/>
    </row>
    <row r="110" spans="8:10" ht="16" x14ac:dyDescent="0.2">
      <c r="H110" s="250"/>
      <c r="J110" s="251"/>
    </row>
    <row r="111" spans="8:10" ht="16" x14ac:dyDescent="0.2">
      <c r="H111" s="250"/>
      <c r="J111" s="251"/>
    </row>
    <row r="112" spans="8:10" ht="16" x14ac:dyDescent="0.2">
      <c r="H112" s="250"/>
      <c r="J112" s="251"/>
    </row>
    <row r="113" spans="8:10" ht="60" customHeight="1" x14ac:dyDescent="0.2">
      <c r="H113" s="250"/>
      <c r="J113" s="251"/>
    </row>
    <row r="114" spans="8:10" ht="60" customHeight="1" x14ac:dyDescent="0.2">
      <c r="H114" s="250"/>
      <c r="J114" s="251"/>
    </row>
    <row r="115" spans="8:10" ht="60" customHeight="1" x14ac:dyDescent="0.2">
      <c r="H115" s="250"/>
      <c r="J115" s="251"/>
    </row>
    <row r="116" spans="8:10" ht="60" customHeight="1" x14ac:dyDescent="0.2">
      <c r="H116" s="250"/>
      <c r="J116" s="251"/>
    </row>
    <row r="117" spans="8:10" ht="60" customHeight="1" x14ac:dyDescent="0.2">
      <c r="H117" s="250"/>
      <c r="J117" s="251"/>
    </row>
    <row r="118" spans="8:10" ht="60" customHeight="1" x14ac:dyDescent="0.2">
      <c r="H118" s="250"/>
      <c r="J118" s="251"/>
    </row>
    <row r="119" spans="8:10" ht="60" customHeight="1" x14ac:dyDescent="0.2">
      <c r="H119" s="250"/>
      <c r="J119" s="251"/>
    </row>
    <row r="120" spans="8:10" ht="60" customHeight="1" x14ac:dyDescent="0.2">
      <c r="H120" s="250"/>
      <c r="J120" s="251"/>
    </row>
    <row r="151" spans="20:20" ht="60" customHeight="1" x14ac:dyDescent="0.2">
      <c r="T151" s="548"/>
    </row>
  </sheetData>
  <autoFilter ref="A15:T150" xr:uid="{776B5A49-D4CC-4F0E-AAAC-579F588606C4}">
    <filterColumn colId="3" showButton="0"/>
  </autoFilter>
  <mergeCells count="30">
    <mergeCell ref="A74:C74"/>
    <mergeCell ref="A75:C75"/>
    <mergeCell ref="A81:F81"/>
    <mergeCell ref="O15:O16"/>
    <mergeCell ref="P15:P16"/>
    <mergeCell ref="Q15:Q16"/>
    <mergeCell ref="R15:R16"/>
    <mergeCell ref="T15:T16"/>
    <mergeCell ref="H15:H16"/>
    <mergeCell ref="I15:I16"/>
    <mergeCell ref="J15:J16"/>
    <mergeCell ref="K15:K16"/>
    <mergeCell ref="L15:L16"/>
    <mergeCell ref="M15:M16"/>
    <mergeCell ref="A9:I9"/>
    <mergeCell ref="A11:H11"/>
    <mergeCell ref="A12:K12"/>
    <mergeCell ref="A13:F13"/>
    <mergeCell ref="A15:A16"/>
    <mergeCell ref="B15:B16"/>
    <mergeCell ref="C15:C16"/>
    <mergeCell ref="D15:E15"/>
    <mergeCell ref="F15:F16"/>
    <mergeCell ref="G15:G16"/>
    <mergeCell ref="A8:F8"/>
    <mergeCell ref="A2:T2"/>
    <mergeCell ref="A3:T3"/>
    <mergeCell ref="A4:T4"/>
    <mergeCell ref="A6:H6"/>
    <mergeCell ref="A7:K7"/>
  </mergeCells>
  <conditionalFormatting sqref="F1:F16 F74:F1048576">
    <cfRule type="duplicateValues" dxfId="15" priority="7"/>
  </conditionalFormatting>
  <conditionalFormatting sqref="F1:F1048576">
    <cfRule type="duplicateValues" dxfId="14" priority="1"/>
  </conditionalFormatting>
  <conditionalFormatting sqref="F17:F71">
    <cfRule type="duplicateValues" dxfId="13" priority="6"/>
  </conditionalFormatting>
  <conditionalFormatting sqref="L17:L71">
    <cfRule type="duplicateValues" dxfId="12" priority="5"/>
  </conditionalFormatting>
  <conditionalFormatting sqref="L72:L73">
    <cfRule type="duplicateValues" dxfId="11" priority="9"/>
  </conditionalFormatting>
  <conditionalFormatting sqref="L89 L74:L86 L1:L16 L91:L1048576">
    <cfRule type="duplicateValues" dxfId="10" priority="8"/>
  </conditionalFormatting>
  <pageMargins left="0.2" right="0.2" top="0.32" bottom="0.32" header="0.2" footer="0.2"/>
  <pageSetup paperSize="9" scale="3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5A49-D4CC-4F0E-AAAC-579F588606C4}">
  <sheetPr>
    <tabColor rgb="FF00B050"/>
    <pageSetUpPr fitToPage="1"/>
  </sheetPr>
  <dimension ref="A1:T428"/>
  <sheetViews>
    <sheetView topLeftCell="J10" zoomScaleNormal="100" zoomScaleSheetLayoutView="85" workbookViewId="0">
      <pane ySplit="7" topLeftCell="A325" activePane="bottomLeft" state="frozen"/>
      <selection pane="bottomLeft" activeCell="M371" sqref="M371"/>
    </sheetView>
  </sheetViews>
  <sheetFormatPr baseColWidth="10" defaultColWidth="9" defaultRowHeight="60" customHeight="1" x14ac:dyDescent="0.2"/>
  <cols>
    <col min="1" max="1" width="7.33203125" style="126" customWidth="1"/>
    <col min="2" max="2" width="17.33203125" style="249" customWidth="1"/>
    <col min="3" max="3" width="32" style="126" customWidth="1"/>
    <col min="4" max="4" width="6.1640625" style="126" customWidth="1"/>
    <col min="5" max="5" width="4.83203125" style="126" customWidth="1"/>
    <col min="6" max="6" width="20.1640625" style="245" customWidth="1"/>
    <col min="7" max="7" width="20.1640625" style="236" customWidth="1"/>
    <col min="8" max="8" width="23.1640625" style="253" customWidth="1"/>
    <col min="9" max="9" width="46.1640625" style="126" customWidth="1"/>
    <col min="10" max="10" width="30.5" style="126" customWidth="1"/>
    <col min="11" max="11" width="39" style="126" customWidth="1"/>
    <col min="12" max="12" width="17.5" style="252" customWidth="1"/>
    <col min="13" max="14" width="19.5" style="125" customWidth="1"/>
    <col min="15" max="15" width="19.5" style="526" customWidth="1"/>
    <col min="16" max="18" width="21.1640625" style="125" customWidth="1"/>
    <col min="19" max="19" width="27.33203125" style="126" customWidth="1"/>
    <col min="20" max="20" width="23" style="126" customWidth="1"/>
    <col min="21" max="16384" width="9" style="126"/>
  </cols>
  <sheetData>
    <row r="1" spans="1:20" ht="23.25" customHeight="1" x14ac:dyDescent="0.2">
      <c r="A1" s="119"/>
      <c r="B1" s="120"/>
      <c r="C1" s="121"/>
      <c r="D1" s="119"/>
      <c r="E1" s="119"/>
      <c r="F1" s="119"/>
      <c r="G1" s="119"/>
      <c r="H1" s="122"/>
      <c r="I1" s="123"/>
      <c r="J1" s="121"/>
      <c r="K1" s="123"/>
      <c r="L1" s="124"/>
      <c r="S1" s="123"/>
      <c r="T1" s="123"/>
    </row>
    <row r="2" spans="1:20" ht="23.25" customHeight="1" x14ac:dyDescent="0.2">
      <c r="A2" s="770" t="s">
        <v>157</v>
      </c>
      <c r="B2" s="770"/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</row>
    <row r="3" spans="1:20" ht="23.25" customHeight="1" x14ac:dyDescent="0.2">
      <c r="A3" s="771" t="s">
        <v>158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</row>
    <row r="4" spans="1:20" ht="23.25" customHeight="1" x14ac:dyDescent="0.2">
      <c r="A4" s="771" t="s">
        <v>2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</row>
    <row r="5" spans="1:20" ht="23.25" customHeight="1" x14ac:dyDescent="0.2">
      <c r="A5" s="119"/>
      <c r="B5" s="127"/>
      <c r="C5" s="119"/>
      <c r="D5" s="119"/>
      <c r="E5" s="119"/>
      <c r="F5" s="119"/>
      <c r="G5" s="119"/>
      <c r="H5" s="122"/>
      <c r="I5" s="119"/>
      <c r="J5" s="119"/>
      <c r="K5" s="119"/>
      <c r="L5" s="128"/>
      <c r="M5" s="129"/>
      <c r="N5" s="129"/>
      <c r="O5" s="527"/>
      <c r="P5" s="129"/>
      <c r="Q5" s="129"/>
      <c r="R5" s="129"/>
      <c r="S5" s="119"/>
      <c r="T5" s="119"/>
    </row>
    <row r="6" spans="1:20" ht="23.25" customHeight="1" x14ac:dyDescent="0.2">
      <c r="A6" s="772" t="s">
        <v>159</v>
      </c>
      <c r="B6" s="772"/>
      <c r="C6" s="772"/>
      <c r="D6" s="772"/>
      <c r="E6" s="772"/>
      <c r="F6" s="773"/>
      <c r="G6" s="772"/>
      <c r="H6" s="772"/>
      <c r="I6" s="130"/>
      <c r="J6" s="131"/>
      <c r="K6" s="130"/>
      <c r="L6" s="132"/>
      <c r="M6" s="133"/>
      <c r="N6" s="133"/>
      <c r="O6" s="528"/>
      <c r="P6" s="133"/>
      <c r="Q6" s="133"/>
      <c r="R6" s="133"/>
      <c r="S6" s="130"/>
      <c r="T6" s="134"/>
    </row>
    <row r="7" spans="1:20" ht="23.25" customHeight="1" x14ac:dyDescent="0.2">
      <c r="A7" s="774" t="s">
        <v>160</v>
      </c>
      <c r="B7" s="774"/>
      <c r="C7" s="774"/>
      <c r="D7" s="774"/>
      <c r="E7" s="774"/>
      <c r="F7" s="775"/>
      <c r="G7" s="774"/>
      <c r="H7" s="774"/>
      <c r="I7" s="774"/>
      <c r="J7" s="774"/>
      <c r="K7" s="774"/>
      <c r="L7" s="135"/>
      <c r="M7" s="136"/>
      <c r="N7" s="136"/>
      <c r="O7" s="529"/>
      <c r="P7" s="136"/>
      <c r="Q7" s="136"/>
      <c r="R7" s="136"/>
      <c r="S7" s="130"/>
      <c r="T7" s="130"/>
    </row>
    <row r="8" spans="1:20" ht="23.25" customHeight="1" x14ac:dyDescent="0.2">
      <c r="A8" s="774" t="s">
        <v>161</v>
      </c>
      <c r="B8" s="774"/>
      <c r="C8" s="774"/>
      <c r="D8" s="774"/>
      <c r="E8" s="774"/>
      <c r="F8" s="775"/>
      <c r="G8" s="137"/>
      <c r="H8" s="138"/>
      <c r="I8" s="139"/>
      <c r="J8" s="140"/>
      <c r="K8" s="139"/>
      <c r="L8" s="135"/>
      <c r="M8" s="136"/>
      <c r="N8" s="136"/>
      <c r="O8" s="529"/>
      <c r="P8" s="136"/>
      <c r="Q8" s="136"/>
      <c r="R8" s="136"/>
      <c r="S8" s="130"/>
      <c r="T8" s="130"/>
    </row>
    <row r="9" spans="1:20" ht="23.25" customHeight="1" x14ac:dyDescent="0.2">
      <c r="A9" s="776" t="s">
        <v>162</v>
      </c>
      <c r="B9" s="776"/>
      <c r="C9" s="776"/>
      <c r="D9" s="776"/>
      <c r="E9" s="776"/>
      <c r="F9" s="777"/>
      <c r="G9" s="776"/>
      <c r="H9" s="776"/>
      <c r="I9" s="776"/>
      <c r="J9" s="140"/>
      <c r="K9" s="139"/>
      <c r="L9" s="135"/>
      <c r="M9" s="136"/>
      <c r="N9" s="136"/>
      <c r="O9" s="529"/>
      <c r="P9" s="136"/>
      <c r="Q9" s="136"/>
      <c r="R9" s="136"/>
      <c r="S9" s="130"/>
      <c r="T9" s="130"/>
    </row>
    <row r="10" spans="1:20" ht="23.25" hidden="1" customHeight="1" x14ac:dyDescent="0.2">
      <c r="A10" s="141"/>
      <c r="B10" s="142"/>
      <c r="C10" s="141"/>
      <c r="E10" s="130"/>
      <c r="F10" s="119"/>
      <c r="G10" s="137"/>
      <c r="H10" s="138"/>
      <c r="I10" s="139"/>
      <c r="J10" s="140"/>
      <c r="K10" s="139"/>
      <c r="L10" s="135"/>
      <c r="M10" s="136"/>
      <c r="N10" s="136"/>
      <c r="O10" s="529"/>
      <c r="P10" s="136"/>
      <c r="Q10" s="136"/>
      <c r="R10" s="136"/>
      <c r="S10" s="130"/>
      <c r="T10" s="130"/>
    </row>
    <row r="11" spans="1:20" ht="23.25" hidden="1" customHeight="1" x14ac:dyDescent="0.2">
      <c r="A11" s="772" t="s">
        <v>163</v>
      </c>
      <c r="B11" s="772"/>
      <c r="C11" s="772"/>
      <c r="D11" s="772"/>
      <c r="E11" s="772"/>
      <c r="F11" s="773"/>
      <c r="G11" s="772"/>
      <c r="H11" s="772"/>
      <c r="I11" s="130"/>
      <c r="J11" s="131"/>
      <c r="K11" s="130"/>
      <c r="L11" s="132"/>
      <c r="M11" s="133"/>
      <c r="N11" s="133"/>
      <c r="O11" s="528"/>
      <c r="P11" s="133"/>
      <c r="Q11" s="133"/>
      <c r="R11" s="133"/>
      <c r="S11" s="130"/>
      <c r="T11" s="134"/>
    </row>
    <row r="12" spans="1:20" ht="23.25" hidden="1" customHeight="1" x14ac:dyDescent="0.2">
      <c r="A12" s="774" t="s">
        <v>164</v>
      </c>
      <c r="B12" s="774"/>
      <c r="C12" s="774"/>
      <c r="D12" s="774"/>
      <c r="E12" s="774"/>
      <c r="F12" s="775"/>
      <c r="G12" s="774"/>
      <c r="H12" s="774"/>
      <c r="I12" s="774"/>
      <c r="J12" s="774"/>
      <c r="K12" s="774"/>
      <c r="L12" s="135"/>
      <c r="M12" s="136"/>
      <c r="N12" s="136"/>
      <c r="O12" s="529"/>
      <c r="P12" s="136"/>
      <c r="Q12" s="136"/>
      <c r="R12" s="136"/>
      <c r="S12" s="130"/>
      <c r="T12" s="130"/>
    </row>
    <row r="13" spans="1:20" ht="23.25" hidden="1" customHeight="1" x14ac:dyDescent="0.2">
      <c r="A13" s="774" t="s">
        <v>165</v>
      </c>
      <c r="B13" s="774"/>
      <c r="C13" s="774"/>
      <c r="D13" s="774"/>
      <c r="E13" s="774"/>
      <c r="F13" s="775"/>
      <c r="G13" s="137"/>
      <c r="H13" s="138"/>
      <c r="I13" s="140"/>
      <c r="J13" s="140"/>
      <c r="K13" s="139"/>
      <c r="L13" s="135"/>
      <c r="M13" s="136"/>
      <c r="N13" s="136"/>
      <c r="O13" s="529"/>
      <c r="P13" s="136"/>
      <c r="Q13" s="136"/>
      <c r="R13" s="136"/>
      <c r="S13" s="137"/>
      <c r="T13" s="137"/>
    </row>
    <row r="14" spans="1:20" ht="23.25" hidden="1" customHeight="1" x14ac:dyDescent="0.2">
      <c r="A14" s="143"/>
      <c r="B14" s="144"/>
      <c r="C14" s="143"/>
      <c r="D14" s="143"/>
      <c r="E14" s="143"/>
      <c r="F14" s="119"/>
      <c r="G14" s="143"/>
      <c r="H14" s="122"/>
      <c r="I14" s="143"/>
      <c r="J14" s="119"/>
      <c r="K14" s="143"/>
      <c r="L14" s="145"/>
      <c r="M14" s="146"/>
      <c r="N14" s="146"/>
      <c r="O14" s="530"/>
      <c r="P14" s="146"/>
      <c r="Q14" s="146"/>
      <c r="R14" s="146"/>
      <c r="S14" s="143"/>
      <c r="T14" s="147"/>
    </row>
    <row r="15" spans="1:20" s="153" customFormat="1" ht="16" x14ac:dyDescent="0.2">
      <c r="A15" s="764" t="s">
        <v>15</v>
      </c>
      <c r="B15" s="766" t="s">
        <v>16</v>
      </c>
      <c r="C15" s="764" t="s">
        <v>17</v>
      </c>
      <c r="D15" s="764" t="s">
        <v>18</v>
      </c>
      <c r="E15" s="764"/>
      <c r="F15" s="764" t="s">
        <v>19</v>
      </c>
      <c r="G15" s="764" t="s">
        <v>166</v>
      </c>
      <c r="H15" s="764" t="s">
        <v>20</v>
      </c>
      <c r="I15" s="764" t="s">
        <v>21</v>
      </c>
      <c r="J15" s="778" t="s">
        <v>22</v>
      </c>
      <c r="K15" s="778" t="s">
        <v>23</v>
      </c>
      <c r="L15" s="753" t="s">
        <v>167</v>
      </c>
      <c r="M15" s="754" t="s">
        <v>1607</v>
      </c>
      <c r="N15" s="759" t="s">
        <v>1674</v>
      </c>
      <c r="O15" s="761" t="s">
        <v>1675</v>
      </c>
      <c r="P15" s="754" t="s">
        <v>26</v>
      </c>
      <c r="Q15" s="759" t="s">
        <v>1681</v>
      </c>
      <c r="R15" s="522" t="s">
        <v>1604</v>
      </c>
      <c r="S15" s="755" t="s">
        <v>29</v>
      </c>
      <c r="T15" s="755" t="s">
        <v>169</v>
      </c>
    </row>
    <row r="16" spans="1:20" s="153" customFormat="1" ht="16" x14ac:dyDescent="0.2">
      <c r="A16" s="765"/>
      <c r="B16" s="767"/>
      <c r="C16" s="768"/>
      <c r="D16" s="148">
        <v>20</v>
      </c>
      <c r="E16" s="148">
        <v>40</v>
      </c>
      <c r="F16" s="769"/>
      <c r="G16" s="768"/>
      <c r="H16" s="768"/>
      <c r="I16" s="769"/>
      <c r="J16" s="769"/>
      <c r="K16" s="769"/>
      <c r="L16" s="753"/>
      <c r="M16" s="754"/>
      <c r="N16" s="760"/>
      <c r="O16" s="762"/>
      <c r="P16" s="754"/>
      <c r="Q16" s="760"/>
      <c r="R16" s="500"/>
      <c r="S16" s="756"/>
      <c r="T16" s="756"/>
    </row>
    <row r="17" spans="1:20" s="561" customFormat="1" ht="32.25" customHeight="1" x14ac:dyDescent="0.2">
      <c r="A17" s="552">
        <v>86</v>
      </c>
      <c r="B17" s="553">
        <v>45668</v>
      </c>
      <c r="C17" s="314" t="s">
        <v>415</v>
      </c>
      <c r="D17" s="554"/>
      <c r="E17" s="555">
        <v>1</v>
      </c>
      <c r="F17" s="314" t="s">
        <v>416</v>
      </c>
      <c r="G17" s="317" t="s">
        <v>225</v>
      </c>
      <c r="H17" s="317" t="s">
        <v>180</v>
      </c>
      <c r="I17" s="556" t="s">
        <v>181</v>
      </c>
      <c r="J17" s="555" t="s">
        <v>39</v>
      </c>
      <c r="K17" s="314" t="s">
        <v>1629</v>
      </c>
      <c r="L17" s="557">
        <v>124538</v>
      </c>
      <c r="M17" s="319">
        <v>1500000</v>
      </c>
      <c r="N17" s="518"/>
      <c r="O17" s="532"/>
      <c r="P17" s="558">
        <v>2600000</v>
      </c>
      <c r="Q17" s="518"/>
      <c r="R17" s="518"/>
      <c r="S17" s="559">
        <v>4500000</v>
      </c>
      <c r="T17" s="560"/>
    </row>
    <row r="18" spans="1:20" s="561" customFormat="1" ht="32.25" customHeight="1" x14ac:dyDescent="0.2">
      <c r="A18" s="552">
        <v>87</v>
      </c>
      <c r="B18" s="553">
        <v>45668</v>
      </c>
      <c r="C18" s="314" t="s">
        <v>415</v>
      </c>
      <c r="D18" s="554"/>
      <c r="E18" s="555">
        <v>1</v>
      </c>
      <c r="F18" s="314" t="s">
        <v>418</v>
      </c>
      <c r="G18" s="317" t="s">
        <v>191</v>
      </c>
      <c r="H18" s="317" t="s">
        <v>180</v>
      </c>
      <c r="I18" s="556" t="s">
        <v>181</v>
      </c>
      <c r="J18" s="555" t="s">
        <v>39</v>
      </c>
      <c r="K18" s="314" t="s">
        <v>1629</v>
      </c>
      <c r="L18" s="557">
        <v>124734</v>
      </c>
      <c r="M18" s="319">
        <v>1500000</v>
      </c>
      <c r="N18" s="518"/>
      <c r="O18" s="532"/>
      <c r="P18" s="558"/>
      <c r="Q18" s="518"/>
      <c r="R18" s="518"/>
      <c r="S18" s="559">
        <v>4500000</v>
      </c>
      <c r="T18" s="560"/>
    </row>
    <row r="19" spans="1:20" s="561" customFormat="1" ht="32.25" customHeight="1" x14ac:dyDescent="0.2">
      <c r="A19" s="552">
        <v>88</v>
      </c>
      <c r="B19" s="553">
        <v>45668</v>
      </c>
      <c r="C19" s="314" t="s">
        <v>415</v>
      </c>
      <c r="D19" s="554"/>
      <c r="E19" s="555">
        <v>1</v>
      </c>
      <c r="F19" s="314" t="s">
        <v>420</v>
      </c>
      <c r="G19" s="317" t="s">
        <v>204</v>
      </c>
      <c r="H19" s="317" t="s">
        <v>180</v>
      </c>
      <c r="I19" s="556" t="s">
        <v>181</v>
      </c>
      <c r="J19" s="555" t="s">
        <v>39</v>
      </c>
      <c r="K19" s="314" t="s">
        <v>1629</v>
      </c>
      <c r="L19" s="557">
        <v>124807</v>
      </c>
      <c r="M19" s="319">
        <v>1500000</v>
      </c>
      <c r="N19" s="518"/>
      <c r="O19" s="532"/>
      <c r="P19" s="558"/>
      <c r="Q19" s="518"/>
      <c r="R19" s="518"/>
      <c r="S19" s="559">
        <v>4500000</v>
      </c>
      <c r="T19" s="560"/>
    </row>
    <row r="20" spans="1:20" s="561" customFormat="1" ht="32.25" customHeight="1" x14ac:dyDescent="0.2">
      <c r="A20" s="552">
        <v>89</v>
      </c>
      <c r="B20" s="553">
        <v>45964</v>
      </c>
      <c r="C20" s="314">
        <v>7263702820</v>
      </c>
      <c r="D20" s="554"/>
      <c r="E20" s="555">
        <v>1</v>
      </c>
      <c r="F20" s="314" t="s">
        <v>422</v>
      </c>
      <c r="G20" s="317" t="s">
        <v>368</v>
      </c>
      <c r="H20" s="315" t="s">
        <v>172</v>
      </c>
      <c r="I20" s="556" t="s">
        <v>173</v>
      </c>
      <c r="J20" s="314" t="s">
        <v>1629</v>
      </c>
      <c r="K20" s="314" t="s">
        <v>39</v>
      </c>
      <c r="L20" s="557">
        <v>125177</v>
      </c>
      <c r="M20" s="319">
        <v>1500000</v>
      </c>
      <c r="N20" s="518"/>
      <c r="O20" s="532"/>
      <c r="P20" s="558"/>
      <c r="Q20" s="518"/>
      <c r="R20" s="518"/>
      <c r="S20" s="559">
        <v>2700000</v>
      </c>
      <c r="T20" s="560"/>
    </row>
    <row r="21" spans="1:20" s="561" customFormat="1" ht="32.25" customHeight="1" x14ac:dyDescent="0.2">
      <c r="A21" s="552">
        <v>90</v>
      </c>
      <c r="B21" s="553">
        <v>45964</v>
      </c>
      <c r="C21" s="314">
        <v>7263702820</v>
      </c>
      <c r="D21" s="554"/>
      <c r="E21" s="555">
        <v>1</v>
      </c>
      <c r="F21" s="314" t="s">
        <v>424</v>
      </c>
      <c r="G21" s="317" t="s">
        <v>341</v>
      </c>
      <c r="H21" s="315" t="s">
        <v>172</v>
      </c>
      <c r="I21" s="556" t="s">
        <v>173</v>
      </c>
      <c r="J21" s="314" t="s">
        <v>1629</v>
      </c>
      <c r="K21" s="314" t="s">
        <v>39</v>
      </c>
      <c r="L21" s="557">
        <v>125174</v>
      </c>
      <c r="M21" s="319">
        <v>1500000</v>
      </c>
      <c r="N21" s="518"/>
      <c r="O21" s="532"/>
      <c r="P21" s="558"/>
      <c r="Q21" s="518"/>
      <c r="R21" s="518"/>
      <c r="S21" s="559">
        <v>2700000</v>
      </c>
      <c r="T21" s="560"/>
    </row>
    <row r="22" spans="1:20" s="561" customFormat="1" ht="32.25" customHeight="1" x14ac:dyDescent="0.2">
      <c r="A22" s="552">
        <v>91</v>
      </c>
      <c r="B22" s="553">
        <v>45964</v>
      </c>
      <c r="C22" s="314">
        <v>7263632461</v>
      </c>
      <c r="D22" s="554"/>
      <c r="E22" s="555">
        <v>1</v>
      </c>
      <c r="F22" s="314" t="s">
        <v>426</v>
      </c>
      <c r="G22" s="317" t="s">
        <v>219</v>
      </c>
      <c r="H22" s="317" t="s">
        <v>298</v>
      </c>
      <c r="I22" s="556" t="s">
        <v>299</v>
      </c>
      <c r="J22" s="314" t="s">
        <v>1629</v>
      </c>
      <c r="K22" s="314" t="s">
        <v>39</v>
      </c>
      <c r="L22" s="557">
        <v>125164</v>
      </c>
      <c r="M22" s="319">
        <v>1500000</v>
      </c>
      <c r="N22" s="518"/>
      <c r="O22" s="532"/>
      <c r="P22" s="558"/>
      <c r="Q22" s="518"/>
      <c r="R22" s="518"/>
      <c r="S22" s="559">
        <v>5300000</v>
      </c>
      <c r="T22" s="560"/>
    </row>
    <row r="23" spans="1:20" s="561" customFormat="1" ht="32.25" customHeight="1" x14ac:dyDescent="0.2">
      <c r="A23" s="552">
        <v>92</v>
      </c>
      <c r="B23" s="553">
        <v>45964</v>
      </c>
      <c r="C23" s="314">
        <v>7263678330</v>
      </c>
      <c r="D23" s="554"/>
      <c r="E23" s="555">
        <v>1</v>
      </c>
      <c r="F23" s="314" t="s">
        <v>428</v>
      </c>
      <c r="G23" s="317" t="s">
        <v>191</v>
      </c>
      <c r="H23" s="317" t="s">
        <v>180</v>
      </c>
      <c r="I23" s="556" t="s">
        <v>181</v>
      </c>
      <c r="J23" s="314" t="s">
        <v>1630</v>
      </c>
      <c r="K23" s="314" t="s">
        <v>39</v>
      </c>
      <c r="L23" s="557">
        <v>136008</v>
      </c>
      <c r="M23" s="319">
        <v>1500000</v>
      </c>
      <c r="N23" s="518"/>
      <c r="O23" s="532"/>
      <c r="P23" s="558"/>
      <c r="Q23" s="518"/>
      <c r="R23" s="518"/>
      <c r="S23" s="559">
        <v>4500000</v>
      </c>
      <c r="T23" s="560"/>
    </row>
    <row r="24" spans="1:20" s="561" customFormat="1" ht="32.25" customHeight="1" x14ac:dyDescent="0.2">
      <c r="A24" s="552">
        <v>93</v>
      </c>
      <c r="B24" s="562">
        <v>45964</v>
      </c>
      <c r="C24" s="563">
        <v>7263625870</v>
      </c>
      <c r="D24" s="564"/>
      <c r="E24" s="565">
        <v>1</v>
      </c>
      <c r="F24" s="563" t="s">
        <v>430</v>
      </c>
      <c r="G24" s="566" t="s">
        <v>308</v>
      </c>
      <c r="H24" s="315" t="s">
        <v>172</v>
      </c>
      <c r="I24" s="567" t="s">
        <v>173</v>
      </c>
      <c r="J24" s="563" t="s">
        <v>1629</v>
      </c>
      <c r="K24" s="314" t="s">
        <v>39</v>
      </c>
      <c r="L24" s="557">
        <v>125191</v>
      </c>
      <c r="M24" s="319">
        <v>1500000</v>
      </c>
      <c r="N24" s="518"/>
      <c r="O24" s="532"/>
      <c r="P24" s="558"/>
      <c r="Q24" s="518"/>
      <c r="R24" s="518"/>
      <c r="S24" s="559">
        <v>2700000</v>
      </c>
      <c r="T24" s="560"/>
    </row>
    <row r="25" spans="1:20" s="561" customFormat="1" ht="32.25" customHeight="1" x14ac:dyDescent="0.2">
      <c r="A25" s="552">
        <v>94</v>
      </c>
      <c r="B25" s="553">
        <v>45964</v>
      </c>
      <c r="C25" s="314">
        <v>261260495</v>
      </c>
      <c r="D25" s="554"/>
      <c r="E25" s="555">
        <v>1</v>
      </c>
      <c r="F25" s="314" t="s">
        <v>432</v>
      </c>
      <c r="G25" s="317" t="s">
        <v>207</v>
      </c>
      <c r="H25" s="317" t="s">
        <v>298</v>
      </c>
      <c r="I25" s="556" t="s">
        <v>299</v>
      </c>
      <c r="J25" s="568" t="s">
        <v>1637</v>
      </c>
      <c r="K25" s="318" t="s">
        <v>39</v>
      </c>
      <c r="L25" s="557">
        <v>121867</v>
      </c>
      <c r="M25" s="319">
        <v>1450000</v>
      </c>
      <c r="N25" s="518"/>
      <c r="O25" s="532"/>
      <c r="P25" s="558"/>
      <c r="Q25" s="518"/>
      <c r="R25" s="518"/>
      <c r="S25" s="559">
        <v>5300000</v>
      </c>
      <c r="T25" s="560"/>
    </row>
    <row r="26" spans="1:20" s="561" customFormat="1" ht="32.25" customHeight="1" x14ac:dyDescent="0.2">
      <c r="A26" s="552">
        <v>95</v>
      </c>
      <c r="B26" s="569">
        <v>45965</v>
      </c>
      <c r="C26" s="314" t="s">
        <v>435</v>
      </c>
      <c r="D26" s="554"/>
      <c r="E26" s="555">
        <v>1</v>
      </c>
      <c r="F26" s="314" t="s">
        <v>436</v>
      </c>
      <c r="G26" s="317" t="s">
        <v>194</v>
      </c>
      <c r="H26" s="315" t="s">
        <v>172</v>
      </c>
      <c r="I26" s="556" t="s">
        <v>173</v>
      </c>
      <c r="J26" s="314" t="s">
        <v>1631</v>
      </c>
      <c r="K26" s="314" t="s">
        <v>39</v>
      </c>
      <c r="L26" s="317">
        <v>398267</v>
      </c>
      <c r="M26" s="319">
        <v>1500000</v>
      </c>
      <c r="N26" s="518"/>
      <c r="O26" s="532"/>
      <c r="P26" s="558"/>
      <c r="Q26" s="518"/>
      <c r="R26" s="518"/>
      <c r="S26" s="559">
        <v>2700000</v>
      </c>
      <c r="T26" s="560"/>
    </row>
    <row r="27" spans="1:20" s="561" customFormat="1" ht="32.25" customHeight="1" x14ac:dyDescent="0.2">
      <c r="A27" s="552">
        <v>96</v>
      </c>
      <c r="B27" s="569">
        <v>45965</v>
      </c>
      <c r="C27" s="314" t="s">
        <v>435</v>
      </c>
      <c r="D27" s="554"/>
      <c r="E27" s="555">
        <v>1</v>
      </c>
      <c r="F27" s="568" t="s">
        <v>437</v>
      </c>
      <c r="G27" s="317" t="s">
        <v>305</v>
      </c>
      <c r="H27" s="315" t="s">
        <v>172</v>
      </c>
      <c r="I27" s="556" t="s">
        <v>173</v>
      </c>
      <c r="J27" s="314" t="s">
        <v>1631</v>
      </c>
      <c r="K27" s="314" t="s">
        <v>39</v>
      </c>
      <c r="L27" s="317">
        <v>398342</v>
      </c>
      <c r="M27" s="319">
        <v>1500000</v>
      </c>
      <c r="N27" s="518"/>
      <c r="O27" s="532"/>
      <c r="P27" s="558"/>
      <c r="Q27" s="518"/>
      <c r="R27" s="518"/>
      <c r="S27" s="559">
        <v>2700000</v>
      </c>
      <c r="T27" s="560"/>
    </row>
    <row r="28" spans="1:20" s="561" customFormat="1" ht="32.25" customHeight="1" x14ac:dyDescent="0.2">
      <c r="A28" s="552">
        <v>97</v>
      </c>
      <c r="B28" s="569">
        <v>45965</v>
      </c>
      <c r="C28" s="314" t="s">
        <v>435</v>
      </c>
      <c r="D28" s="570"/>
      <c r="E28" s="571">
        <v>1</v>
      </c>
      <c r="F28" s="314" t="s">
        <v>438</v>
      </c>
      <c r="G28" s="317" t="s">
        <v>204</v>
      </c>
      <c r="H28" s="315" t="s">
        <v>172</v>
      </c>
      <c r="I28" s="556" t="s">
        <v>173</v>
      </c>
      <c r="J28" s="314" t="s">
        <v>1631</v>
      </c>
      <c r="K28" s="314" t="s">
        <v>39</v>
      </c>
      <c r="L28" s="317">
        <v>398434</v>
      </c>
      <c r="M28" s="319">
        <v>1500000</v>
      </c>
      <c r="N28" s="518"/>
      <c r="O28" s="532"/>
      <c r="P28" s="558"/>
      <c r="Q28" s="518"/>
      <c r="R28" s="518"/>
      <c r="S28" s="559">
        <v>2700000</v>
      </c>
      <c r="T28" s="560"/>
    </row>
    <row r="29" spans="1:20" s="561" customFormat="1" ht="32.25" customHeight="1" x14ac:dyDescent="0.2">
      <c r="A29" s="552">
        <v>98</v>
      </c>
      <c r="B29" s="553">
        <v>45966</v>
      </c>
      <c r="C29" s="314">
        <v>258303573</v>
      </c>
      <c r="D29" s="554"/>
      <c r="E29" s="555">
        <v>1</v>
      </c>
      <c r="F29" s="314" t="s">
        <v>439</v>
      </c>
      <c r="G29" s="314" t="s">
        <v>440</v>
      </c>
      <c r="H29" s="317" t="s">
        <v>180</v>
      </c>
      <c r="I29" s="556" t="s">
        <v>181</v>
      </c>
      <c r="J29" s="555" t="s">
        <v>441</v>
      </c>
      <c r="K29" s="314" t="s">
        <v>1638</v>
      </c>
      <c r="L29" s="557" t="s">
        <v>443</v>
      </c>
      <c r="M29" s="319">
        <v>1500000</v>
      </c>
      <c r="N29" s="518"/>
      <c r="O29" s="532"/>
      <c r="P29" s="558"/>
      <c r="Q29" s="518"/>
      <c r="R29" s="518"/>
      <c r="S29" s="559">
        <v>4500000</v>
      </c>
      <c r="T29" s="560"/>
    </row>
    <row r="30" spans="1:20" s="561" customFormat="1" ht="32.25" customHeight="1" x14ac:dyDescent="0.2">
      <c r="A30" s="552">
        <v>99</v>
      </c>
      <c r="B30" s="553">
        <v>45966</v>
      </c>
      <c r="C30" s="314">
        <v>7263119590</v>
      </c>
      <c r="D30" s="554"/>
      <c r="E30" s="555">
        <v>1</v>
      </c>
      <c r="F30" s="314" t="s">
        <v>444</v>
      </c>
      <c r="G30" s="314" t="s">
        <v>445</v>
      </c>
      <c r="H30" s="315" t="s">
        <v>172</v>
      </c>
      <c r="I30" s="556" t="s">
        <v>173</v>
      </c>
      <c r="J30" s="314" t="s">
        <v>1629</v>
      </c>
      <c r="K30" s="314" t="s">
        <v>39</v>
      </c>
      <c r="L30" s="557">
        <v>125957</v>
      </c>
      <c r="M30" s="319">
        <v>1500000</v>
      </c>
      <c r="N30" s="518"/>
      <c r="O30" s="532"/>
      <c r="P30" s="558"/>
      <c r="Q30" s="518"/>
      <c r="R30" s="518"/>
      <c r="S30" s="559">
        <v>2700000</v>
      </c>
      <c r="T30" s="560"/>
    </row>
    <row r="31" spans="1:20" s="561" customFormat="1" ht="32.25" customHeight="1" x14ac:dyDescent="0.2">
      <c r="A31" s="552">
        <v>100</v>
      </c>
      <c r="B31" s="553">
        <v>45966</v>
      </c>
      <c r="C31" s="314">
        <v>7263119590</v>
      </c>
      <c r="D31" s="554"/>
      <c r="E31" s="555">
        <v>1</v>
      </c>
      <c r="F31" s="314" t="s">
        <v>447</v>
      </c>
      <c r="G31" s="568" t="s">
        <v>318</v>
      </c>
      <c r="H31" s="315" t="s">
        <v>172</v>
      </c>
      <c r="I31" s="556" t="s">
        <v>173</v>
      </c>
      <c r="J31" s="314" t="s">
        <v>1629</v>
      </c>
      <c r="K31" s="314" t="s">
        <v>39</v>
      </c>
      <c r="L31" s="787">
        <v>125993</v>
      </c>
      <c r="M31" s="319">
        <v>1500000</v>
      </c>
      <c r="N31" s="518"/>
      <c r="O31" s="532"/>
      <c r="P31" s="558"/>
      <c r="Q31" s="518"/>
      <c r="R31" s="518"/>
      <c r="S31" s="559">
        <v>2700000</v>
      </c>
      <c r="T31" s="560"/>
    </row>
    <row r="32" spans="1:20" s="561" customFormat="1" ht="32.25" customHeight="1" x14ac:dyDescent="0.2">
      <c r="A32" s="552">
        <v>101</v>
      </c>
      <c r="B32" s="553">
        <v>45966</v>
      </c>
      <c r="C32" s="314">
        <v>7263119590</v>
      </c>
      <c r="D32" s="554"/>
      <c r="E32" s="555">
        <v>1</v>
      </c>
      <c r="F32" s="314" t="s">
        <v>449</v>
      </c>
      <c r="G32" s="314" t="s">
        <v>450</v>
      </c>
      <c r="H32" s="315" t="s">
        <v>172</v>
      </c>
      <c r="I32" s="556" t="s">
        <v>173</v>
      </c>
      <c r="J32" s="314" t="s">
        <v>1629</v>
      </c>
      <c r="K32" s="314" t="s">
        <v>39</v>
      </c>
      <c r="L32" s="788"/>
      <c r="M32" s="319">
        <v>1500000</v>
      </c>
      <c r="N32" s="518"/>
      <c r="O32" s="532"/>
      <c r="P32" s="558"/>
      <c r="Q32" s="518"/>
      <c r="R32" s="518"/>
      <c r="S32" s="559">
        <v>2700000</v>
      </c>
      <c r="T32" s="560"/>
    </row>
    <row r="33" spans="1:20" s="561" customFormat="1" ht="32.25" customHeight="1" x14ac:dyDescent="0.2">
      <c r="A33" s="552">
        <v>102</v>
      </c>
      <c r="B33" s="562">
        <v>45966</v>
      </c>
      <c r="C33" s="563">
        <v>7263119590</v>
      </c>
      <c r="D33" s="564"/>
      <c r="E33" s="565">
        <v>1</v>
      </c>
      <c r="F33" s="563" t="s">
        <v>452</v>
      </c>
      <c r="G33" s="563" t="s">
        <v>453</v>
      </c>
      <c r="H33" s="315" t="s">
        <v>172</v>
      </c>
      <c r="I33" s="556" t="s">
        <v>173</v>
      </c>
      <c r="J33" s="314" t="s">
        <v>1629</v>
      </c>
      <c r="K33" s="314" t="s">
        <v>39</v>
      </c>
      <c r="L33" s="557">
        <v>126012</v>
      </c>
      <c r="M33" s="319">
        <v>1500000</v>
      </c>
      <c r="N33" s="518"/>
      <c r="O33" s="532"/>
      <c r="P33" s="558"/>
      <c r="Q33" s="518"/>
      <c r="R33" s="518"/>
      <c r="S33" s="559">
        <v>2700000</v>
      </c>
      <c r="T33" s="560"/>
    </row>
    <row r="34" spans="1:20" s="561" customFormat="1" ht="32.25" customHeight="1" x14ac:dyDescent="0.2">
      <c r="A34" s="552">
        <v>103</v>
      </c>
      <c r="B34" s="562">
        <v>45966</v>
      </c>
      <c r="C34" s="314" t="s">
        <v>455</v>
      </c>
      <c r="D34" s="564"/>
      <c r="E34" s="565">
        <v>1</v>
      </c>
      <c r="F34" s="563" t="s">
        <v>456</v>
      </c>
      <c r="G34" s="563" t="s">
        <v>354</v>
      </c>
      <c r="H34" s="572" t="s">
        <v>180</v>
      </c>
      <c r="I34" s="556" t="s">
        <v>181</v>
      </c>
      <c r="J34" s="314" t="s">
        <v>457</v>
      </c>
      <c r="K34" s="314" t="s">
        <v>39</v>
      </c>
      <c r="L34" s="557">
        <v>149295</v>
      </c>
      <c r="M34" s="319">
        <v>1500000</v>
      </c>
      <c r="N34" s="518"/>
      <c r="O34" s="532"/>
      <c r="P34" s="558"/>
      <c r="Q34" s="518"/>
      <c r="R34" s="518"/>
      <c r="S34" s="559">
        <v>4500000</v>
      </c>
      <c r="T34" s="560"/>
    </row>
    <row r="35" spans="1:20" s="561" customFormat="1" ht="32.25" customHeight="1" x14ac:dyDescent="0.2">
      <c r="A35" s="552">
        <v>104</v>
      </c>
      <c r="B35" s="553">
        <v>45967</v>
      </c>
      <c r="C35" s="568" t="s">
        <v>459</v>
      </c>
      <c r="D35" s="568"/>
      <c r="E35" s="568">
        <v>1</v>
      </c>
      <c r="F35" s="314" t="s">
        <v>460</v>
      </c>
      <c r="G35" s="314" t="s">
        <v>194</v>
      </c>
      <c r="H35" s="572" t="s">
        <v>1632</v>
      </c>
      <c r="I35" s="573" t="s">
        <v>256</v>
      </c>
      <c r="J35" s="574" t="s">
        <v>39</v>
      </c>
      <c r="K35" s="314" t="s">
        <v>1639</v>
      </c>
      <c r="L35" s="557">
        <v>7478</v>
      </c>
      <c r="M35" s="319">
        <v>1500000</v>
      </c>
      <c r="N35" s="518"/>
      <c r="O35" s="532"/>
      <c r="P35" s="558"/>
      <c r="Q35" s="518"/>
      <c r="R35" s="518"/>
      <c r="S35" s="559">
        <v>4500000</v>
      </c>
      <c r="T35" s="560"/>
    </row>
    <row r="36" spans="1:20" s="561" customFormat="1" ht="32.25" customHeight="1" x14ac:dyDescent="0.2">
      <c r="A36" s="552">
        <v>105</v>
      </c>
      <c r="B36" s="553">
        <v>45967</v>
      </c>
      <c r="C36" s="568" t="s">
        <v>459</v>
      </c>
      <c r="D36" s="554"/>
      <c r="E36" s="568">
        <v>1</v>
      </c>
      <c r="F36" s="314" t="s">
        <v>463</v>
      </c>
      <c r="G36" s="568" t="s">
        <v>284</v>
      </c>
      <c r="H36" s="572" t="s">
        <v>1632</v>
      </c>
      <c r="I36" s="573" t="s">
        <v>256</v>
      </c>
      <c r="J36" s="574" t="s">
        <v>39</v>
      </c>
      <c r="K36" s="314" t="s">
        <v>1639</v>
      </c>
      <c r="L36" s="317">
        <v>401361</v>
      </c>
      <c r="M36" s="319">
        <v>1500000</v>
      </c>
      <c r="N36" s="518"/>
      <c r="O36" s="532"/>
      <c r="P36" s="558"/>
      <c r="Q36" s="518"/>
      <c r="R36" s="518"/>
      <c r="S36" s="559">
        <v>4500000</v>
      </c>
      <c r="T36" s="560"/>
    </row>
    <row r="37" spans="1:20" s="561" customFormat="1" ht="32.25" customHeight="1" x14ac:dyDescent="0.2">
      <c r="A37" s="552">
        <v>106</v>
      </c>
      <c r="B37" s="553">
        <v>45967</v>
      </c>
      <c r="C37" s="568" t="s">
        <v>459</v>
      </c>
      <c r="D37" s="554"/>
      <c r="E37" s="568">
        <v>1</v>
      </c>
      <c r="F37" s="314" t="s">
        <v>464</v>
      </c>
      <c r="G37" s="314" t="s">
        <v>341</v>
      </c>
      <c r="H37" s="572" t="s">
        <v>1632</v>
      </c>
      <c r="I37" s="573" t="s">
        <v>256</v>
      </c>
      <c r="J37" s="574" t="s">
        <v>39</v>
      </c>
      <c r="K37" s="314" t="s">
        <v>1639</v>
      </c>
      <c r="L37" s="557">
        <v>7466</v>
      </c>
      <c r="M37" s="319">
        <v>1500000</v>
      </c>
      <c r="N37" s="518"/>
      <c r="O37" s="532"/>
      <c r="P37" s="558"/>
      <c r="Q37" s="518"/>
      <c r="R37" s="518"/>
      <c r="S37" s="559">
        <v>4500000</v>
      </c>
      <c r="T37" s="560"/>
    </row>
    <row r="38" spans="1:20" s="561" customFormat="1" ht="32.25" customHeight="1" x14ac:dyDescent="0.2">
      <c r="A38" s="552">
        <v>107</v>
      </c>
      <c r="B38" s="553">
        <v>45967</v>
      </c>
      <c r="C38" s="568" t="s">
        <v>459</v>
      </c>
      <c r="D38" s="554"/>
      <c r="E38" s="568">
        <v>1</v>
      </c>
      <c r="F38" s="314" t="s">
        <v>466</v>
      </c>
      <c r="G38" s="314" t="s">
        <v>284</v>
      </c>
      <c r="H38" s="572" t="s">
        <v>1632</v>
      </c>
      <c r="I38" s="573" t="s">
        <v>256</v>
      </c>
      <c r="J38" s="574" t="s">
        <v>39</v>
      </c>
      <c r="K38" s="314" t="s">
        <v>1639</v>
      </c>
      <c r="L38" s="316">
        <v>401876</v>
      </c>
      <c r="M38" s="319">
        <v>1500000</v>
      </c>
      <c r="N38" s="518"/>
      <c r="O38" s="532"/>
      <c r="P38" s="558"/>
      <c r="Q38" s="518"/>
      <c r="R38" s="518"/>
      <c r="S38" s="559">
        <v>4500000</v>
      </c>
      <c r="T38" s="560"/>
    </row>
    <row r="39" spans="1:20" s="561" customFormat="1" ht="32.25" customHeight="1" x14ac:dyDescent="0.2">
      <c r="A39" s="552">
        <v>108</v>
      </c>
      <c r="B39" s="553">
        <v>45967</v>
      </c>
      <c r="C39" s="568" t="s">
        <v>459</v>
      </c>
      <c r="D39" s="554"/>
      <c r="E39" s="568">
        <v>1</v>
      </c>
      <c r="F39" s="314" t="s">
        <v>467</v>
      </c>
      <c r="G39" s="314" t="s">
        <v>262</v>
      </c>
      <c r="H39" s="572" t="s">
        <v>1632</v>
      </c>
      <c r="I39" s="573" t="s">
        <v>256</v>
      </c>
      <c r="J39" s="574" t="s">
        <v>39</v>
      </c>
      <c r="K39" s="314" t="s">
        <v>1639</v>
      </c>
      <c r="L39" s="316">
        <v>402792</v>
      </c>
      <c r="M39" s="319">
        <v>1500000</v>
      </c>
      <c r="N39" s="518"/>
      <c r="O39" s="532"/>
      <c r="P39" s="558"/>
      <c r="Q39" s="518"/>
      <c r="R39" s="518"/>
      <c r="S39" s="559">
        <v>4500000</v>
      </c>
      <c r="T39" s="560"/>
    </row>
    <row r="40" spans="1:20" s="561" customFormat="1" ht="32.25" customHeight="1" x14ac:dyDescent="0.2">
      <c r="A40" s="552">
        <v>109</v>
      </c>
      <c r="B40" s="553">
        <v>45967</v>
      </c>
      <c r="C40" s="568" t="s">
        <v>459</v>
      </c>
      <c r="D40" s="554"/>
      <c r="E40" s="568">
        <v>1</v>
      </c>
      <c r="F40" s="314" t="s">
        <v>468</v>
      </c>
      <c r="G40" s="317" t="s">
        <v>198</v>
      </c>
      <c r="H40" s="572" t="s">
        <v>1632</v>
      </c>
      <c r="I40" s="573" t="s">
        <v>256</v>
      </c>
      <c r="J40" s="574" t="s">
        <v>39</v>
      </c>
      <c r="K40" s="314" t="s">
        <v>1639</v>
      </c>
      <c r="L40" s="317">
        <v>401872</v>
      </c>
      <c r="M40" s="319">
        <v>1500000</v>
      </c>
      <c r="N40" s="518"/>
      <c r="O40" s="532"/>
      <c r="P40" s="558"/>
      <c r="Q40" s="518"/>
      <c r="R40" s="518"/>
      <c r="S40" s="559">
        <v>4500000</v>
      </c>
      <c r="T40" s="560"/>
    </row>
    <row r="41" spans="1:20" s="561" customFormat="1" ht="32.25" customHeight="1" x14ac:dyDescent="0.2">
      <c r="A41" s="552">
        <v>110</v>
      </c>
      <c r="B41" s="553">
        <v>45967</v>
      </c>
      <c r="C41" s="568" t="s">
        <v>459</v>
      </c>
      <c r="D41" s="554"/>
      <c r="E41" s="568">
        <v>1</v>
      </c>
      <c r="F41" s="314" t="s">
        <v>469</v>
      </c>
      <c r="G41" s="317" t="s">
        <v>470</v>
      </c>
      <c r="H41" s="572" t="s">
        <v>1632</v>
      </c>
      <c r="I41" s="573" t="s">
        <v>256</v>
      </c>
      <c r="J41" s="574" t="s">
        <v>39</v>
      </c>
      <c r="K41" s="314" t="s">
        <v>1639</v>
      </c>
      <c r="L41" s="317">
        <v>7449</v>
      </c>
      <c r="M41" s="319">
        <v>1500000</v>
      </c>
      <c r="N41" s="518"/>
      <c r="O41" s="532"/>
      <c r="P41" s="558"/>
      <c r="Q41" s="518"/>
      <c r="R41" s="518"/>
      <c r="S41" s="559">
        <v>4500000</v>
      </c>
      <c r="T41" s="560"/>
    </row>
    <row r="42" spans="1:20" s="561" customFormat="1" ht="32.25" customHeight="1" x14ac:dyDescent="0.2">
      <c r="A42" s="552">
        <v>111</v>
      </c>
      <c r="B42" s="553">
        <v>45967</v>
      </c>
      <c r="C42" s="568" t="s">
        <v>459</v>
      </c>
      <c r="D42" s="554"/>
      <c r="E42" s="568">
        <v>1</v>
      </c>
      <c r="F42" s="314" t="s">
        <v>471</v>
      </c>
      <c r="G42" s="317" t="s">
        <v>472</v>
      </c>
      <c r="H42" s="572" t="s">
        <v>1632</v>
      </c>
      <c r="I42" s="573" t="s">
        <v>256</v>
      </c>
      <c r="J42" s="574" t="s">
        <v>39</v>
      </c>
      <c r="K42" s="314" t="s">
        <v>1639</v>
      </c>
      <c r="L42" s="316">
        <v>401609</v>
      </c>
      <c r="M42" s="319">
        <v>1500000</v>
      </c>
      <c r="N42" s="518"/>
      <c r="O42" s="532"/>
      <c r="P42" s="558"/>
      <c r="Q42" s="518"/>
      <c r="R42" s="518"/>
      <c r="S42" s="559">
        <v>4500000</v>
      </c>
      <c r="T42" s="560"/>
    </row>
    <row r="43" spans="1:20" s="561" customFormat="1" ht="32.25" customHeight="1" x14ac:dyDescent="0.2">
      <c r="A43" s="552">
        <v>112</v>
      </c>
      <c r="B43" s="553">
        <v>45967</v>
      </c>
      <c r="C43" s="568" t="s">
        <v>459</v>
      </c>
      <c r="D43" s="554"/>
      <c r="E43" s="568">
        <v>1</v>
      </c>
      <c r="F43" s="314" t="s">
        <v>473</v>
      </c>
      <c r="G43" s="317" t="s">
        <v>474</v>
      </c>
      <c r="H43" s="572" t="s">
        <v>1632</v>
      </c>
      <c r="I43" s="573" t="s">
        <v>256</v>
      </c>
      <c r="J43" s="574" t="s">
        <v>39</v>
      </c>
      <c r="K43" s="314" t="s">
        <v>1639</v>
      </c>
      <c r="L43" s="316">
        <v>401839</v>
      </c>
      <c r="M43" s="319">
        <v>1500000</v>
      </c>
      <c r="N43" s="518"/>
      <c r="O43" s="532"/>
      <c r="P43" s="558"/>
      <c r="Q43" s="518"/>
      <c r="R43" s="518"/>
      <c r="S43" s="559">
        <v>4500000</v>
      </c>
      <c r="T43" s="560"/>
    </row>
    <row r="44" spans="1:20" s="561" customFormat="1" ht="32.25" customHeight="1" x14ac:dyDescent="0.2">
      <c r="A44" s="552">
        <v>113</v>
      </c>
      <c r="B44" s="553">
        <v>45967</v>
      </c>
      <c r="C44" s="568" t="s">
        <v>476</v>
      </c>
      <c r="D44" s="554"/>
      <c r="E44" s="568">
        <v>1</v>
      </c>
      <c r="F44" s="568" t="s">
        <v>477</v>
      </c>
      <c r="G44" s="566" t="s">
        <v>308</v>
      </c>
      <c r="H44" s="315" t="s">
        <v>172</v>
      </c>
      <c r="I44" s="556" t="s">
        <v>173</v>
      </c>
      <c r="J44" s="574" t="s">
        <v>1637</v>
      </c>
      <c r="K44" s="314" t="s">
        <v>39</v>
      </c>
      <c r="L44" s="316">
        <v>123544</v>
      </c>
      <c r="M44" s="319">
        <v>1450000</v>
      </c>
      <c r="N44" s="518"/>
      <c r="O44" s="532"/>
      <c r="P44" s="558"/>
      <c r="Q44" s="518"/>
      <c r="R44" s="518"/>
      <c r="S44" s="559">
        <v>2700000</v>
      </c>
      <c r="T44" s="560"/>
    </row>
    <row r="45" spans="1:20" s="561" customFormat="1" ht="32.25" customHeight="1" x14ac:dyDescent="0.2">
      <c r="A45" s="552">
        <v>114</v>
      </c>
      <c r="B45" s="553">
        <v>45967</v>
      </c>
      <c r="C45" s="314" t="s">
        <v>476</v>
      </c>
      <c r="D45" s="570"/>
      <c r="E45" s="575">
        <v>1</v>
      </c>
      <c r="F45" s="314" t="s">
        <v>479</v>
      </c>
      <c r="G45" s="317" t="s">
        <v>225</v>
      </c>
      <c r="H45" s="315" t="s">
        <v>172</v>
      </c>
      <c r="I45" s="556" t="s">
        <v>173</v>
      </c>
      <c r="J45" s="568" t="s">
        <v>1640</v>
      </c>
      <c r="K45" s="314" t="s">
        <v>39</v>
      </c>
      <c r="L45" s="576">
        <v>292476</v>
      </c>
      <c r="M45" s="319">
        <v>1500000</v>
      </c>
      <c r="N45" s="518"/>
      <c r="O45" s="532"/>
      <c r="P45" s="558"/>
      <c r="Q45" s="518"/>
      <c r="R45" s="518"/>
      <c r="S45" s="559">
        <v>2700000</v>
      </c>
      <c r="T45" s="560"/>
    </row>
    <row r="46" spans="1:20" s="561" customFormat="1" ht="32.25" customHeight="1" x14ac:dyDescent="0.2">
      <c r="A46" s="552">
        <v>115</v>
      </c>
      <c r="B46" s="553">
        <v>45967</v>
      </c>
      <c r="C46" s="314" t="s">
        <v>476</v>
      </c>
      <c r="D46" s="570"/>
      <c r="E46" s="575">
        <v>1</v>
      </c>
      <c r="F46" s="314" t="s">
        <v>482</v>
      </c>
      <c r="G46" s="317" t="s">
        <v>216</v>
      </c>
      <c r="H46" s="315" t="s">
        <v>172</v>
      </c>
      <c r="I46" s="556" t="s">
        <v>173</v>
      </c>
      <c r="J46" s="314" t="s">
        <v>1637</v>
      </c>
      <c r="K46" s="314" t="s">
        <v>39</v>
      </c>
      <c r="L46" s="576">
        <v>123568</v>
      </c>
      <c r="M46" s="319">
        <v>1350000</v>
      </c>
      <c r="N46" s="518"/>
      <c r="O46" s="532"/>
      <c r="P46" s="558"/>
      <c r="Q46" s="518"/>
      <c r="R46" s="518"/>
      <c r="S46" s="559">
        <v>2700000</v>
      </c>
      <c r="T46" s="560"/>
    </row>
    <row r="47" spans="1:20" s="561" customFormat="1" ht="32.25" customHeight="1" x14ac:dyDescent="0.2">
      <c r="A47" s="552">
        <v>116</v>
      </c>
      <c r="B47" s="553">
        <v>45967</v>
      </c>
      <c r="C47" s="314" t="s">
        <v>476</v>
      </c>
      <c r="D47" s="570"/>
      <c r="E47" s="575">
        <v>1</v>
      </c>
      <c r="F47" s="314" t="s">
        <v>484</v>
      </c>
      <c r="G47" s="317" t="s">
        <v>341</v>
      </c>
      <c r="H47" s="315" t="s">
        <v>172</v>
      </c>
      <c r="I47" s="567" t="s">
        <v>173</v>
      </c>
      <c r="J47" s="568" t="s">
        <v>1637</v>
      </c>
      <c r="K47" s="314" t="s">
        <v>39</v>
      </c>
      <c r="L47" s="576">
        <v>123514</v>
      </c>
      <c r="M47" s="319">
        <v>1450000</v>
      </c>
      <c r="N47" s="518"/>
      <c r="O47" s="532"/>
      <c r="P47" s="558"/>
      <c r="Q47" s="518"/>
      <c r="R47" s="518"/>
      <c r="S47" s="559">
        <v>2700000</v>
      </c>
      <c r="T47" s="560"/>
    </row>
    <row r="48" spans="1:20" s="561" customFormat="1" ht="32.25" customHeight="1" x14ac:dyDescent="0.2">
      <c r="A48" s="552">
        <v>117</v>
      </c>
      <c r="B48" s="562">
        <v>45967</v>
      </c>
      <c r="C48" s="314" t="s">
        <v>459</v>
      </c>
      <c r="D48" s="577"/>
      <c r="E48" s="578">
        <v>1</v>
      </c>
      <c r="F48" s="579" t="s">
        <v>475</v>
      </c>
      <c r="G48" s="317" t="s">
        <v>302</v>
      </c>
      <c r="H48" s="580" t="s">
        <v>1641</v>
      </c>
      <c r="I48" s="573" t="s">
        <v>256</v>
      </c>
      <c r="J48" s="579" t="s">
        <v>39</v>
      </c>
      <c r="K48" s="563" t="s">
        <v>1639</v>
      </c>
      <c r="L48" s="557">
        <v>401557</v>
      </c>
      <c r="M48" s="319">
        <v>1500000</v>
      </c>
      <c r="N48" s="518"/>
      <c r="O48" s="532"/>
      <c r="P48" s="558"/>
      <c r="Q48" s="518"/>
      <c r="R48" s="518"/>
      <c r="S48" s="559">
        <v>4500000</v>
      </c>
      <c r="T48" s="560"/>
    </row>
    <row r="49" spans="1:20" s="561" customFormat="1" ht="32.25" customHeight="1" x14ac:dyDescent="0.2">
      <c r="A49" s="552">
        <v>118</v>
      </c>
      <c r="B49" s="553">
        <v>45968</v>
      </c>
      <c r="C49" s="314" t="s">
        <v>459</v>
      </c>
      <c r="D49" s="554"/>
      <c r="E49" s="568">
        <v>1</v>
      </c>
      <c r="F49" s="314" t="s">
        <v>487</v>
      </c>
      <c r="G49" s="566" t="s">
        <v>228</v>
      </c>
      <c r="H49" s="581" t="s">
        <v>1632</v>
      </c>
      <c r="I49" s="573" t="s">
        <v>256</v>
      </c>
      <c r="J49" s="568" t="s">
        <v>39</v>
      </c>
      <c r="K49" s="314" t="s">
        <v>1639</v>
      </c>
      <c r="L49" s="557">
        <v>7546</v>
      </c>
      <c r="M49" s="319">
        <v>1500000</v>
      </c>
      <c r="N49" s="518"/>
      <c r="O49" s="532"/>
      <c r="P49" s="558"/>
      <c r="Q49" s="518"/>
      <c r="R49" s="518"/>
      <c r="S49" s="559">
        <v>4500000</v>
      </c>
      <c r="T49" s="560"/>
    </row>
    <row r="50" spans="1:20" s="561" customFormat="1" ht="32.25" customHeight="1" x14ac:dyDescent="0.2">
      <c r="A50" s="552">
        <v>119</v>
      </c>
      <c r="B50" s="553">
        <v>45968</v>
      </c>
      <c r="C50" s="314" t="s">
        <v>459</v>
      </c>
      <c r="D50" s="554"/>
      <c r="E50" s="568">
        <v>1</v>
      </c>
      <c r="F50" s="314" t="s">
        <v>489</v>
      </c>
      <c r="G50" s="317" t="s">
        <v>219</v>
      </c>
      <c r="H50" s="581" t="s">
        <v>1632</v>
      </c>
      <c r="I50" s="573" t="s">
        <v>256</v>
      </c>
      <c r="J50" s="568" t="s">
        <v>39</v>
      </c>
      <c r="K50" s="314" t="s">
        <v>1639</v>
      </c>
      <c r="L50" s="316">
        <v>403510</v>
      </c>
      <c r="M50" s="319">
        <v>1500000</v>
      </c>
      <c r="N50" s="518"/>
      <c r="O50" s="532"/>
      <c r="P50" s="558"/>
      <c r="Q50" s="518"/>
      <c r="R50" s="518"/>
      <c r="S50" s="559">
        <v>4500000</v>
      </c>
      <c r="T50" s="560"/>
    </row>
    <row r="51" spans="1:20" s="561" customFormat="1" ht="32.25" customHeight="1" x14ac:dyDescent="0.2">
      <c r="A51" s="552">
        <v>120</v>
      </c>
      <c r="B51" s="553">
        <v>45968</v>
      </c>
      <c r="C51" s="314" t="s">
        <v>459</v>
      </c>
      <c r="D51" s="554"/>
      <c r="E51" s="568">
        <v>1</v>
      </c>
      <c r="F51" s="314" t="s">
        <v>490</v>
      </c>
      <c r="G51" s="317" t="s">
        <v>204</v>
      </c>
      <c r="H51" s="581" t="s">
        <v>1632</v>
      </c>
      <c r="I51" s="573" t="s">
        <v>256</v>
      </c>
      <c r="J51" s="568" t="s">
        <v>39</v>
      </c>
      <c r="K51" s="314" t="s">
        <v>1639</v>
      </c>
      <c r="L51" s="317">
        <v>12012</v>
      </c>
      <c r="M51" s="319">
        <v>1500000</v>
      </c>
      <c r="N51" s="518"/>
      <c r="O51" s="532"/>
      <c r="P51" s="558"/>
      <c r="Q51" s="518"/>
      <c r="R51" s="518"/>
      <c r="S51" s="559">
        <v>4500000</v>
      </c>
      <c r="T51" s="560"/>
    </row>
    <row r="52" spans="1:20" s="561" customFormat="1" ht="32.25" customHeight="1" x14ac:dyDescent="0.2">
      <c r="A52" s="552">
        <v>121</v>
      </c>
      <c r="B52" s="553">
        <v>45968</v>
      </c>
      <c r="C52" s="314" t="s">
        <v>459</v>
      </c>
      <c r="D52" s="554"/>
      <c r="E52" s="568">
        <v>1</v>
      </c>
      <c r="F52" s="314" t="s">
        <v>491</v>
      </c>
      <c r="G52" s="317" t="s">
        <v>213</v>
      </c>
      <c r="H52" s="581" t="s">
        <v>1632</v>
      </c>
      <c r="I52" s="573" t="s">
        <v>256</v>
      </c>
      <c r="J52" s="568" t="s">
        <v>39</v>
      </c>
      <c r="K52" s="314" t="s">
        <v>1639</v>
      </c>
      <c r="L52" s="317">
        <v>12029</v>
      </c>
      <c r="M52" s="319">
        <v>1500000</v>
      </c>
      <c r="N52" s="518"/>
      <c r="O52" s="532"/>
      <c r="P52" s="558"/>
      <c r="Q52" s="518"/>
      <c r="R52" s="518"/>
      <c r="S52" s="559">
        <v>4500000</v>
      </c>
      <c r="T52" s="560"/>
    </row>
    <row r="53" spans="1:20" s="561" customFormat="1" ht="32.25" customHeight="1" x14ac:dyDescent="0.2">
      <c r="A53" s="552">
        <v>122</v>
      </c>
      <c r="B53" s="553">
        <v>45968</v>
      </c>
      <c r="C53" s="314" t="s">
        <v>459</v>
      </c>
      <c r="D53" s="554"/>
      <c r="E53" s="568">
        <v>1</v>
      </c>
      <c r="F53" s="568" t="s">
        <v>492</v>
      </c>
      <c r="G53" s="566" t="s">
        <v>222</v>
      </c>
      <c r="H53" s="581" t="s">
        <v>1632</v>
      </c>
      <c r="I53" s="573" t="s">
        <v>256</v>
      </c>
      <c r="J53" s="568" t="s">
        <v>39</v>
      </c>
      <c r="K53" s="314" t="s">
        <v>1639</v>
      </c>
      <c r="L53" s="557">
        <v>7523</v>
      </c>
      <c r="M53" s="319">
        <v>1500000</v>
      </c>
      <c r="N53" s="518"/>
      <c r="O53" s="532"/>
      <c r="P53" s="558"/>
      <c r="Q53" s="518"/>
      <c r="R53" s="518"/>
      <c r="S53" s="559">
        <v>4500000</v>
      </c>
      <c r="T53" s="560"/>
    </row>
    <row r="54" spans="1:20" s="561" customFormat="1" ht="32.25" customHeight="1" x14ac:dyDescent="0.2">
      <c r="A54" s="552">
        <v>123</v>
      </c>
      <c r="B54" s="553">
        <v>45968</v>
      </c>
      <c r="C54" s="314" t="s">
        <v>459</v>
      </c>
      <c r="D54" s="554"/>
      <c r="E54" s="568">
        <v>1</v>
      </c>
      <c r="F54" s="314" t="s">
        <v>494</v>
      </c>
      <c r="G54" s="317" t="s">
        <v>191</v>
      </c>
      <c r="H54" s="581" t="s">
        <v>1632</v>
      </c>
      <c r="I54" s="573" t="s">
        <v>256</v>
      </c>
      <c r="J54" s="568" t="s">
        <v>39</v>
      </c>
      <c r="K54" s="314" t="s">
        <v>1639</v>
      </c>
      <c r="L54" s="316">
        <v>403454</v>
      </c>
      <c r="M54" s="319">
        <v>1500000</v>
      </c>
      <c r="N54" s="518"/>
      <c r="O54" s="532"/>
      <c r="P54" s="558"/>
      <c r="Q54" s="518"/>
      <c r="R54" s="518"/>
      <c r="S54" s="559">
        <v>4500000</v>
      </c>
      <c r="T54" s="560"/>
    </row>
    <row r="55" spans="1:20" s="561" customFormat="1" ht="32.25" customHeight="1" x14ac:dyDescent="0.2">
      <c r="A55" s="552">
        <v>124</v>
      </c>
      <c r="B55" s="569">
        <v>45969</v>
      </c>
      <c r="C55" s="314">
        <v>261611944</v>
      </c>
      <c r="D55" s="554"/>
      <c r="E55" s="568">
        <v>1</v>
      </c>
      <c r="F55" s="314" t="s">
        <v>495</v>
      </c>
      <c r="G55" s="566" t="s">
        <v>222</v>
      </c>
      <c r="H55" s="315" t="s">
        <v>172</v>
      </c>
      <c r="I55" s="556" t="s">
        <v>173</v>
      </c>
      <c r="J55" s="314" t="s">
        <v>1633</v>
      </c>
      <c r="K55" s="568" t="s">
        <v>39</v>
      </c>
      <c r="L55" s="576">
        <v>124665</v>
      </c>
      <c r="M55" s="319">
        <v>1450000</v>
      </c>
      <c r="N55" s="518"/>
      <c r="O55" s="532"/>
      <c r="P55" s="558"/>
      <c r="Q55" s="518"/>
      <c r="R55" s="518"/>
      <c r="S55" s="559">
        <v>2700000</v>
      </c>
      <c r="T55" s="560"/>
    </row>
    <row r="56" spans="1:20" s="561" customFormat="1" ht="32.25" customHeight="1" x14ac:dyDescent="0.2">
      <c r="A56" s="552">
        <v>125</v>
      </c>
      <c r="B56" s="569">
        <v>45969</v>
      </c>
      <c r="C56" s="314">
        <v>261611944</v>
      </c>
      <c r="D56" s="554"/>
      <c r="E56" s="568">
        <v>1</v>
      </c>
      <c r="F56" s="568" t="s">
        <v>497</v>
      </c>
      <c r="G56" s="317" t="s">
        <v>219</v>
      </c>
      <c r="H56" s="315" t="s">
        <v>172</v>
      </c>
      <c r="I56" s="556" t="s">
        <v>173</v>
      </c>
      <c r="J56" s="314" t="s">
        <v>1633</v>
      </c>
      <c r="K56" s="568" t="s">
        <v>39</v>
      </c>
      <c r="L56" s="582">
        <v>124639</v>
      </c>
      <c r="M56" s="319">
        <v>1450000</v>
      </c>
      <c r="N56" s="518"/>
      <c r="O56" s="532"/>
      <c r="P56" s="558"/>
      <c r="Q56" s="518"/>
      <c r="R56" s="518"/>
      <c r="S56" s="559">
        <v>2700000</v>
      </c>
      <c r="T56" s="560"/>
    </row>
    <row r="57" spans="1:20" s="561" customFormat="1" ht="32.25" customHeight="1" x14ac:dyDescent="0.2">
      <c r="A57" s="552">
        <v>126</v>
      </c>
      <c r="B57" s="569">
        <v>45969</v>
      </c>
      <c r="C57" s="314">
        <v>261611944</v>
      </c>
      <c r="D57" s="554"/>
      <c r="E57" s="568">
        <v>1</v>
      </c>
      <c r="F57" s="314" t="s">
        <v>499</v>
      </c>
      <c r="G57" s="317" t="s">
        <v>198</v>
      </c>
      <c r="H57" s="315" t="s">
        <v>172</v>
      </c>
      <c r="I57" s="556" t="s">
        <v>173</v>
      </c>
      <c r="J57" s="314" t="s">
        <v>1633</v>
      </c>
      <c r="K57" s="568" t="s">
        <v>39</v>
      </c>
      <c r="L57" s="576">
        <v>221055</v>
      </c>
      <c r="M57" s="319">
        <v>1500000</v>
      </c>
      <c r="N57" s="518"/>
      <c r="O57" s="532"/>
      <c r="P57" s="558"/>
      <c r="Q57" s="518"/>
      <c r="R57" s="518"/>
      <c r="S57" s="559">
        <v>2700000</v>
      </c>
      <c r="T57" s="560"/>
    </row>
    <row r="58" spans="1:20" s="561" customFormat="1" ht="32.25" customHeight="1" x14ac:dyDescent="0.2">
      <c r="A58" s="552">
        <v>127</v>
      </c>
      <c r="B58" s="569">
        <v>45969</v>
      </c>
      <c r="C58" s="314">
        <v>261611944</v>
      </c>
      <c r="D58" s="554"/>
      <c r="E58" s="568">
        <v>1</v>
      </c>
      <c r="F58" s="314" t="s">
        <v>501</v>
      </c>
      <c r="G58" s="317" t="s">
        <v>225</v>
      </c>
      <c r="H58" s="315" t="s">
        <v>172</v>
      </c>
      <c r="I58" s="556" t="s">
        <v>173</v>
      </c>
      <c r="J58" s="314" t="s">
        <v>1633</v>
      </c>
      <c r="K58" s="568" t="s">
        <v>39</v>
      </c>
      <c r="L58" s="583">
        <v>125033</v>
      </c>
      <c r="M58" s="319">
        <v>1450000</v>
      </c>
      <c r="N58" s="518"/>
      <c r="O58" s="532"/>
      <c r="P58" s="558"/>
      <c r="Q58" s="518"/>
      <c r="R58" s="518"/>
      <c r="S58" s="559">
        <v>2700000</v>
      </c>
      <c r="T58" s="560"/>
    </row>
    <row r="59" spans="1:20" s="561" customFormat="1" ht="32.25" customHeight="1" x14ac:dyDescent="0.2">
      <c r="A59" s="552">
        <v>128</v>
      </c>
      <c r="B59" s="569">
        <v>45969</v>
      </c>
      <c r="C59" s="314">
        <v>261611944</v>
      </c>
      <c r="D59" s="554"/>
      <c r="E59" s="568">
        <v>1</v>
      </c>
      <c r="F59" s="314" t="s">
        <v>502</v>
      </c>
      <c r="G59" s="317" t="s">
        <v>213</v>
      </c>
      <c r="H59" s="315" t="s">
        <v>172</v>
      </c>
      <c r="I59" s="556" t="s">
        <v>173</v>
      </c>
      <c r="J59" s="314" t="s">
        <v>1633</v>
      </c>
      <c r="K59" s="568" t="s">
        <v>39</v>
      </c>
      <c r="L59" s="576">
        <v>125027</v>
      </c>
      <c r="M59" s="319">
        <v>1450000</v>
      </c>
      <c r="N59" s="518"/>
      <c r="O59" s="532"/>
      <c r="P59" s="558"/>
      <c r="Q59" s="518"/>
      <c r="R59" s="518"/>
      <c r="S59" s="559">
        <v>2700000</v>
      </c>
      <c r="T59" s="560"/>
    </row>
    <row r="60" spans="1:20" s="561" customFormat="1" ht="32.25" customHeight="1" x14ac:dyDescent="0.2">
      <c r="A60" s="552">
        <v>129</v>
      </c>
      <c r="B60" s="569">
        <v>45969</v>
      </c>
      <c r="C60" s="314">
        <v>261611944</v>
      </c>
      <c r="D60" s="554"/>
      <c r="E60" s="568">
        <v>1</v>
      </c>
      <c r="F60" s="568" t="s">
        <v>504</v>
      </c>
      <c r="G60" s="317" t="s">
        <v>204</v>
      </c>
      <c r="H60" s="315" t="s">
        <v>172</v>
      </c>
      <c r="I60" s="556" t="s">
        <v>173</v>
      </c>
      <c r="J60" s="314" t="s">
        <v>1633</v>
      </c>
      <c r="K60" s="568" t="s">
        <v>39</v>
      </c>
      <c r="L60" s="576">
        <v>124689</v>
      </c>
      <c r="M60" s="319">
        <v>1450000</v>
      </c>
      <c r="N60" s="518"/>
      <c r="O60" s="532"/>
      <c r="P60" s="558"/>
      <c r="Q60" s="518"/>
      <c r="R60" s="518"/>
      <c r="S60" s="559">
        <v>2700000</v>
      </c>
      <c r="T60" s="560"/>
    </row>
    <row r="61" spans="1:20" s="561" customFormat="1" ht="32.25" customHeight="1" x14ac:dyDescent="0.2">
      <c r="A61" s="552">
        <v>130</v>
      </c>
      <c r="B61" s="569">
        <v>45969</v>
      </c>
      <c r="C61" s="314">
        <v>261611944</v>
      </c>
      <c r="D61" s="554"/>
      <c r="E61" s="568">
        <v>1</v>
      </c>
      <c r="F61" s="314" t="s">
        <v>506</v>
      </c>
      <c r="G61" s="317" t="s">
        <v>216</v>
      </c>
      <c r="H61" s="315" t="s">
        <v>172</v>
      </c>
      <c r="I61" s="556" t="s">
        <v>173</v>
      </c>
      <c r="J61" s="314" t="s">
        <v>1633</v>
      </c>
      <c r="K61" s="568" t="s">
        <v>39</v>
      </c>
      <c r="L61" s="557">
        <v>125050</v>
      </c>
      <c r="M61" s="319">
        <v>1450000</v>
      </c>
      <c r="N61" s="518"/>
      <c r="O61" s="532"/>
      <c r="P61" s="558"/>
      <c r="Q61" s="518"/>
      <c r="R61" s="518"/>
      <c r="S61" s="559">
        <v>2700000</v>
      </c>
      <c r="T61" s="560"/>
    </row>
    <row r="62" spans="1:20" s="561" customFormat="1" ht="32.25" customHeight="1" x14ac:dyDescent="0.2">
      <c r="A62" s="552">
        <v>131</v>
      </c>
      <c r="B62" s="569">
        <v>45969</v>
      </c>
      <c r="C62" s="314">
        <v>261611944</v>
      </c>
      <c r="D62" s="554"/>
      <c r="E62" s="568">
        <v>1</v>
      </c>
      <c r="F62" s="314" t="s">
        <v>508</v>
      </c>
      <c r="G62" s="317" t="s">
        <v>194</v>
      </c>
      <c r="H62" s="315" t="s">
        <v>172</v>
      </c>
      <c r="I62" s="556" t="s">
        <v>173</v>
      </c>
      <c r="J62" s="314" t="s">
        <v>1633</v>
      </c>
      <c r="K62" s="568" t="s">
        <v>39</v>
      </c>
      <c r="L62" s="557">
        <v>220614</v>
      </c>
      <c r="M62" s="319">
        <v>1500000</v>
      </c>
      <c r="N62" s="518"/>
      <c r="O62" s="532"/>
      <c r="P62" s="558"/>
      <c r="Q62" s="518"/>
      <c r="R62" s="518"/>
      <c r="S62" s="559">
        <v>2700000</v>
      </c>
      <c r="T62" s="560"/>
    </row>
    <row r="63" spans="1:20" s="561" customFormat="1" ht="32.25" customHeight="1" x14ac:dyDescent="0.2">
      <c r="A63" s="552">
        <v>132</v>
      </c>
      <c r="B63" s="569">
        <v>45969</v>
      </c>
      <c r="C63" s="314">
        <v>261611944</v>
      </c>
      <c r="D63" s="554"/>
      <c r="E63" s="568">
        <v>1</v>
      </c>
      <c r="F63" s="314" t="s">
        <v>510</v>
      </c>
      <c r="G63" s="566" t="s">
        <v>222</v>
      </c>
      <c r="H63" s="315" t="s">
        <v>172</v>
      </c>
      <c r="I63" s="556" t="s">
        <v>173</v>
      </c>
      <c r="J63" s="314" t="s">
        <v>1633</v>
      </c>
      <c r="K63" s="568" t="s">
        <v>39</v>
      </c>
      <c r="L63" s="584" t="s">
        <v>1676</v>
      </c>
      <c r="M63" s="319">
        <v>1450000</v>
      </c>
      <c r="N63" s="518">
        <v>453600</v>
      </c>
      <c r="O63" s="532">
        <v>149714</v>
      </c>
      <c r="P63" s="558"/>
      <c r="Q63" s="518"/>
      <c r="R63" s="518"/>
      <c r="S63" s="559">
        <v>2700000</v>
      </c>
      <c r="T63" s="560"/>
    </row>
    <row r="64" spans="1:20" s="561" customFormat="1" ht="32.25" customHeight="1" x14ac:dyDescent="0.2">
      <c r="A64" s="552">
        <v>133</v>
      </c>
      <c r="B64" s="569">
        <v>45969</v>
      </c>
      <c r="C64" s="314">
        <v>261611944</v>
      </c>
      <c r="D64" s="554"/>
      <c r="E64" s="568">
        <v>1</v>
      </c>
      <c r="F64" s="314" t="s">
        <v>512</v>
      </c>
      <c r="G64" s="317" t="s">
        <v>204</v>
      </c>
      <c r="H64" s="315" t="s">
        <v>172</v>
      </c>
      <c r="I64" s="556" t="s">
        <v>173</v>
      </c>
      <c r="J64" s="314" t="s">
        <v>1633</v>
      </c>
      <c r="K64" s="568" t="s">
        <v>39</v>
      </c>
      <c r="L64" s="585" t="s">
        <v>1677</v>
      </c>
      <c r="M64" s="319">
        <v>1500000</v>
      </c>
      <c r="N64" s="518">
        <v>453600</v>
      </c>
      <c r="O64" s="532">
        <v>14970</v>
      </c>
      <c r="P64" s="558"/>
      <c r="Q64" s="518"/>
      <c r="R64" s="518"/>
      <c r="S64" s="559">
        <v>2700000</v>
      </c>
      <c r="T64" s="560"/>
    </row>
    <row r="65" spans="1:20" s="561" customFormat="1" ht="32.25" customHeight="1" x14ac:dyDescent="0.2">
      <c r="A65" s="552">
        <v>134</v>
      </c>
      <c r="B65" s="569">
        <v>45969</v>
      </c>
      <c r="C65" s="314" t="s">
        <v>514</v>
      </c>
      <c r="D65" s="554"/>
      <c r="E65" s="568">
        <v>1</v>
      </c>
      <c r="F65" s="314" t="s">
        <v>515</v>
      </c>
      <c r="G65" s="317" t="s">
        <v>219</v>
      </c>
      <c r="H65" s="581" t="s">
        <v>1632</v>
      </c>
      <c r="I65" s="573" t="s">
        <v>256</v>
      </c>
      <c r="J65" s="314" t="s">
        <v>39</v>
      </c>
      <c r="K65" s="314" t="s">
        <v>1639</v>
      </c>
      <c r="L65" s="555">
        <v>12094</v>
      </c>
      <c r="M65" s="319">
        <v>1500000</v>
      </c>
      <c r="N65" s="518"/>
      <c r="O65" s="532"/>
      <c r="P65" s="558"/>
      <c r="Q65" s="518"/>
      <c r="R65" s="518"/>
      <c r="S65" s="559">
        <v>4500000</v>
      </c>
      <c r="T65" s="560"/>
    </row>
    <row r="66" spans="1:20" s="561" customFormat="1" ht="32.25" customHeight="1" x14ac:dyDescent="0.2">
      <c r="A66" s="552">
        <v>135</v>
      </c>
      <c r="B66" s="569">
        <v>45969</v>
      </c>
      <c r="C66" s="314" t="s">
        <v>514</v>
      </c>
      <c r="D66" s="554"/>
      <c r="E66" s="568">
        <v>1</v>
      </c>
      <c r="F66" s="314" t="s">
        <v>516</v>
      </c>
      <c r="G66" s="317" t="s">
        <v>225</v>
      </c>
      <c r="H66" s="581" t="s">
        <v>1632</v>
      </c>
      <c r="I66" s="573" t="s">
        <v>256</v>
      </c>
      <c r="J66" s="314" t="s">
        <v>39</v>
      </c>
      <c r="K66" s="314" t="s">
        <v>1639</v>
      </c>
      <c r="L66" s="584">
        <v>405143</v>
      </c>
      <c r="M66" s="319">
        <v>1500000</v>
      </c>
      <c r="N66" s="518"/>
      <c r="O66" s="532"/>
      <c r="P66" s="558"/>
      <c r="Q66" s="518"/>
      <c r="R66" s="518"/>
      <c r="S66" s="559">
        <v>4500000</v>
      </c>
      <c r="T66" s="560"/>
    </row>
    <row r="67" spans="1:20" s="561" customFormat="1" ht="32.25" customHeight="1" x14ac:dyDescent="0.2">
      <c r="A67" s="552">
        <v>136</v>
      </c>
      <c r="B67" s="569">
        <v>45969</v>
      </c>
      <c r="C67" s="314" t="s">
        <v>514</v>
      </c>
      <c r="D67" s="554"/>
      <c r="E67" s="568">
        <v>1</v>
      </c>
      <c r="F67" s="314" t="s">
        <v>518</v>
      </c>
      <c r="G67" s="317" t="s">
        <v>368</v>
      </c>
      <c r="H67" s="581" t="s">
        <v>1632</v>
      </c>
      <c r="I67" s="573" t="s">
        <v>256</v>
      </c>
      <c r="J67" s="314" t="s">
        <v>39</v>
      </c>
      <c r="K67" s="314" t="s">
        <v>1639</v>
      </c>
      <c r="L67" s="555">
        <v>7548</v>
      </c>
      <c r="M67" s="319">
        <v>1500000</v>
      </c>
      <c r="N67" s="518"/>
      <c r="O67" s="532"/>
      <c r="P67" s="558"/>
      <c r="Q67" s="518"/>
      <c r="R67" s="518"/>
      <c r="S67" s="559">
        <v>4500000</v>
      </c>
      <c r="T67" s="560"/>
    </row>
    <row r="68" spans="1:20" s="561" customFormat="1" ht="32.25" customHeight="1" x14ac:dyDescent="0.2">
      <c r="A68" s="552">
        <v>137</v>
      </c>
      <c r="B68" s="569">
        <v>45969</v>
      </c>
      <c r="C68" s="314" t="s">
        <v>514</v>
      </c>
      <c r="D68" s="554"/>
      <c r="E68" s="568">
        <v>1</v>
      </c>
      <c r="F68" s="314" t="s">
        <v>519</v>
      </c>
      <c r="G68" s="317" t="s">
        <v>210</v>
      </c>
      <c r="H68" s="581" t="s">
        <v>1632</v>
      </c>
      <c r="I68" s="573" t="s">
        <v>256</v>
      </c>
      <c r="J68" s="314" t="s">
        <v>39</v>
      </c>
      <c r="K68" s="314" t="s">
        <v>1639</v>
      </c>
      <c r="L68" s="555">
        <v>405060</v>
      </c>
      <c r="M68" s="319">
        <v>1500000</v>
      </c>
      <c r="N68" s="518"/>
      <c r="O68" s="532"/>
      <c r="P68" s="558"/>
      <c r="Q68" s="518"/>
      <c r="R68" s="518"/>
      <c r="S68" s="559">
        <v>4500000</v>
      </c>
      <c r="T68" s="560"/>
    </row>
    <row r="69" spans="1:20" s="561" customFormat="1" ht="32.25" customHeight="1" x14ac:dyDescent="0.2">
      <c r="A69" s="552">
        <v>138</v>
      </c>
      <c r="B69" s="569">
        <v>45969</v>
      </c>
      <c r="C69" s="314" t="s">
        <v>514</v>
      </c>
      <c r="D69" s="554"/>
      <c r="E69" s="568">
        <v>1</v>
      </c>
      <c r="F69" s="314" t="s">
        <v>520</v>
      </c>
      <c r="G69" s="317" t="s">
        <v>216</v>
      </c>
      <c r="H69" s="581" t="s">
        <v>1632</v>
      </c>
      <c r="I69" s="573" t="s">
        <v>256</v>
      </c>
      <c r="J69" s="314" t="s">
        <v>39</v>
      </c>
      <c r="K69" s="314" t="s">
        <v>1639</v>
      </c>
      <c r="L69" s="555">
        <v>405181</v>
      </c>
      <c r="M69" s="319">
        <v>1500000</v>
      </c>
      <c r="N69" s="518"/>
      <c r="O69" s="532"/>
      <c r="P69" s="558"/>
      <c r="Q69" s="518"/>
      <c r="R69" s="518"/>
      <c r="S69" s="559">
        <v>4500000</v>
      </c>
      <c r="T69" s="560"/>
    </row>
    <row r="70" spans="1:20" s="561" customFormat="1" ht="32.25" customHeight="1" x14ac:dyDescent="0.2">
      <c r="A70" s="552">
        <v>139</v>
      </c>
      <c r="B70" s="569">
        <v>45970</v>
      </c>
      <c r="C70" s="314">
        <v>261614090</v>
      </c>
      <c r="D70" s="554"/>
      <c r="E70" s="568">
        <v>1</v>
      </c>
      <c r="F70" s="314" t="s">
        <v>521</v>
      </c>
      <c r="G70" s="317" t="s">
        <v>368</v>
      </c>
      <c r="H70" s="315" t="s">
        <v>172</v>
      </c>
      <c r="I70" s="556" t="s">
        <v>173</v>
      </c>
      <c r="J70" s="314" t="s">
        <v>1633</v>
      </c>
      <c r="K70" s="568" t="s">
        <v>39</v>
      </c>
      <c r="L70" s="557">
        <v>221532</v>
      </c>
      <c r="M70" s="319">
        <v>1500000</v>
      </c>
      <c r="N70" s="518"/>
      <c r="O70" s="532"/>
      <c r="P70" s="558"/>
      <c r="Q70" s="518"/>
      <c r="R70" s="518"/>
      <c r="S70" s="559">
        <v>2700000</v>
      </c>
      <c r="T70" s="560"/>
    </row>
    <row r="71" spans="1:20" s="561" customFormat="1" ht="32.25" customHeight="1" x14ac:dyDescent="0.2">
      <c r="A71" s="552">
        <v>140</v>
      </c>
      <c r="B71" s="569">
        <v>45970</v>
      </c>
      <c r="C71" s="314">
        <v>261614090</v>
      </c>
      <c r="D71" s="554"/>
      <c r="E71" s="568">
        <v>1</v>
      </c>
      <c r="F71" s="314" t="s">
        <v>523</v>
      </c>
      <c r="G71" s="317" t="s">
        <v>204</v>
      </c>
      <c r="H71" s="315" t="s">
        <v>172</v>
      </c>
      <c r="I71" s="556" t="s">
        <v>173</v>
      </c>
      <c r="J71" s="314" t="s">
        <v>1633</v>
      </c>
      <c r="K71" s="568" t="s">
        <v>39</v>
      </c>
      <c r="L71" s="557">
        <v>1226</v>
      </c>
      <c r="M71" s="319">
        <v>1450000</v>
      </c>
      <c r="N71" s="518"/>
      <c r="O71" s="532"/>
      <c r="P71" s="558"/>
      <c r="Q71" s="518"/>
      <c r="R71" s="518"/>
      <c r="S71" s="559">
        <v>2700000</v>
      </c>
      <c r="T71" s="560"/>
    </row>
    <row r="72" spans="1:20" s="561" customFormat="1" ht="32.25" customHeight="1" x14ac:dyDescent="0.2">
      <c r="A72" s="552">
        <v>141</v>
      </c>
      <c r="B72" s="569">
        <v>45970</v>
      </c>
      <c r="C72" s="563">
        <v>261614090</v>
      </c>
      <c r="D72" s="564"/>
      <c r="E72" s="579">
        <v>1</v>
      </c>
      <c r="F72" s="563" t="s">
        <v>525</v>
      </c>
      <c r="G72" s="317" t="s">
        <v>207</v>
      </c>
      <c r="H72" s="315" t="s">
        <v>172</v>
      </c>
      <c r="I72" s="567" t="s">
        <v>173</v>
      </c>
      <c r="J72" s="563" t="s">
        <v>1633</v>
      </c>
      <c r="K72" s="579" t="s">
        <v>39</v>
      </c>
      <c r="L72" s="557">
        <v>221715</v>
      </c>
      <c r="M72" s="319">
        <v>1500000</v>
      </c>
      <c r="N72" s="518"/>
      <c r="O72" s="532"/>
      <c r="P72" s="558"/>
      <c r="Q72" s="518"/>
      <c r="R72" s="518"/>
      <c r="S72" s="559">
        <v>2700000</v>
      </c>
      <c r="T72" s="560"/>
    </row>
    <row r="73" spans="1:20" s="561" customFormat="1" ht="32.25" customHeight="1" x14ac:dyDescent="0.2">
      <c r="A73" s="552">
        <v>142</v>
      </c>
      <c r="B73" s="569">
        <v>45970</v>
      </c>
      <c r="C73" s="314" t="s">
        <v>527</v>
      </c>
      <c r="D73" s="554"/>
      <c r="E73" s="568">
        <v>1</v>
      </c>
      <c r="F73" s="568" t="s">
        <v>528</v>
      </c>
      <c r="G73" s="317" t="s">
        <v>305</v>
      </c>
      <c r="H73" s="581" t="s">
        <v>180</v>
      </c>
      <c r="I73" s="556" t="s">
        <v>181</v>
      </c>
      <c r="J73" s="314" t="s">
        <v>39</v>
      </c>
      <c r="K73" s="314" t="s">
        <v>1631</v>
      </c>
      <c r="L73" s="557">
        <v>405513</v>
      </c>
      <c r="M73" s="319">
        <v>1500000</v>
      </c>
      <c r="N73" s="518"/>
      <c r="O73" s="532"/>
      <c r="P73" s="558"/>
      <c r="Q73" s="518"/>
      <c r="R73" s="518"/>
      <c r="S73" s="559">
        <v>4500000</v>
      </c>
      <c r="T73" s="560"/>
    </row>
    <row r="74" spans="1:20" s="561" customFormat="1" ht="32.25" customHeight="1" x14ac:dyDescent="0.2">
      <c r="A74" s="552">
        <v>143</v>
      </c>
      <c r="B74" s="569">
        <v>45970</v>
      </c>
      <c r="C74" s="314" t="s">
        <v>527</v>
      </c>
      <c r="D74" s="554"/>
      <c r="E74" s="568">
        <v>1</v>
      </c>
      <c r="F74" s="314" t="s">
        <v>530</v>
      </c>
      <c r="G74" s="317" t="s">
        <v>219</v>
      </c>
      <c r="H74" s="581" t="s">
        <v>180</v>
      </c>
      <c r="I74" s="556" t="s">
        <v>181</v>
      </c>
      <c r="J74" s="314" t="s">
        <v>39</v>
      </c>
      <c r="K74" s="314" t="s">
        <v>1631</v>
      </c>
      <c r="L74" s="586">
        <v>405709</v>
      </c>
      <c r="M74" s="319">
        <v>1500000</v>
      </c>
      <c r="N74" s="518"/>
      <c r="O74" s="532"/>
      <c r="P74" s="558"/>
      <c r="Q74" s="518"/>
      <c r="R74" s="518"/>
      <c r="S74" s="559">
        <v>4500000</v>
      </c>
      <c r="T74" s="560"/>
    </row>
    <row r="75" spans="1:20" s="561" customFormat="1" ht="32.25" customHeight="1" x14ac:dyDescent="0.2">
      <c r="A75" s="552">
        <v>144</v>
      </c>
      <c r="B75" s="569">
        <v>45970</v>
      </c>
      <c r="C75" s="314" t="s">
        <v>527</v>
      </c>
      <c r="D75" s="554"/>
      <c r="E75" s="568">
        <v>1</v>
      </c>
      <c r="F75" s="314" t="s">
        <v>531</v>
      </c>
      <c r="G75" s="566" t="s">
        <v>222</v>
      </c>
      <c r="H75" s="581" t="s">
        <v>180</v>
      </c>
      <c r="I75" s="556" t="s">
        <v>181</v>
      </c>
      <c r="J75" s="314" t="s">
        <v>39</v>
      </c>
      <c r="K75" s="314" t="s">
        <v>1631</v>
      </c>
      <c r="L75" s="557">
        <v>405719</v>
      </c>
      <c r="M75" s="319">
        <v>1500000</v>
      </c>
      <c r="N75" s="518"/>
      <c r="O75" s="532"/>
      <c r="P75" s="558"/>
      <c r="Q75" s="518"/>
      <c r="R75" s="518"/>
      <c r="S75" s="559">
        <v>4500000</v>
      </c>
      <c r="T75" s="560"/>
    </row>
    <row r="76" spans="1:20" s="561" customFormat="1" ht="32.25" customHeight="1" x14ac:dyDescent="0.2">
      <c r="A76" s="552">
        <v>145</v>
      </c>
      <c r="B76" s="569">
        <v>45970</v>
      </c>
      <c r="C76" s="314" t="s">
        <v>527</v>
      </c>
      <c r="D76" s="554"/>
      <c r="E76" s="568">
        <v>1</v>
      </c>
      <c r="F76" s="314" t="s">
        <v>533</v>
      </c>
      <c r="G76" s="566" t="s">
        <v>228</v>
      </c>
      <c r="H76" s="581" t="s">
        <v>180</v>
      </c>
      <c r="I76" s="556" t="s">
        <v>181</v>
      </c>
      <c r="J76" s="314" t="s">
        <v>39</v>
      </c>
      <c r="K76" s="314" t="s">
        <v>1631</v>
      </c>
      <c r="L76" s="576">
        <v>405922</v>
      </c>
      <c r="M76" s="319">
        <v>1500000</v>
      </c>
      <c r="N76" s="518"/>
      <c r="O76" s="532"/>
      <c r="P76" s="558"/>
      <c r="Q76" s="518"/>
      <c r="R76" s="518"/>
      <c r="S76" s="559">
        <v>4500000</v>
      </c>
      <c r="T76" s="560"/>
    </row>
    <row r="77" spans="1:20" s="561" customFormat="1" ht="32.25" customHeight="1" x14ac:dyDescent="0.2">
      <c r="A77" s="552">
        <v>146</v>
      </c>
      <c r="B77" s="569">
        <v>45970</v>
      </c>
      <c r="C77" s="314" t="s">
        <v>535</v>
      </c>
      <c r="D77" s="554"/>
      <c r="E77" s="568">
        <v>1</v>
      </c>
      <c r="F77" s="314" t="s">
        <v>536</v>
      </c>
      <c r="G77" s="317" t="s">
        <v>210</v>
      </c>
      <c r="H77" s="315" t="s">
        <v>172</v>
      </c>
      <c r="I77" s="556" t="s">
        <v>173</v>
      </c>
      <c r="J77" s="314" t="s">
        <v>1642</v>
      </c>
      <c r="K77" s="574" t="s">
        <v>39</v>
      </c>
      <c r="L77" s="316"/>
      <c r="M77" s="319" t="s">
        <v>1643</v>
      </c>
      <c r="N77" s="518"/>
      <c r="O77" s="532"/>
      <c r="P77" s="558"/>
      <c r="Q77" s="518"/>
      <c r="R77" s="518"/>
      <c r="S77" s="559">
        <v>2700000</v>
      </c>
      <c r="T77" s="560"/>
    </row>
    <row r="78" spans="1:20" s="561" customFormat="1" ht="32.25" customHeight="1" x14ac:dyDescent="0.2">
      <c r="A78" s="552">
        <v>147</v>
      </c>
      <c r="B78" s="569">
        <v>45970</v>
      </c>
      <c r="C78" s="563" t="s">
        <v>535</v>
      </c>
      <c r="D78" s="564"/>
      <c r="E78" s="579">
        <v>1</v>
      </c>
      <c r="F78" s="563" t="s">
        <v>538</v>
      </c>
      <c r="G78" s="317" t="s">
        <v>302</v>
      </c>
      <c r="H78" s="315" t="s">
        <v>172</v>
      </c>
      <c r="I78" s="567" t="s">
        <v>173</v>
      </c>
      <c r="J78" s="563" t="s">
        <v>1642</v>
      </c>
      <c r="K78" s="587" t="s">
        <v>39</v>
      </c>
      <c r="L78" s="316"/>
      <c r="M78" s="319" t="s">
        <v>1643</v>
      </c>
      <c r="N78" s="518"/>
      <c r="O78" s="532"/>
      <c r="P78" s="558"/>
      <c r="Q78" s="518"/>
      <c r="R78" s="518"/>
      <c r="S78" s="559">
        <v>2700000</v>
      </c>
      <c r="T78" s="560"/>
    </row>
    <row r="79" spans="1:20" s="561" customFormat="1" ht="32.25" customHeight="1" x14ac:dyDescent="0.2">
      <c r="A79" s="552">
        <v>148</v>
      </c>
      <c r="B79" s="588">
        <v>45970</v>
      </c>
      <c r="C79" s="568" t="s">
        <v>539</v>
      </c>
      <c r="D79" s="568"/>
      <c r="E79" s="568">
        <v>1</v>
      </c>
      <c r="F79" s="314" t="s">
        <v>540</v>
      </c>
      <c r="G79" s="566" t="s">
        <v>308</v>
      </c>
      <c r="H79" s="581" t="s">
        <v>180</v>
      </c>
      <c r="I79" s="556" t="s">
        <v>181</v>
      </c>
      <c r="J79" s="314" t="s">
        <v>39</v>
      </c>
      <c r="K79" s="314" t="s">
        <v>1629</v>
      </c>
      <c r="L79" s="576">
        <v>127761</v>
      </c>
      <c r="M79" s="319">
        <v>1500000</v>
      </c>
      <c r="N79" s="518"/>
      <c r="O79" s="532"/>
      <c r="P79" s="558">
        <v>2400000</v>
      </c>
      <c r="Q79" s="518"/>
      <c r="R79" s="518"/>
      <c r="S79" s="559">
        <v>4500000</v>
      </c>
      <c r="T79" s="560"/>
    </row>
    <row r="80" spans="1:20" s="561" customFormat="1" ht="32.25" customHeight="1" x14ac:dyDescent="0.2">
      <c r="A80" s="552">
        <v>149</v>
      </c>
      <c r="B80" s="588">
        <v>45970</v>
      </c>
      <c r="C80" s="568" t="s">
        <v>539</v>
      </c>
      <c r="D80" s="554"/>
      <c r="E80" s="568">
        <v>1</v>
      </c>
      <c r="F80" s="314" t="s">
        <v>542</v>
      </c>
      <c r="G80" s="317" t="s">
        <v>198</v>
      </c>
      <c r="H80" s="581" t="s">
        <v>180</v>
      </c>
      <c r="I80" s="556" t="s">
        <v>181</v>
      </c>
      <c r="J80" s="314" t="s">
        <v>39</v>
      </c>
      <c r="K80" s="314" t="s">
        <v>1629</v>
      </c>
      <c r="L80" s="576">
        <v>127904</v>
      </c>
      <c r="M80" s="319">
        <v>1500000</v>
      </c>
      <c r="N80" s="518"/>
      <c r="O80" s="532"/>
      <c r="P80" s="558">
        <v>3500000</v>
      </c>
      <c r="Q80" s="518"/>
      <c r="R80" s="518"/>
      <c r="S80" s="559">
        <v>4500000</v>
      </c>
      <c r="T80" s="560"/>
    </row>
    <row r="81" spans="1:20" s="561" customFormat="1" ht="32.25" customHeight="1" x14ac:dyDescent="0.2">
      <c r="A81" s="552">
        <v>150</v>
      </c>
      <c r="B81" s="588">
        <v>45970</v>
      </c>
      <c r="C81" s="579" t="s">
        <v>539</v>
      </c>
      <c r="D81" s="564"/>
      <c r="E81" s="579">
        <v>1</v>
      </c>
      <c r="F81" s="563" t="s">
        <v>544</v>
      </c>
      <c r="G81" s="317" t="s">
        <v>194</v>
      </c>
      <c r="H81" s="580" t="s">
        <v>180</v>
      </c>
      <c r="I81" s="567" t="s">
        <v>181</v>
      </c>
      <c r="J81" s="563" t="s">
        <v>39</v>
      </c>
      <c r="K81" s="563" t="s">
        <v>1629</v>
      </c>
      <c r="L81" s="576">
        <v>127778</v>
      </c>
      <c r="M81" s="319">
        <v>1500000</v>
      </c>
      <c r="N81" s="518"/>
      <c r="O81" s="532"/>
      <c r="P81" s="558"/>
      <c r="Q81" s="518"/>
      <c r="R81" s="518"/>
      <c r="S81" s="559">
        <v>4500000</v>
      </c>
      <c r="T81" s="560"/>
    </row>
    <row r="82" spans="1:20" s="561" customFormat="1" ht="32.25" customHeight="1" x14ac:dyDescent="0.2">
      <c r="A82" s="552">
        <v>151</v>
      </c>
      <c r="B82" s="588">
        <v>45970</v>
      </c>
      <c r="C82" s="579" t="s">
        <v>546</v>
      </c>
      <c r="D82" s="579"/>
      <c r="E82" s="579">
        <v>1</v>
      </c>
      <c r="F82" s="563" t="s">
        <v>547</v>
      </c>
      <c r="G82" s="566" t="s">
        <v>171</v>
      </c>
      <c r="H82" s="580" t="s">
        <v>1632</v>
      </c>
      <c r="I82" s="589" t="s">
        <v>256</v>
      </c>
      <c r="J82" s="563" t="s">
        <v>39</v>
      </c>
      <c r="K82" s="579" t="s">
        <v>201</v>
      </c>
      <c r="L82" s="316">
        <v>30274</v>
      </c>
      <c r="M82" s="319">
        <v>1566000</v>
      </c>
      <c r="N82" s="518"/>
      <c r="O82" s="532"/>
      <c r="P82" s="558"/>
      <c r="Q82" s="518"/>
      <c r="R82" s="518"/>
      <c r="S82" s="559">
        <v>4500000</v>
      </c>
      <c r="T82" s="560"/>
    </row>
    <row r="83" spans="1:20" s="561" customFormat="1" ht="32.25" customHeight="1" x14ac:dyDescent="0.2">
      <c r="A83" s="552">
        <v>152</v>
      </c>
      <c r="B83" s="588">
        <v>45970</v>
      </c>
      <c r="C83" s="314" t="s">
        <v>548</v>
      </c>
      <c r="D83" s="568"/>
      <c r="E83" s="568">
        <v>1</v>
      </c>
      <c r="F83" s="314" t="s">
        <v>549</v>
      </c>
      <c r="G83" s="314" t="s">
        <v>248</v>
      </c>
      <c r="H83" s="317" t="s">
        <v>180</v>
      </c>
      <c r="I83" s="556" t="s">
        <v>181</v>
      </c>
      <c r="J83" s="314" t="s">
        <v>39</v>
      </c>
      <c r="K83" s="568" t="s">
        <v>1644</v>
      </c>
      <c r="L83" s="316">
        <v>7577</v>
      </c>
      <c r="M83" s="319">
        <v>1500000</v>
      </c>
      <c r="N83" s="518"/>
      <c r="O83" s="532"/>
      <c r="P83" s="558"/>
      <c r="Q83" s="518"/>
      <c r="R83" s="518"/>
      <c r="S83" s="559">
        <v>4500000</v>
      </c>
      <c r="T83" s="560"/>
    </row>
    <row r="84" spans="1:20" s="561" customFormat="1" ht="32.25" customHeight="1" x14ac:dyDescent="0.2">
      <c r="A84" s="552">
        <v>153</v>
      </c>
      <c r="B84" s="588">
        <v>45970</v>
      </c>
      <c r="C84" s="314" t="s">
        <v>548</v>
      </c>
      <c r="D84" s="568"/>
      <c r="E84" s="568">
        <v>1</v>
      </c>
      <c r="F84" s="314" t="s">
        <v>551</v>
      </c>
      <c r="G84" s="314" t="s">
        <v>552</v>
      </c>
      <c r="H84" s="317" t="s">
        <v>180</v>
      </c>
      <c r="I84" s="556" t="s">
        <v>181</v>
      </c>
      <c r="J84" s="314" t="s">
        <v>39</v>
      </c>
      <c r="K84" s="568" t="s">
        <v>1644</v>
      </c>
      <c r="L84" s="316">
        <v>7579</v>
      </c>
      <c r="M84" s="319">
        <v>1500000</v>
      </c>
      <c r="N84" s="518"/>
      <c r="O84" s="532"/>
      <c r="P84" s="558"/>
      <c r="Q84" s="518"/>
      <c r="R84" s="518"/>
      <c r="S84" s="559">
        <v>4500000</v>
      </c>
      <c r="T84" s="560"/>
    </row>
    <row r="85" spans="1:20" s="561" customFormat="1" ht="32.25" customHeight="1" x14ac:dyDescent="0.2">
      <c r="A85" s="552">
        <v>154</v>
      </c>
      <c r="B85" s="588">
        <v>45970</v>
      </c>
      <c r="C85" s="314" t="s">
        <v>548</v>
      </c>
      <c r="D85" s="568"/>
      <c r="E85" s="568">
        <v>1</v>
      </c>
      <c r="F85" s="314" t="s">
        <v>553</v>
      </c>
      <c r="G85" s="314" t="s">
        <v>323</v>
      </c>
      <c r="H85" s="317" t="s">
        <v>180</v>
      </c>
      <c r="I85" s="556" t="s">
        <v>181</v>
      </c>
      <c r="J85" s="314" t="s">
        <v>39</v>
      </c>
      <c r="K85" s="568" t="s">
        <v>1644</v>
      </c>
      <c r="L85" s="317">
        <v>7585</v>
      </c>
      <c r="M85" s="319">
        <v>1500000</v>
      </c>
      <c r="N85" s="518"/>
      <c r="O85" s="532"/>
      <c r="P85" s="558"/>
      <c r="Q85" s="518"/>
      <c r="R85" s="518"/>
      <c r="S85" s="559">
        <v>4500000</v>
      </c>
      <c r="T85" s="560"/>
    </row>
    <row r="86" spans="1:20" s="561" customFormat="1" ht="32.25" customHeight="1" x14ac:dyDescent="0.2">
      <c r="A86" s="552">
        <v>155</v>
      </c>
      <c r="B86" s="588">
        <v>45970</v>
      </c>
      <c r="C86" s="590" t="s">
        <v>554</v>
      </c>
      <c r="D86" s="591"/>
      <c r="E86" s="591">
        <v>1</v>
      </c>
      <c r="F86" s="574" t="s">
        <v>555</v>
      </c>
      <c r="G86" s="574" t="s">
        <v>556</v>
      </c>
      <c r="H86" s="592" t="s">
        <v>180</v>
      </c>
      <c r="I86" s="593" t="s">
        <v>181</v>
      </c>
      <c r="J86" s="574" t="s">
        <v>39</v>
      </c>
      <c r="K86" s="574" t="s">
        <v>1645</v>
      </c>
      <c r="L86" s="576">
        <v>70563</v>
      </c>
      <c r="M86" s="319">
        <v>1500000</v>
      </c>
      <c r="N86" s="518"/>
      <c r="O86" s="532"/>
      <c r="P86" s="558"/>
      <c r="Q86" s="518"/>
      <c r="R86" s="518"/>
      <c r="S86" s="559">
        <v>4500000</v>
      </c>
      <c r="T86" s="560"/>
    </row>
    <row r="87" spans="1:20" s="561" customFormat="1" ht="32.25" customHeight="1" x14ac:dyDescent="0.2">
      <c r="A87" s="552">
        <v>156</v>
      </c>
      <c r="B87" s="588">
        <v>45970</v>
      </c>
      <c r="C87" s="568" t="s">
        <v>554</v>
      </c>
      <c r="D87" s="579"/>
      <c r="E87" s="579">
        <v>1</v>
      </c>
      <c r="F87" s="314" t="s">
        <v>559</v>
      </c>
      <c r="G87" s="314" t="s">
        <v>560</v>
      </c>
      <c r="H87" s="592" t="s">
        <v>180</v>
      </c>
      <c r="I87" s="556" t="s">
        <v>181</v>
      </c>
      <c r="J87" s="314" t="s">
        <v>39</v>
      </c>
      <c r="K87" s="574" t="s">
        <v>1645</v>
      </c>
      <c r="L87" s="576">
        <v>70809</v>
      </c>
      <c r="M87" s="319">
        <v>1500000</v>
      </c>
      <c r="N87" s="518"/>
      <c r="O87" s="532"/>
      <c r="P87" s="558"/>
      <c r="Q87" s="518"/>
      <c r="R87" s="518"/>
      <c r="S87" s="559">
        <v>4500000</v>
      </c>
      <c r="T87" s="560"/>
    </row>
    <row r="88" spans="1:20" s="561" customFormat="1" ht="32.25" customHeight="1" x14ac:dyDescent="0.2">
      <c r="A88" s="552">
        <v>157</v>
      </c>
      <c r="B88" s="588">
        <v>45970</v>
      </c>
      <c r="C88" s="568" t="s">
        <v>554</v>
      </c>
      <c r="D88" s="579"/>
      <c r="E88" s="579">
        <v>1</v>
      </c>
      <c r="F88" s="314" t="s">
        <v>562</v>
      </c>
      <c r="G88" s="314" t="s">
        <v>563</v>
      </c>
      <c r="H88" s="592" t="s">
        <v>180</v>
      </c>
      <c r="I88" s="556" t="s">
        <v>181</v>
      </c>
      <c r="J88" s="314" t="s">
        <v>39</v>
      </c>
      <c r="K88" s="574" t="s">
        <v>1645</v>
      </c>
      <c r="L88" s="576">
        <v>70609</v>
      </c>
      <c r="M88" s="319">
        <v>1500000</v>
      </c>
      <c r="N88" s="518"/>
      <c r="O88" s="532"/>
      <c r="P88" s="558"/>
      <c r="Q88" s="518"/>
      <c r="R88" s="518"/>
      <c r="S88" s="559">
        <v>4500000</v>
      </c>
      <c r="T88" s="560"/>
    </row>
    <row r="89" spans="1:20" s="561" customFormat="1" ht="32.25" customHeight="1" x14ac:dyDescent="0.2">
      <c r="A89" s="552">
        <v>158</v>
      </c>
      <c r="B89" s="588">
        <v>45970</v>
      </c>
      <c r="C89" s="568" t="s">
        <v>554</v>
      </c>
      <c r="D89" s="579"/>
      <c r="E89" s="579">
        <v>1</v>
      </c>
      <c r="F89" s="314" t="s">
        <v>565</v>
      </c>
      <c r="G89" s="314" t="s">
        <v>566</v>
      </c>
      <c r="H89" s="592" t="s">
        <v>180</v>
      </c>
      <c r="I89" s="556" t="s">
        <v>181</v>
      </c>
      <c r="J89" s="314" t="s">
        <v>39</v>
      </c>
      <c r="K89" s="574" t="s">
        <v>1645</v>
      </c>
      <c r="L89" s="576">
        <v>70504</v>
      </c>
      <c r="M89" s="319">
        <v>1500000</v>
      </c>
      <c r="N89" s="518"/>
      <c r="O89" s="532"/>
      <c r="P89" s="558"/>
      <c r="Q89" s="518"/>
      <c r="R89" s="518"/>
      <c r="S89" s="559">
        <v>4500000</v>
      </c>
      <c r="T89" s="560"/>
    </row>
    <row r="90" spans="1:20" s="561" customFormat="1" ht="32.25" customHeight="1" x14ac:dyDescent="0.2">
      <c r="A90" s="552">
        <v>159</v>
      </c>
      <c r="B90" s="588">
        <v>45970</v>
      </c>
      <c r="C90" s="568" t="s">
        <v>554</v>
      </c>
      <c r="D90" s="568"/>
      <c r="E90" s="579">
        <v>1</v>
      </c>
      <c r="F90" s="314" t="s">
        <v>568</v>
      </c>
      <c r="G90" s="594" t="s">
        <v>569</v>
      </c>
      <c r="H90" s="592" t="s">
        <v>180</v>
      </c>
      <c r="I90" s="556" t="s">
        <v>181</v>
      </c>
      <c r="J90" s="314" t="s">
        <v>39</v>
      </c>
      <c r="K90" s="574" t="s">
        <v>1645</v>
      </c>
      <c r="L90" s="316">
        <v>70430</v>
      </c>
      <c r="M90" s="319">
        <v>1500000</v>
      </c>
      <c r="N90" s="518"/>
      <c r="O90" s="532"/>
      <c r="P90" s="558"/>
      <c r="Q90" s="518"/>
      <c r="R90" s="518"/>
      <c r="S90" s="559">
        <v>4500000</v>
      </c>
      <c r="T90" s="560"/>
    </row>
    <row r="91" spans="1:20" s="561" customFormat="1" ht="32.25" customHeight="1" x14ac:dyDescent="0.2">
      <c r="A91" s="552">
        <v>160</v>
      </c>
      <c r="B91" s="553">
        <v>45970</v>
      </c>
      <c r="C91" s="314" t="s">
        <v>570</v>
      </c>
      <c r="D91" s="554"/>
      <c r="E91" s="568">
        <v>1</v>
      </c>
      <c r="F91" s="314" t="s">
        <v>571</v>
      </c>
      <c r="G91" s="314" t="s">
        <v>287</v>
      </c>
      <c r="H91" s="317" t="s">
        <v>1632</v>
      </c>
      <c r="I91" s="573" t="s">
        <v>256</v>
      </c>
      <c r="J91" s="314" t="s">
        <v>39</v>
      </c>
      <c r="K91" s="568" t="s">
        <v>201</v>
      </c>
      <c r="L91" s="576">
        <v>30292</v>
      </c>
      <c r="M91" s="319">
        <v>1566000</v>
      </c>
      <c r="N91" s="518"/>
      <c r="O91" s="532"/>
      <c r="P91" s="558"/>
      <c r="Q91" s="518"/>
      <c r="R91" s="518"/>
      <c r="S91" s="559">
        <v>4500000</v>
      </c>
      <c r="T91" s="560"/>
    </row>
    <row r="92" spans="1:20" s="561" customFormat="1" ht="32.25" customHeight="1" x14ac:dyDescent="0.2">
      <c r="A92" s="552">
        <v>161</v>
      </c>
      <c r="B92" s="553">
        <v>45970</v>
      </c>
      <c r="C92" s="314" t="s">
        <v>570</v>
      </c>
      <c r="D92" s="554"/>
      <c r="E92" s="568">
        <v>1</v>
      </c>
      <c r="F92" s="568" t="s">
        <v>573</v>
      </c>
      <c r="G92" s="314" t="s">
        <v>262</v>
      </c>
      <c r="H92" s="317" t="s">
        <v>1632</v>
      </c>
      <c r="I92" s="573" t="s">
        <v>256</v>
      </c>
      <c r="J92" s="314" t="s">
        <v>39</v>
      </c>
      <c r="K92" s="568" t="s">
        <v>201</v>
      </c>
      <c r="L92" s="576">
        <v>30290</v>
      </c>
      <c r="M92" s="319">
        <v>1566000</v>
      </c>
      <c r="N92" s="518"/>
      <c r="O92" s="532"/>
      <c r="P92" s="558">
        <v>1000000</v>
      </c>
      <c r="Q92" s="518"/>
      <c r="R92" s="518"/>
      <c r="S92" s="559">
        <v>4500000</v>
      </c>
      <c r="T92" s="560"/>
    </row>
    <row r="93" spans="1:20" s="561" customFormat="1" ht="32.25" customHeight="1" x14ac:dyDescent="0.2">
      <c r="A93" s="552">
        <v>162</v>
      </c>
      <c r="B93" s="553">
        <v>45970</v>
      </c>
      <c r="C93" s="314" t="s">
        <v>570</v>
      </c>
      <c r="D93" s="554"/>
      <c r="E93" s="568">
        <v>1</v>
      </c>
      <c r="F93" s="314" t="s">
        <v>575</v>
      </c>
      <c r="G93" s="314" t="s">
        <v>576</v>
      </c>
      <c r="H93" s="317" t="s">
        <v>1632</v>
      </c>
      <c r="I93" s="573" t="s">
        <v>256</v>
      </c>
      <c r="J93" s="314" t="s">
        <v>39</v>
      </c>
      <c r="K93" s="568" t="s">
        <v>201</v>
      </c>
      <c r="L93" s="576">
        <v>30296</v>
      </c>
      <c r="M93" s="319">
        <v>1566000</v>
      </c>
      <c r="N93" s="518"/>
      <c r="O93" s="532"/>
      <c r="P93" s="558"/>
      <c r="Q93" s="518"/>
      <c r="R93" s="518"/>
      <c r="S93" s="559">
        <v>4500000</v>
      </c>
      <c r="T93" s="560"/>
    </row>
    <row r="94" spans="1:20" s="561" customFormat="1" ht="32.25" customHeight="1" x14ac:dyDescent="0.2">
      <c r="A94" s="552">
        <v>163</v>
      </c>
      <c r="B94" s="553">
        <v>45971</v>
      </c>
      <c r="C94" s="314">
        <v>261614124</v>
      </c>
      <c r="D94" s="554"/>
      <c r="E94" s="568">
        <v>1</v>
      </c>
      <c r="F94" s="314" t="s">
        <v>578</v>
      </c>
      <c r="G94" s="566" t="s">
        <v>171</v>
      </c>
      <c r="H94" s="315" t="s">
        <v>172</v>
      </c>
      <c r="I94" s="556" t="s">
        <v>173</v>
      </c>
      <c r="J94" s="314" t="s">
        <v>1633</v>
      </c>
      <c r="K94" s="568" t="s">
        <v>39</v>
      </c>
      <c r="L94" s="576">
        <v>222516</v>
      </c>
      <c r="M94" s="319">
        <v>1500000</v>
      </c>
      <c r="N94" s="518"/>
      <c r="O94" s="532"/>
      <c r="P94" s="558"/>
      <c r="Q94" s="518"/>
      <c r="R94" s="518"/>
      <c r="S94" s="559">
        <v>2700000</v>
      </c>
      <c r="T94" s="560"/>
    </row>
    <row r="95" spans="1:20" s="561" customFormat="1" ht="32.25" customHeight="1" x14ac:dyDescent="0.2">
      <c r="A95" s="552">
        <v>164</v>
      </c>
      <c r="B95" s="553">
        <v>45971</v>
      </c>
      <c r="C95" s="314">
        <v>261614124</v>
      </c>
      <c r="D95" s="554"/>
      <c r="E95" s="568">
        <v>1</v>
      </c>
      <c r="F95" s="314" t="s">
        <v>580</v>
      </c>
      <c r="G95" s="566" t="s">
        <v>171</v>
      </c>
      <c r="H95" s="315" t="s">
        <v>172</v>
      </c>
      <c r="I95" s="556" t="s">
        <v>173</v>
      </c>
      <c r="J95" s="314" t="s">
        <v>1633</v>
      </c>
      <c r="K95" s="568" t="s">
        <v>39</v>
      </c>
      <c r="L95" s="576">
        <v>222475</v>
      </c>
      <c r="M95" s="319">
        <v>1500000</v>
      </c>
      <c r="N95" s="518"/>
      <c r="O95" s="532"/>
      <c r="P95" s="558"/>
      <c r="Q95" s="518"/>
      <c r="R95" s="518"/>
      <c r="S95" s="559">
        <v>2700000</v>
      </c>
      <c r="T95" s="560"/>
    </row>
    <row r="96" spans="1:20" s="561" customFormat="1" ht="32.25" customHeight="1" x14ac:dyDescent="0.2">
      <c r="A96" s="552">
        <v>165</v>
      </c>
      <c r="B96" s="553">
        <v>45971</v>
      </c>
      <c r="C96" s="314">
        <v>261614124</v>
      </c>
      <c r="D96" s="554"/>
      <c r="E96" s="568">
        <v>1</v>
      </c>
      <c r="F96" s="314" t="s">
        <v>582</v>
      </c>
      <c r="G96" s="317" t="s">
        <v>305</v>
      </c>
      <c r="H96" s="315" t="s">
        <v>172</v>
      </c>
      <c r="I96" s="556" t="s">
        <v>173</v>
      </c>
      <c r="J96" s="314" t="s">
        <v>1633</v>
      </c>
      <c r="K96" s="568" t="s">
        <v>39</v>
      </c>
      <c r="L96" s="576">
        <v>222476</v>
      </c>
      <c r="M96" s="319">
        <v>1500000</v>
      </c>
      <c r="N96" s="518"/>
      <c r="O96" s="532"/>
      <c r="P96" s="558"/>
      <c r="Q96" s="518"/>
      <c r="R96" s="518"/>
      <c r="S96" s="559">
        <v>2700000</v>
      </c>
      <c r="T96" s="560"/>
    </row>
    <row r="97" spans="1:20" s="561" customFormat="1" ht="32.25" customHeight="1" x14ac:dyDescent="0.2">
      <c r="A97" s="552">
        <v>166</v>
      </c>
      <c r="B97" s="553">
        <v>45971</v>
      </c>
      <c r="C97" s="314">
        <v>261614124</v>
      </c>
      <c r="D97" s="554"/>
      <c r="E97" s="568">
        <v>1</v>
      </c>
      <c r="F97" s="314" t="s">
        <v>584</v>
      </c>
      <c r="G97" s="317" t="s">
        <v>225</v>
      </c>
      <c r="H97" s="315" t="s">
        <v>172</v>
      </c>
      <c r="I97" s="556" t="s">
        <v>173</v>
      </c>
      <c r="J97" s="314" t="s">
        <v>1633</v>
      </c>
      <c r="K97" s="568" t="s">
        <v>39</v>
      </c>
      <c r="L97" s="576">
        <v>222419</v>
      </c>
      <c r="M97" s="319">
        <v>1500000</v>
      </c>
      <c r="N97" s="518"/>
      <c r="O97" s="532"/>
      <c r="P97" s="558"/>
      <c r="Q97" s="518"/>
      <c r="R97" s="518"/>
      <c r="S97" s="559">
        <v>2700000</v>
      </c>
      <c r="T97" s="560"/>
    </row>
    <row r="98" spans="1:20" s="561" customFormat="1" ht="32.25" customHeight="1" x14ac:dyDescent="0.2">
      <c r="A98" s="552">
        <v>167</v>
      </c>
      <c r="B98" s="553">
        <v>45971</v>
      </c>
      <c r="C98" s="314">
        <v>261614124</v>
      </c>
      <c r="D98" s="554"/>
      <c r="E98" s="568">
        <v>1</v>
      </c>
      <c r="F98" s="568" t="s">
        <v>586</v>
      </c>
      <c r="G98" s="566" t="s">
        <v>308</v>
      </c>
      <c r="H98" s="315" t="s">
        <v>172</v>
      </c>
      <c r="I98" s="556" t="s">
        <v>173</v>
      </c>
      <c r="J98" s="314" t="s">
        <v>1633</v>
      </c>
      <c r="K98" s="568" t="s">
        <v>39</v>
      </c>
      <c r="L98" s="576">
        <v>222449</v>
      </c>
      <c r="M98" s="319">
        <v>1500000</v>
      </c>
      <c r="N98" s="518"/>
      <c r="O98" s="532"/>
      <c r="P98" s="558"/>
      <c r="Q98" s="518"/>
      <c r="R98" s="518"/>
      <c r="S98" s="559">
        <v>2700000</v>
      </c>
      <c r="T98" s="560"/>
    </row>
    <row r="99" spans="1:20" s="561" customFormat="1" ht="32.25" customHeight="1" x14ac:dyDescent="0.2">
      <c r="A99" s="552">
        <v>168</v>
      </c>
      <c r="B99" s="553">
        <v>45971</v>
      </c>
      <c r="C99" s="314">
        <v>2313829131</v>
      </c>
      <c r="D99" s="554"/>
      <c r="E99" s="568">
        <v>1</v>
      </c>
      <c r="F99" s="314" t="s">
        <v>588</v>
      </c>
      <c r="G99" s="317" t="s">
        <v>216</v>
      </c>
      <c r="H99" s="317" t="s">
        <v>199</v>
      </c>
      <c r="I99" s="556" t="s">
        <v>200</v>
      </c>
      <c r="J99" s="595" t="s">
        <v>1631</v>
      </c>
      <c r="K99" s="568" t="s">
        <v>39</v>
      </c>
      <c r="L99" s="316">
        <v>412273</v>
      </c>
      <c r="M99" s="319">
        <v>1500000</v>
      </c>
      <c r="N99" s="518"/>
      <c r="O99" s="532"/>
      <c r="P99" s="558"/>
      <c r="Q99" s="518"/>
      <c r="R99" s="518"/>
      <c r="S99" s="559">
        <v>4700000</v>
      </c>
      <c r="T99" s="560"/>
    </row>
    <row r="100" spans="1:20" s="561" customFormat="1" ht="32.25" customHeight="1" x14ac:dyDescent="0.2">
      <c r="A100" s="552">
        <v>169</v>
      </c>
      <c r="B100" s="553">
        <v>45971</v>
      </c>
      <c r="C100" s="314">
        <v>2313829131</v>
      </c>
      <c r="D100" s="554"/>
      <c r="E100" s="568">
        <v>1</v>
      </c>
      <c r="F100" s="314" t="s">
        <v>589</v>
      </c>
      <c r="G100" s="314" t="s">
        <v>354</v>
      </c>
      <c r="H100" s="317" t="s">
        <v>199</v>
      </c>
      <c r="I100" s="556" t="s">
        <v>200</v>
      </c>
      <c r="J100" s="595" t="s">
        <v>1631</v>
      </c>
      <c r="K100" s="590" t="s">
        <v>39</v>
      </c>
      <c r="L100" s="316">
        <v>406096</v>
      </c>
      <c r="M100" s="319">
        <v>1500000</v>
      </c>
      <c r="N100" s="518"/>
      <c r="O100" s="532"/>
      <c r="P100" s="558"/>
      <c r="Q100" s="518"/>
      <c r="R100" s="518"/>
      <c r="S100" s="559">
        <v>4700000</v>
      </c>
      <c r="T100" s="560"/>
    </row>
    <row r="101" spans="1:20" s="561" customFormat="1" ht="32.25" customHeight="1" x14ac:dyDescent="0.2">
      <c r="A101" s="552">
        <v>170</v>
      </c>
      <c r="B101" s="553">
        <v>45971</v>
      </c>
      <c r="C101" s="314">
        <v>261509029</v>
      </c>
      <c r="D101" s="554"/>
      <c r="E101" s="568">
        <v>1</v>
      </c>
      <c r="F101" s="314" t="s">
        <v>590</v>
      </c>
      <c r="G101" s="314" t="s">
        <v>591</v>
      </c>
      <c r="H101" s="317" t="s">
        <v>298</v>
      </c>
      <c r="I101" s="556" t="s">
        <v>299</v>
      </c>
      <c r="J101" s="590" t="s">
        <v>1637</v>
      </c>
      <c r="K101" s="590" t="s">
        <v>39</v>
      </c>
      <c r="L101" s="576">
        <v>125236</v>
      </c>
      <c r="M101" s="319">
        <v>1450000</v>
      </c>
      <c r="N101" s="518"/>
      <c r="O101" s="532"/>
      <c r="P101" s="558"/>
      <c r="Q101" s="518"/>
      <c r="R101" s="518"/>
      <c r="S101" s="559">
        <v>5300000</v>
      </c>
      <c r="T101" s="560"/>
    </row>
    <row r="102" spans="1:20" s="561" customFormat="1" ht="32.25" customHeight="1" x14ac:dyDescent="0.2">
      <c r="A102" s="552">
        <v>171</v>
      </c>
      <c r="B102" s="553">
        <v>45971</v>
      </c>
      <c r="C102" s="314">
        <v>261509029</v>
      </c>
      <c r="D102" s="554"/>
      <c r="E102" s="568">
        <v>1</v>
      </c>
      <c r="F102" s="314" t="s">
        <v>593</v>
      </c>
      <c r="G102" s="317" t="s">
        <v>219</v>
      </c>
      <c r="H102" s="317" t="s">
        <v>298</v>
      </c>
      <c r="I102" s="556" t="s">
        <v>299</v>
      </c>
      <c r="J102" s="590" t="s">
        <v>1637</v>
      </c>
      <c r="K102" s="590" t="s">
        <v>39</v>
      </c>
      <c r="L102" s="576">
        <v>125086</v>
      </c>
      <c r="M102" s="319">
        <v>1450000</v>
      </c>
      <c r="N102" s="518"/>
      <c r="O102" s="532"/>
      <c r="P102" s="558"/>
      <c r="Q102" s="518"/>
      <c r="R102" s="518"/>
      <c r="S102" s="559">
        <v>5300000</v>
      </c>
      <c r="T102" s="560"/>
    </row>
    <row r="103" spans="1:20" s="561" customFormat="1" ht="32.25" customHeight="1" x14ac:dyDescent="0.2">
      <c r="A103" s="552">
        <v>172</v>
      </c>
      <c r="B103" s="553">
        <v>45971</v>
      </c>
      <c r="C103" s="314">
        <v>261509029</v>
      </c>
      <c r="D103" s="554"/>
      <c r="E103" s="568">
        <v>1</v>
      </c>
      <c r="F103" s="314" t="s">
        <v>595</v>
      </c>
      <c r="G103" s="566" t="s">
        <v>171</v>
      </c>
      <c r="H103" s="317" t="s">
        <v>298</v>
      </c>
      <c r="I103" s="556" t="s">
        <v>299</v>
      </c>
      <c r="J103" s="590" t="s">
        <v>1637</v>
      </c>
      <c r="K103" s="590" t="s">
        <v>39</v>
      </c>
      <c r="L103" s="576">
        <v>125401</v>
      </c>
      <c r="M103" s="319">
        <v>1450000</v>
      </c>
      <c r="N103" s="518"/>
      <c r="O103" s="532"/>
      <c r="P103" s="558"/>
      <c r="Q103" s="518"/>
      <c r="R103" s="518"/>
      <c r="S103" s="559">
        <v>5300000</v>
      </c>
      <c r="T103" s="560"/>
    </row>
    <row r="104" spans="1:20" s="561" customFormat="1" ht="32.25" customHeight="1" x14ac:dyDescent="0.2">
      <c r="A104" s="552">
        <v>173</v>
      </c>
      <c r="B104" s="553">
        <v>45971</v>
      </c>
      <c r="C104" s="314">
        <v>261509029</v>
      </c>
      <c r="D104" s="554"/>
      <c r="E104" s="568">
        <v>1</v>
      </c>
      <c r="F104" s="314" t="s">
        <v>597</v>
      </c>
      <c r="G104" s="317" t="s">
        <v>207</v>
      </c>
      <c r="H104" s="317" t="s">
        <v>298</v>
      </c>
      <c r="I104" s="556" t="s">
        <v>299</v>
      </c>
      <c r="J104" s="590" t="s">
        <v>1637</v>
      </c>
      <c r="K104" s="590" t="s">
        <v>39</v>
      </c>
      <c r="L104" s="576">
        <v>125233</v>
      </c>
      <c r="M104" s="319">
        <v>1450000</v>
      </c>
      <c r="N104" s="518"/>
      <c r="O104" s="532"/>
      <c r="P104" s="558"/>
      <c r="Q104" s="518"/>
      <c r="R104" s="518"/>
      <c r="S104" s="559">
        <v>5300000</v>
      </c>
      <c r="T104" s="560"/>
    </row>
    <row r="105" spans="1:20" s="561" customFormat="1" ht="32.25" customHeight="1" x14ac:dyDescent="0.2">
      <c r="A105" s="552">
        <v>174</v>
      </c>
      <c r="B105" s="553">
        <v>45971</v>
      </c>
      <c r="C105" s="314">
        <v>261509029</v>
      </c>
      <c r="D105" s="554"/>
      <c r="E105" s="568">
        <v>1</v>
      </c>
      <c r="F105" s="314" t="s">
        <v>599</v>
      </c>
      <c r="G105" s="566" t="s">
        <v>222</v>
      </c>
      <c r="H105" s="317" t="s">
        <v>298</v>
      </c>
      <c r="I105" s="556" t="s">
        <v>299</v>
      </c>
      <c r="J105" s="590" t="s">
        <v>1637</v>
      </c>
      <c r="K105" s="590" t="s">
        <v>39</v>
      </c>
      <c r="L105" s="576">
        <v>125231</v>
      </c>
      <c r="M105" s="319">
        <v>1450000</v>
      </c>
      <c r="N105" s="518"/>
      <c r="O105" s="532"/>
      <c r="P105" s="558"/>
      <c r="Q105" s="518"/>
      <c r="R105" s="518"/>
      <c r="S105" s="559">
        <v>5300000</v>
      </c>
      <c r="T105" s="560"/>
    </row>
    <row r="106" spans="1:20" s="561" customFormat="1" ht="32.25" customHeight="1" x14ac:dyDescent="0.2">
      <c r="A106" s="552">
        <v>175</v>
      </c>
      <c r="B106" s="553">
        <v>45971</v>
      </c>
      <c r="C106" s="314">
        <v>261509311</v>
      </c>
      <c r="D106" s="554"/>
      <c r="E106" s="568">
        <v>1</v>
      </c>
      <c r="F106" s="568" t="s">
        <v>601</v>
      </c>
      <c r="G106" s="317" t="s">
        <v>341</v>
      </c>
      <c r="H106" s="317" t="s">
        <v>1632</v>
      </c>
      <c r="I106" s="573" t="s">
        <v>256</v>
      </c>
      <c r="J106" s="590" t="s">
        <v>1637</v>
      </c>
      <c r="K106" s="590" t="s">
        <v>39</v>
      </c>
      <c r="L106" s="576">
        <v>125150</v>
      </c>
      <c r="M106" s="319">
        <v>1450000</v>
      </c>
      <c r="N106" s="518"/>
      <c r="O106" s="532"/>
      <c r="P106" s="558"/>
      <c r="Q106" s="518">
        <v>500000</v>
      </c>
      <c r="R106" s="518"/>
      <c r="S106" s="559">
        <v>4500000</v>
      </c>
      <c r="T106" s="560"/>
    </row>
    <row r="107" spans="1:20" s="561" customFormat="1" ht="32.25" customHeight="1" x14ac:dyDescent="0.2">
      <c r="A107" s="552">
        <v>176</v>
      </c>
      <c r="B107" s="553">
        <v>45971</v>
      </c>
      <c r="C107" s="314">
        <v>261509311</v>
      </c>
      <c r="D107" s="554"/>
      <c r="E107" s="568">
        <v>1</v>
      </c>
      <c r="F107" s="314" t="s">
        <v>603</v>
      </c>
      <c r="G107" s="314" t="s">
        <v>604</v>
      </c>
      <c r="H107" s="317" t="s">
        <v>1632</v>
      </c>
      <c r="I107" s="573" t="s">
        <v>256</v>
      </c>
      <c r="J107" s="590" t="s">
        <v>1637</v>
      </c>
      <c r="K107" s="590" t="s">
        <v>39</v>
      </c>
      <c r="L107" s="576">
        <v>125304</v>
      </c>
      <c r="M107" s="319">
        <v>1450000</v>
      </c>
      <c r="N107" s="518"/>
      <c r="O107" s="532"/>
      <c r="P107" s="558"/>
      <c r="Q107" s="518">
        <v>500000</v>
      </c>
      <c r="R107" s="518"/>
      <c r="S107" s="559">
        <v>4500000</v>
      </c>
      <c r="T107" s="560"/>
    </row>
    <row r="108" spans="1:20" s="561" customFormat="1" ht="32.25" customHeight="1" x14ac:dyDescent="0.2">
      <c r="A108" s="552">
        <v>177</v>
      </c>
      <c r="B108" s="553">
        <v>45971</v>
      </c>
      <c r="C108" s="314">
        <v>261509311</v>
      </c>
      <c r="D108" s="554"/>
      <c r="E108" s="568">
        <v>1</v>
      </c>
      <c r="F108" s="596" t="s">
        <v>606</v>
      </c>
      <c r="G108" s="314" t="s">
        <v>287</v>
      </c>
      <c r="H108" s="317" t="s">
        <v>607</v>
      </c>
      <c r="I108" s="556" t="s">
        <v>608</v>
      </c>
      <c r="J108" s="590" t="s">
        <v>1637</v>
      </c>
      <c r="K108" s="590" t="s">
        <v>39</v>
      </c>
      <c r="L108" s="576">
        <v>125146</v>
      </c>
      <c r="M108" s="319">
        <v>1450000</v>
      </c>
      <c r="N108" s="518"/>
      <c r="O108" s="532"/>
      <c r="P108" s="558"/>
      <c r="Q108" s="518">
        <v>2000000</v>
      </c>
      <c r="R108" s="518"/>
      <c r="S108" s="559">
        <v>3300000</v>
      </c>
      <c r="T108" s="560"/>
    </row>
    <row r="109" spans="1:20" s="561" customFormat="1" ht="32.25" customHeight="1" x14ac:dyDescent="0.2">
      <c r="A109" s="552">
        <v>178</v>
      </c>
      <c r="B109" s="553">
        <v>45971</v>
      </c>
      <c r="C109" s="314">
        <v>261509311</v>
      </c>
      <c r="D109" s="554"/>
      <c r="E109" s="568">
        <v>1</v>
      </c>
      <c r="F109" s="596" t="s">
        <v>610</v>
      </c>
      <c r="G109" s="314" t="s">
        <v>262</v>
      </c>
      <c r="H109" s="317" t="s">
        <v>607</v>
      </c>
      <c r="I109" s="556" t="s">
        <v>608</v>
      </c>
      <c r="J109" s="590" t="s">
        <v>1637</v>
      </c>
      <c r="K109" s="590" t="s">
        <v>39</v>
      </c>
      <c r="L109" s="576">
        <v>125147</v>
      </c>
      <c r="M109" s="319">
        <v>1450000</v>
      </c>
      <c r="N109" s="518"/>
      <c r="O109" s="532"/>
      <c r="P109" s="558"/>
      <c r="Q109" s="518">
        <v>2000000</v>
      </c>
      <c r="R109" s="518"/>
      <c r="S109" s="559">
        <v>3300000</v>
      </c>
      <c r="T109" s="560"/>
    </row>
    <row r="110" spans="1:20" s="561" customFormat="1" ht="32.25" customHeight="1" x14ac:dyDescent="0.2">
      <c r="A110" s="552">
        <v>179</v>
      </c>
      <c r="B110" s="553">
        <v>45971</v>
      </c>
      <c r="C110" s="314">
        <v>261509311</v>
      </c>
      <c r="D110" s="554"/>
      <c r="E110" s="568">
        <v>1</v>
      </c>
      <c r="F110" s="596" t="s">
        <v>612</v>
      </c>
      <c r="G110" s="314" t="s">
        <v>284</v>
      </c>
      <c r="H110" s="317" t="s">
        <v>607</v>
      </c>
      <c r="I110" s="556" t="s">
        <v>608</v>
      </c>
      <c r="J110" s="590" t="s">
        <v>1637</v>
      </c>
      <c r="K110" s="590" t="s">
        <v>39</v>
      </c>
      <c r="L110" s="576">
        <v>125241</v>
      </c>
      <c r="M110" s="319">
        <v>1450000</v>
      </c>
      <c r="N110" s="518"/>
      <c r="O110" s="532"/>
      <c r="P110" s="558"/>
      <c r="Q110" s="518">
        <v>2000000</v>
      </c>
      <c r="R110" s="518"/>
      <c r="S110" s="559">
        <v>3300000</v>
      </c>
      <c r="T110" s="560"/>
    </row>
    <row r="111" spans="1:20" s="561" customFormat="1" ht="32.25" customHeight="1" x14ac:dyDescent="0.2">
      <c r="A111" s="552">
        <v>180</v>
      </c>
      <c r="B111" s="553">
        <v>45971</v>
      </c>
      <c r="C111" s="314">
        <v>261509311</v>
      </c>
      <c r="D111" s="554"/>
      <c r="E111" s="568">
        <v>1</v>
      </c>
      <c r="F111" s="317" t="s">
        <v>1137</v>
      </c>
      <c r="G111" s="314" t="s">
        <v>248</v>
      </c>
      <c r="H111" s="317" t="s">
        <v>607</v>
      </c>
      <c r="I111" s="556" t="s">
        <v>608</v>
      </c>
      <c r="J111" s="590" t="s">
        <v>1637</v>
      </c>
      <c r="K111" s="590" t="s">
        <v>39</v>
      </c>
      <c r="L111" s="576">
        <v>125181</v>
      </c>
      <c r="M111" s="319">
        <v>1450000</v>
      </c>
      <c r="N111" s="518"/>
      <c r="O111" s="532"/>
      <c r="P111" s="558"/>
      <c r="Q111" s="518">
        <v>2000000</v>
      </c>
      <c r="R111" s="518"/>
      <c r="S111" s="559">
        <v>3300000</v>
      </c>
      <c r="T111" s="560"/>
    </row>
    <row r="112" spans="1:20" s="561" customFormat="1" ht="32.25" customHeight="1" x14ac:dyDescent="0.2">
      <c r="A112" s="552">
        <v>181</v>
      </c>
      <c r="B112" s="553">
        <v>45971</v>
      </c>
      <c r="C112" s="568">
        <v>260736601</v>
      </c>
      <c r="D112" s="568"/>
      <c r="E112" s="568">
        <v>1</v>
      </c>
      <c r="F112" s="314" t="s">
        <v>615</v>
      </c>
      <c r="G112" s="314" t="s">
        <v>616</v>
      </c>
      <c r="H112" s="317" t="s">
        <v>180</v>
      </c>
      <c r="I112" s="556" t="s">
        <v>181</v>
      </c>
      <c r="J112" s="568" t="s">
        <v>39</v>
      </c>
      <c r="K112" s="568" t="s">
        <v>617</v>
      </c>
      <c r="L112" s="316">
        <v>223273</v>
      </c>
      <c r="M112" s="319">
        <v>1500000</v>
      </c>
      <c r="N112" s="518"/>
      <c r="O112" s="532"/>
      <c r="P112" s="558"/>
      <c r="Q112" s="518"/>
      <c r="R112" s="518">
        <v>260000</v>
      </c>
      <c r="S112" s="559">
        <v>4500000</v>
      </c>
      <c r="T112" s="560"/>
    </row>
    <row r="113" spans="1:20" s="561" customFormat="1" ht="32.25" customHeight="1" x14ac:dyDescent="0.2">
      <c r="A113" s="552">
        <v>182</v>
      </c>
      <c r="B113" s="553">
        <v>45972</v>
      </c>
      <c r="C113" s="568">
        <v>3801304051</v>
      </c>
      <c r="D113" s="568"/>
      <c r="E113" s="568">
        <v>1</v>
      </c>
      <c r="F113" s="314" t="s">
        <v>618</v>
      </c>
      <c r="G113" s="314" t="s">
        <v>619</v>
      </c>
      <c r="H113" s="317" t="s">
        <v>298</v>
      </c>
      <c r="I113" s="556" t="s">
        <v>299</v>
      </c>
      <c r="J113" s="568" t="s">
        <v>39</v>
      </c>
      <c r="K113" s="314" t="s">
        <v>1639</v>
      </c>
      <c r="L113" s="576">
        <v>7732</v>
      </c>
      <c r="M113" s="319">
        <v>1500000</v>
      </c>
      <c r="N113" s="518"/>
      <c r="O113" s="532"/>
      <c r="P113" s="558"/>
      <c r="Q113" s="518"/>
      <c r="R113" s="518"/>
      <c r="S113" s="559">
        <v>5300000</v>
      </c>
      <c r="T113" s="560"/>
    </row>
    <row r="114" spans="1:20" s="561" customFormat="1" ht="32.25" customHeight="1" x14ac:dyDescent="0.2">
      <c r="A114" s="552">
        <v>183</v>
      </c>
      <c r="B114" s="553">
        <v>45972</v>
      </c>
      <c r="C114" s="568">
        <v>3801304051</v>
      </c>
      <c r="D114" s="554"/>
      <c r="E114" s="568">
        <v>1</v>
      </c>
      <c r="F114" s="314" t="s">
        <v>621</v>
      </c>
      <c r="G114" s="314" t="s">
        <v>622</v>
      </c>
      <c r="H114" s="317" t="s">
        <v>298</v>
      </c>
      <c r="I114" s="556" t="s">
        <v>299</v>
      </c>
      <c r="J114" s="568" t="s">
        <v>39</v>
      </c>
      <c r="K114" s="314" t="s">
        <v>1639</v>
      </c>
      <c r="L114" s="576">
        <v>408744</v>
      </c>
      <c r="M114" s="319">
        <v>1500000</v>
      </c>
      <c r="N114" s="518"/>
      <c r="O114" s="532"/>
      <c r="P114" s="558"/>
      <c r="Q114" s="518"/>
      <c r="R114" s="518"/>
      <c r="S114" s="559">
        <v>5300000</v>
      </c>
      <c r="T114" s="560"/>
    </row>
    <row r="115" spans="1:20" s="561" customFormat="1" ht="32.25" customHeight="1" x14ac:dyDescent="0.2">
      <c r="A115" s="552">
        <v>184</v>
      </c>
      <c r="B115" s="553">
        <v>45972</v>
      </c>
      <c r="C115" s="568">
        <v>3801304051</v>
      </c>
      <c r="D115" s="554"/>
      <c r="E115" s="568">
        <v>1</v>
      </c>
      <c r="F115" s="314" t="s">
        <v>624</v>
      </c>
      <c r="G115" s="317" t="s">
        <v>225</v>
      </c>
      <c r="H115" s="317" t="s">
        <v>298</v>
      </c>
      <c r="I115" s="556" t="s">
        <v>299</v>
      </c>
      <c r="J115" s="568" t="s">
        <v>39</v>
      </c>
      <c r="K115" s="314" t="s">
        <v>1639</v>
      </c>
      <c r="L115" s="576">
        <v>407863</v>
      </c>
      <c r="M115" s="319">
        <v>1500000</v>
      </c>
      <c r="N115" s="518"/>
      <c r="O115" s="532"/>
      <c r="P115" s="558"/>
      <c r="Q115" s="518"/>
      <c r="R115" s="518"/>
      <c r="S115" s="559">
        <v>5300000</v>
      </c>
      <c r="T115" s="560"/>
    </row>
    <row r="116" spans="1:20" s="561" customFormat="1" ht="32.25" customHeight="1" x14ac:dyDescent="0.2">
      <c r="A116" s="552">
        <v>185</v>
      </c>
      <c r="B116" s="553">
        <v>45972</v>
      </c>
      <c r="C116" s="314">
        <v>257754105</v>
      </c>
      <c r="D116" s="568"/>
      <c r="E116" s="568">
        <v>1</v>
      </c>
      <c r="F116" s="314" t="s">
        <v>626</v>
      </c>
      <c r="G116" s="317" t="s">
        <v>305</v>
      </c>
      <c r="H116" s="317" t="s">
        <v>298</v>
      </c>
      <c r="I116" s="556" t="s">
        <v>299</v>
      </c>
      <c r="J116" s="590" t="s">
        <v>441</v>
      </c>
      <c r="K116" s="314" t="s">
        <v>1639</v>
      </c>
      <c r="L116" s="576" t="s">
        <v>627</v>
      </c>
      <c r="M116" s="319">
        <v>1500000</v>
      </c>
      <c r="N116" s="518"/>
      <c r="O116" s="532"/>
      <c r="P116" s="558"/>
      <c r="Q116" s="518"/>
      <c r="R116" s="518">
        <v>260000</v>
      </c>
      <c r="S116" s="559">
        <v>5300000</v>
      </c>
      <c r="T116" s="560"/>
    </row>
    <row r="117" spans="1:20" s="561" customFormat="1" ht="32.25" customHeight="1" x14ac:dyDescent="0.2">
      <c r="A117" s="552">
        <v>186</v>
      </c>
      <c r="B117" s="553">
        <v>45972</v>
      </c>
      <c r="C117" s="314">
        <v>257754105</v>
      </c>
      <c r="D117" s="554"/>
      <c r="E117" s="568">
        <v>1</v>
      </c>
      <c r="F117" s="314" t="s">
        <v>628</v>
      </c>
      <c r="G117" s="566" t="s">
        <v>222</v>
      </c>
      <c r="H117" s="317" t="s">
        <v>298</v>
      </c>
      <c r="I117" s="556" t="s">
        <v>299</v>
      </c>
      <c r="J117" s="590" t="s">
        <v>441</v>
      </c>
      <c r="K117" s="314" t="s">
        <v>1639</v>
      </c>
      <c r="L117" s="576" t="s">
        <v>629</v>
      </c>
      <c r="M117" s="319">
        <v>1500000</v>
      </c>
      <c r="N117" s="518"/>
      <c r="O117" s="532"/>
      <c r="P117" s="558"/>
      <c r="Q117" s="518"/>
      <c r="R117" s="518">
        <v>260000</v>
      </c>
      <c r="S117" s="559">
        <v>5300000</v>
      </c>
      <c r="T117" s="560"/>
    </row>
    <row r="118" spans="1:20" s="561" customFormat="1" ht="32.25" customHeight="1" x14ac:dyDescent="0.2">
      <c r="A118" s="552">
        <v>187</v>
      </c>
      <c r="B118" s="553">
        <v>45972</v>
      </c>
      <c r="C118" s="314">
        <v>257754105</v>
      </c>
      <c r="D118" s="554"/>
      <c r="E118" s="568">
        <v>1</v>
      </c>
      <c r="F118" s="568" t="s">
        <v>630</v>
      </c>
      <c r="G118" s="317" t="s">
        <v>204</v>
      </c>
      <c r="H118" s="317" t="s">
        <v>298</v>
      </c>
      <c r="I118" s="556" t="s">
        <v>299</v>
      </c>
      <c r="J118" s="590" t="s">
        <v>441</v>
      </c>
      <c r="K118" s="314" t="s">
        <v>1639</v>
      </c>
      <c r="L118" s="576" t="s">
        <v>631</v>
      </c>
      <c r="M118" s="319">
        <v>1500000</v>
      </c>
      <c r="N118" s="518"/>
      <c r="O118" s="532"/>
      <c r="P118" s="558"/>
      <c r="Q118" s="518"/>
      <c r="R118" s="518">
        <v>260000</v>
      </c>
      <c r="S118" s="559">
        <v>5300000</v>
      </c>
      <c r="T118" s="560"/>
    </row>
    <row r="119" spans="1:20" s="561" customFormat="1" ht="32.25" customHeight="1" x14ac:dyDescent="0.2">
      <c r="A119" s="552">
        <v>188</v>
      </c>
      <c r="B119" s="553">
        <v>45972</v>
      </c>
      <c r="C119" s="314" t="s">
        <v>632</v>
      </c>
      <c r="D119" s="554"/>
      <c r="E119" s="568">
        <v>1</v>
      </c>
      <c r="F119" s="314" t="s">
        <v>633</v>
      </c>
      <c r="G119" s="317" t="s">
        <v>302</v>
      </c>
      <c r="H119" s="317" t="s">
        <v>180</v>
      </c>
      <c r="I119" s="556" t="s">
        <v>181</v>
      </c>
      <c r="J119" s="568" t="s">
        <v>39</v>
      </c>
      <c r="K119" s="314" t="s">
        <v>1629</v>
      </c>
      <c r="L119" s="576">
        <v>128467</v>
      </c>
      <c r="M119" s="319">
        <v>1500000</v>
      </c>
      <c r="N119" s="518"/>
      <c r="O119" s="532"/>
      <c r="P119" s="558"/>
      <c r="Q119" s="518"/>
      <c r="R119" s="518"/>
      <c r="S119" s="559">
        <v>4500000</v>
      </c>
      <c r="T119" s="560"/>
    </row>
    <row r="120" spans="1:20" s="561" customFormat="1" ht="32.25" customHeight="1" x14ac:dyDescent="0.2">
      <c r="A120" s="552">
        <v>189</v>
      </c>
      <c r="B120" s="553">
        <v>45972</v>
      </c>
      <c r="C120" s="568" t="s">
        <v>635</v>
      </c>
      <c r="D120" s="568"/>
      <c r="E120" s="568">
        <v>1</v>
      </c>
      <c r="F120" s="314" t="s">
        <v>636</v>
      </c>
      <c r="G120" s="594" t="s">
        <v>254</v>
      </c>
      <c r="H120" s="317" t="s">
        <v>1632</v>
      </c>
      <c r="I120" s="573" t="s">
        <v>256</v>
      </c>
      <c r="J120" s="568" t="s">
        <v>39</v>
      </c>
      <c r="K120" s="314" t="s">
        <v>1629</v>
      </c>
      <c r="L120" s="576">
        <v>128354</v>
      </c>
      <c r="M120" s="319">
        <v>1500000</v>
      </c>
      <c r="N120" s="518"/>
      <c r="O120" s="532"/>
      <c r="P120" s="558"/>
      <c r="Q120" s="518"/>
      <c r="R120" s="518"/>
      <c r="S120" s="559">
        <v>4500000</v>
      </c>
      <c r="T120" s="560"/>
    </row>
    <row r="121" spans="1:20" s="561" customFormat="1" ht="32.25" customHeight="1" x14ac:dyDescent="0.2">
      <c r="A121" s="552">
        <v>190</v>
      </c>
      <c r="B121" s="553">
        <v>45972</v>
      </c>
      <c r="C121" s="568" t="s">
        <v>635</v>
      </c>
      <c r="D121" s="554"/>
      <c r="E121" s="568">
        <v>1</v>
      </c>
      <c r="F121" s="314" t="s">
        <v>638</v>
      </c>
      <c r="G121" s="314" t="s">
        <v>354</v>
      </c>
      <c r="H121" s="317" t="s">
        <v>1632</v>
      </c>
      <c r="I121" s="573" t="s">
        <v>256</v>
      </c>
      <c r="J121" s="568" t="s">
        <v>39</v>
      </c>
      <c r="K121" s="314" t="s">
        <v>1629</v>
      </c>
      <c r="L121" s="576">
        <v>128435</v>
      </c>
      <c r="M121" s="319">
        <v>1500000</v>
      </c>
      <c r="N121" s="518"/>
      <c r="O121" s="532"/>
      <c r="P121" s="558"/>
      <c r="Q121" s="518"/>
      <c r="R121" s="518"/>
      <c r="S121" s="559">
        <v>4500000</v>
      </c>
      <c r="T121" s="560"/>
    </row>
    <row r="122" spans="1:20" s="561" customFormat="1" ht="32.25" customHeight="1" x14ac:dyDescent="0.2">
      <c r="A122" s="552">
        <v>191</v>
      </c>
      <c r="B122" s="553">
        <v>45973</v>
      </c>
      <c r="C122" s="314">
        <v>261670478</v>
      </c>
      <c r="D122" s="554"/>
      <c r="E122" s="568">
        <v>1</v>
      </c>
      <c r="F122" s="314" t="s">
        <v>640</v>
      </c>
      <c r="G122" s="314" t="s">
        <v>619</v>
      </c>
      <c r="H122" s="315" t="s">
        <v>172</v>
      </c>
      <c r="I122" s="556" t="s">
        <v>173</v>
      </c>
      <c r="J122" s="568" t="s">
        <v>1633</v>
      </c>
      <c r="K122" s="314" t="s">
        <v>39</v>
      </c>
      <c r="L122" s="576">
        <v>14868</v>
      </c>
      <c r="M122" s="319">
        <v>1500000</v>
      </c>
      <c r="N122" s="518"/>
      <c r="O122" s="532"/>
      <c r="P122" s="558"/>
      <c r="Q122" s="518"/>
      <c r="R122" s="518"/>
      <c r="S122" s="559">
        <v>2700000</v>
      </c>
      <c r="T122" s="560"/>
    </row>
    <row r="123" spans="1:20" s="561" customFormat="1" ht="32.25" customHeight="1" x14ac:dyDescent="0.2">
      <c r="A123" s="552">
        <v>192</v>
      </c>
      <c r="B123" s="553">
        <v>45973</v>
      </c>
      <c r="C123" s="314">
        <v>261670478</v>
      </c>
      <c r="D123" s="554"/>
      <c r="E123" s="568">
        <v>1</v>
      </c>
      <c r="F123" s="314" t="s">
        <v>642</v>
      </c>
      <c r="G123" s="317" t="s">
        <v>302</v>
      </c>
      <c r="H123" s="315" t="s">
        <v>172</v>
      </c>
      <c r="I123" s="556" t="s">
        <v>173</v>
      </c>
      <c r="J123" s="568" t="s">
        <v>1633</v>
      </c>
      <c r="K123" s="314" t="s">
        <v>39</v>
      </c>
      <c r="L123" s="576">
        <v>14864</v>
      </c>
      <c r="M123" s="319">
        <v>1500000</v>
      </c>
      <c r="N123" s="518"/>
      <c r="O123" s="532"/>
      <c r="P123" s="558"/>
      <c r="Q123" s="518"/>
      <c r="R123" s="518"/>
      <c r="S123" s="559">
        <v>2700000</v>
      </c>
      <c r="T123" s="560"/>
    </row>
    <row r="124" spans="1:20" s="561" customFormat="1" ht="32.25" customHeight="1" x14ac:dyDescent="0.2">
      <c r="A124" s="552">
        <v>193</v>
      </c>
      <c r="B124" s="553">
        <v>45973</v>
      </c>
      <c r="C124" s="314">
        <v>259011434</v>
      </c>
      <c r="D124" s="554"/>
      <c r="E124" s="568">
        <v>1</v>
      </c>
      <c r="F124" s="314" t="s">
        <v>644</v>
      </c>
      <c r="G124" s="566" t="s">
        <v>308</v>
      </c>
      <c r="H124" s="315" t="s">
        <v>172</v>
      </c>
      <c r="I124" s="556" t="s">
        <v>173</v>
      </c>
      <c r="J124" s="590" t="s">
        <v>39</v>
      </c>
      <c r="K124" s="595" t="s">
        <v>1646</v>
      </c>
      <c r="L124" s="576">
        <v>7816</v>
      </c>
      <c r="M124" s="319">
        <v>1500000</v>
      </c>
      <c r="N124" s="518"/>
      <c r="O124" s="532"/>
      <c r="P124" s="558"/>
      <c r="Q124" s="518"/>
      <c r="R124" s="518"/>
      <c r="S124" s="559">
        <v>2700000</v>
      </c>
      <c r="T124" s="560"/>
    </row>
    <row r="125" spans="1:20" s="561" customFormat="1" ht="32.25" customHeight="1" x14ac:dyDescent="0.2">
      <c r="A125" s="552">
        <v>194</v>
      </c>
      <c r="B125" s="553">
        <v>45973</v>
      </c>
      <c r="C125" s="314" t="s">
        <v>647</v>
      </c>
      <c r="D125" s="554"/>
      <c r="E125" s="568">
        <v>1</v>
      </c>
      <c r="F125" s="314" t="s">
        <v>648</v>
      </c>
      <c r="G125" s="317" t="s">
        <v>204</v>
      </c>
      <c r="H125" s="317" t="s">
        <v>298</v>
      </c>
      <c r="I125" s="556" t="s">
        <v>299</v>
      </c>
      <c r="J125" s="597" t="s">
        <v>39</v>
      </c>
      <c r="K125" s="314" t="s">
        <v>1629</v>
      </c>
      <c r="L125" s="576">
        <v>128785</v>
      </c>
      <c r="M125" s="319">
        <v>1500000</v>
      </c>
      <c r="N125" s="518"/>
      <c r="O125" s="532"/>
      <c r="P125" s="558"/>
      <c r="Q125" s="518"/>
      <c r="R125" s="518"/>
      <c r="S125" s="559">
        <v>5300000</v>
      </c>
      <c r="T125" s="560"/>
    </row>
    <row r="126" spans="1:20" s="561" customFormat="1" ht="32.25" customHeight="1" x14ac:dyDescent="0.2">
      <c r="A126" s="552">
        <v>195</v>
      </c>
      <c r="B126" s="553">
        <v>45973</v>
      </c>
      <c r="C126" s="314" t="s">
        <v>647</v>
      </c>
      <c r="D126" s="554"/>
      <c r="E126" s="568">
        <v>1</v>
      </c>
      <c r="F126" s="314" t="s">
        <v>650</v>
      </c>
      <c r="G126" s="566" t="s">
        <v>171</v>
      </c>
      <c r="H126" s="317" t="s">
        <v>298</v>
      </c>
      <c r="I126" s="556" t="s">
        <v>299</v>
      </c>
      <c r="J126" s="597" t="s">
        <v>39</v>
      </c>
      <c r="K126" s="314" t="s">
        <v>1629</v>
      </c>
      <c r="L126" s="576">
        <v>128872</v>
      </c>
      <c r="M126" s="319">
        <v>1500000</v>
      </c>
      <c r="N126" s="518"/>
      <c r="O126" s="532"/>
      <c r="P126" s="558">
        <v>950000</v>
      </c>
      <c r="Q126" s="518"/>
      <c r="R126" s="518"/>
      <c r="S126" s="559">
        <v>5300000</v>
      </c>
      <c r="T126" s="560"/>
    </row>
    <row r="127" spans="1:20" s="561" customFormat="1" ht="32.25" customHeight="1" x14ac:dyDescent="0.2">
      <c r="A127" s="552">
        <v>196</v>
      </c>
      <c r="B127" s="553">
        <v>45973</v>
      </c>
      <c r="C127" s="314" t="s">
        <v>647</v>
      </c>
      <c r="D127" s="554"/>
      <c r="E127" s="568">
        <v>1</v>
      </c>
      <c r="F127" s="568" t="s">
        <v>652</v>
      </c>
      <c r="G127" s="317" t="s">
        <v>225</v>
      </c>
      <c r="H127" s="317" t="s">
        <v>298</v>
      </c>
      <c r="I127" s="556" t="s">
        <v>299</v>
      </c>
      <c r="J127" s="597" t="s">
        <v>39</v>
      </c>
      <c r="K127" s="314" t="s">
        <v>1629</v>
      </c>
      <c r="L127" s="576">
        <v>128968</v>
      </c>
      <c r="M127" s="319">
        <v>1500000</v>
      </c>
      <c r="N127" s="518"/>
      <c r="O127" s="532"/>
      <c r="P127" s="558"/>
      <c r="Q127" s="518"/>
      <c r="R127" s="518"/>
      <c r="S127" s="559">
        <v>5300000</v>
      </c>
      <c r="T127" s="560"/>
    </row>
    <row r="128" spans="1:20" s="561" customFormat="1" ht="32.25" customHeight="1" x14ac:dyDescent="0.2">
      <c r="A128" s="552">
        <v>197</v>
      </c>
      <c r="B128" s="553">
        <v>45973</v>
      </c>
      <c r="C128" s="568">
        <v>259939738</v>
      </c>
      <c r="D128" s="568"/>
      <c r="E128" s="568">
        <v>1</v>
      </c>
      <c r="F128" s="314" t="s">
        <v>654</v>
      </c>
      <c r="G128" s="317" t="s">
        <v>213</v>
      </c>
      <c r="H128" s="317" t="s">
        <v>180</v>
      </c>
      <c r="I128" s="556" t="s">
        <v>181</v>
      </c>
      <c r="J128" s="597" t="s">
        <v>39</v>
      </c>
      <c r="K128" s="595" t="s">
        <v>361</v>
      </c>
      <c r="L128" s="576">
        <v>126469</v>
      </c>
      <c r="M128" s="319">
        <v>1450000</v>
      </c>
      <c r="N128" s="518"/>
      <c r="O128" s="532"/>
      <c r="P128" s="558"/>
      <c r="Q128" s="518"/>
      <c r="R128" s="518"/>
      <c r="S128" s="559">
        <v>4500000</v>
      </c>
      <c r="T128" s="560"/>
    </row>
    <row r="129" spans="1:20" s="561" customFormat="1" ht="32.25" customHeight="1" x14ac:dyDescent="0.2">
      <c r="A129" s="552">
        <v>198</v>
      </c>
      <c r="B129" s="553">
        <v>45973</v>
      </c>
      <c r="C129" s="568">
        <v>259939738</v>
      </c>
      <c r="D129" s="554"/>
      <c r="E129" s="568">
        <v>1</v>
      </c>
      <c r="F129" s="314" t="s">
        <v>656</v>
      </c>
      <c r="G129" s="317" t="s">
        <v>216</v>
      </c>
      <c r="H129" s="317" t="s">
        <v>180</v>
      </c>
      <c r="I129" s="556" t="s">
        <v>181</v>
      </c>
      <c r="J129" s="597" t="s">
        <v>39</v>
      </c>
      <c r="K129" s="595" t="s">
        <v>361</v>
      </c>
      <c r="L129" s="576">
        <v>126549</v>
      </c>
      <c r="M129" s="319">
        <v>1450000</v>
      </c>
      <c r="N129" s="518"/>
      <c r="O129" s="532"/>
      <c r="P129" s="558"/>
      <c r="Q129" s="518"/>
      <c r="R129" s="518"/>
      <c r="S129" s="559">
        <v>4500000</v>
      </c>
      <c r="T129" s="560"/>
    </row>
    <row r="130" spans="1:20" s="561" customFormat="1" ht="32.25" customHeight="1" x14ac:dyDescent="0.2">
      <c r="A130" s="552">
        <v>199</v>
      </c>
      <c r="B130" s="553">
        <v>45973</v>
      </c>
      <c r="C130" s="568">
        <v>259939738</v>
      </c>
      <c r="D130" s="554"/>
      <c r="E130" s="568">
        <v>1</v>
      </c>
      <c r="F130" s="314" t="s">
        <v>658</v>
      </c>
      <c r="G130" s="317" t="s">
        <v>341</v>
      </c>
      <c r="H130" s="317" t="s">
        <v>180</v>
      </c>
      <c r="I130" s="556" t="s">
        <v>181</v>
      </c>
      <c r="J130" s="597" t="s">
        <v>39</v>
      </c>
      <c r="K130" s="595" t="s">
        <v>361</v>
      </c>
      <c r="L130" s="582">
        <v>126587</v>
      </c>
      <c r="M130" s="319">
        <v>1450000</v>
      </c>
      <c r="N130" s="518"/>
      <c r="O130" s="532"/>
      <c r="P130" s="558"/>
      <c r="Q130" s="518"/>
      <c r="R130" s="518"/>
      <c r="S130" s="559">
        <v>4500000</v>
      </c>
      <c r="T130" s="560"/>
    </row>
    <row r="131" spans="1:20" s="561" customFormat="1" ht="32.25" customHeight="1" x14ac:dyDescent="0.2">
      <c r="A131" s="552">
        <v>200</v>
      </c>
      <c r="B131" s="553">
        <v>45973</v>
      </c>
      <c r="C131" s="568">
        <v>259939738</v>
      </c>
      <c r="D131" s="554"/>
      <c r="E131" s="568">
        <v>1</v>
      </c>
      <c r="F131" s="314" t="s">
        <v>660</v>
      </c>
      <c r="G131" s="317" t="s">
        <v>368</v>
      </c>
      <c r="H131" s="317" t="s">
        <v>180</v>
      </c>
      <c r="I131" s="556" t="s">
        <v>181</v>
      </c>
      <c r="J131" s="598" t="s">
        <v>39</v>
      </c>
      <c r="K131" s="595" t="s">
        <v>361</v>
      </c>
      <c r="L131" s="576">
        <v>126515</v>
      </c>
      <c r="M131" s="319">
        <v>1450000</v>
      </c>
      <c r="N131" s="518"/>
      <c r="O131" s="532"/>
      <c r="P131" s="558"/>
      <c r="Q131" s="518"/>
      <c r="R131" s="518"/>
      <c r="S131" s="559">
        <v>4500000</v>
      </c>
      <c r="T131" s="560"/>
    </row>
    <row r="132" spans="1:20" s="561" customFormat="1" ht="32.25" customHeight="1" x14ac:dyDescent="0.2">
      <c r="A132" s="552">
        <v>201</v>
      </c>
      <c r="B132" s="553">
        <v>45973</v>
      </c>
      <c r="C132" s="314">
        <v>259011478</v>
      </c>
      <c r="D132" s="554"/>
      <c r="E132" s="568">
        <v>1</v>
      </c>
      <c r="F132" s="314" t="s">
        <v>642</v>
      </c>
      <c r="G132" s="566" t="s">
        <v>222</v>
      </c>
      <c r="H132" s="555" t="s">
        <v>662</v>
      </c>
      <c r="I132" s="556" t="s">
        <v>173</v>
      </c>
      <c r="J132" s="315" t="s">
        <v>39</v>
      </c>
      <c r="K132" s="314" t="s">
        <v>1646</v>
      </c>
      <c r="L132" s="576">
        <v>14865</v>
      </c>
      <c r="M132" s="319">
        <v>1500000</v>
      </c>
      <c r="N132" s="518"/>
      <c r="O132" s="532"/>
      <c r="P132" s="558"/>
      <c r="Q132" s="518"/>
      <c r="R132" s="518"/>
      <c r="S132" s="559">
        <v>1890000</v>
      </c>
      <c r="T132" s="560"/>
    </row>
    <row r="133" spans="1:20" s="561" customFormat="1" ht="32.25" customHeight="1" x14ac:dyDescent="0.2">
      <c r="A133" s="552">
        <v>202</v>
      </c>
      <c r="B133" s="553">
        <v>45973</v>
      </c>
      <c r="C133" s="314">
        <v>259011478</v>
      </c>
      <c r="D133" s="554"/>
      <c r="E133" s="568">
        <v>1</v>
      </c>
      <c r="F133" s="314" t="s">
        <v>640</v>
      </c>
      <c r="G133" s="317" t="s">
        <v>213</v>
      </c>
      <c r="H133" s="555" t="s">
        <v>662</v>
      </c>
      <c r="I133" s="556" t="s">
        <v>173</v>
      </c>
      <c r="J133" s="315" t="s">
        <v>39</v>
      </c>
      <c r="K133" s="314" t="s">
        <v>1646</v>
      </c>
      <c r="L133" s="576">
        <v>14867</v>
      </c>
      <c r="M133" s="319">
        <v>1500000</v>
      </c>
      <c r="N133" s="518"/>
      <c r="O133" s="532"/>
      <c r="P133" s="558"/>
      <c r="Q133" s="518"/>
      <c r="R133" s="518"/>
      <c r="S133" s="559">
        <v>1890000</v>
      </c>
      <c r="T133" s="560"/>
    </row>
    <row r="134" spans="1:20" s="561" customFormat="1" ht="32.25" customHeight="1" x14ac:dyDescent="0.2">
      <c r="A134" s="552">
        <v>203</v>
      </c>
      <c r="B134" s="553">
        <v>45973</v>
      </c>
      <c r="C134" s="314" t="s">
        <v>665</v>
      </c>
      <c r="D134" s="554"/>
      <c r="E134" s="568">
        <v>1</v>
      </c>
      <c r="F134" s="314" t="s">
        <v>666</v>
      </c>
      <c r="G134" s="317" t="s">
        <v>341</v>
      </c>
      <c r="H134" s="315" t="s">
        <v>172</v>
      </c>
      <c r="I134" s="556" t="s">
        <v>173</v>
      </c>
      <c r="J134" s="597" t="s">
        <v>1640</v>
      </c>
      <c r="K134" s="314" t="s">
        <v>39</v>
      </c>
      <c r="L134" s="316">
        <v>86248</v>
      </c>
      <c r="M134" s="319">
        <v>1500000</v>
      </c>
      <c r="N134" s="518"/>
      <c r="O134" s="532"/>
      <c r="P134" s="558"/>
      <c r="Q134" s="518"/>
      <c r="R134" s="518"/>
      <c r="S134" s="559">
        <v>2700000</v>
      </c>
      <c r="T134" s="560"/>
    </row>
    <row r="135" spans="1:20" s="561" customFormat="1" ht="32.25" customHeight="1" x14ac:dyDescent="0.2">
      <c r="A135" s="552">
        <v>204</v>
      </c>
      <c r="B135" s="553">
        <v>45973</v>
      </c>
      <c r="C135" s="314" t="s">
        <v>665</v>
      </c>
      <c r="D135" s="554"/>
      <c r="E135" s="568">
        <v>1</v>
      </c>
      <c r="F135" s="314" t="s">
        <v>667</v>
      </c>
      <c r="G135" s="317" t="s">
        <v>216</v>
      </c>
      <c r="H135" s="315" t="s">
        <v>172</v>
      </c>
      <c r="I135" s="556" t="s">
        <v>173</v>
      </c>
      <c r="J135" s="597" t="s">
        <v>1640</v>
      </c>
      <c r="K135" s="314" t="s">
        <v>39</v>
      </c>
      <c r="L135" s="316">
        <v>86208</v>
      </c>
      <c r="M135" s="319">
        <v>1500000</v>
      </c>
      <c r="N135" s="518"/>
      <c r="O135" s="532"/>
      <c r="P135" s="558"/>
      <c r="Q135" s="518"/>
      <c r="R135" s="518"/>
      <c r="S135" s="559">
        <v>2700000</v>
      </c>
      <c r="T135" s="560"/>
    </row>
    <row r="136" spans="1:20" s="561" customFormat="1" ht="32.25" customHeight="1" x14ac:dyDescent="0.2">
      <c r="A136" s="552">
        <v>205</v>
      </c>
      <c r="B136" s="553">
        <v>45973</v>
      </c>
      <c r="C136" s="314" t="s">
        <v>665</v>
      </c>
      <c r="D136" s="554"/>
      <c r="E136" s="568">
        <v>1</v>
      </c>
      <c r="F136" s="568" t="s">
        <v>668</v>
      </c>
      <c r="G136" s="566" t="s">
        <v>222</v>
      </c>
      <c r="H136" s="315" t="s">
        <v>172</v>
      </c>
      <c r="I136" s="556" t="s">
        <v>173</v>
      </c>
      <c r="J136" s="597" t="s">
        <v>1640</v>
      </c>
      <c r="K136" s="314" t="s">
        <v>39</v>
      </c>
      <c r="L136" s="316">
        <v>86384</v>
      </c>
      <c r="M136" s="319">
        <v>1500000</v>
      </c>
      <c r="N136" s="518"/>
      <c r="O136" s="532"/>
      <c r="P136" s="558"/>
      <c r="Q136" s="518"/>
      <c r="R136" s="518"/>
      <c r="S136" s="559">
        <v>2700000</v>
      </c>
      <c r="T136" s="560"/>
    </row>
    <row r="137" spans="1:20" s="561" customFormat="1" ht="32.25" customHeight="1" x14ac:dyDescent="0.2">
      <c r="A137" s="552">
        <v>206</v>
      </c>
      <c r="B137" s="553">
        <v>45943</v>
      </c>
      <c r="C137" s="314">
        <v>259068327</v>
      </c>
      <c r="D137" s="554"/>
      <c r="E137" s="568">
        <v>1</v>
      </c>
      <c r="F137" s="314" t="s">
        <v>669</v>
      </c>
      <c r="G137" s="317" t="s">
        <v>368</v>
      </c>
      <c r="H137" s="315" t="s">
        <v>172</v>
      </c>
      <c r="I137" s="556" t="s">
        <v>173</v>
      </c>
      <c r="J137" s="315" t="s">
        <v>39</v>
      </c>
      <c r="K137" s="568" t="s">
        <v>1637</v>
      </c>
      <c r="L137" s="576">
        <v>15039</v>
      </c>
      <c r="M137" s="319">
        <v>1500000</v>
      </c>
      <c r="N137" s="518"/>
      <c r="O137" s="532"/>
      <c r="P137" s="558"/>
      <c r="Q137" s="518"/>
      <c r="R137" s="518"/>
      <c r="S137" s="559">
        <v>2700000</v>
      </c>
      <c r="T137" s="560"/>
    </row>
    <row r="138" spans="1:20" s="561" customFormat="1" ht="32.25" customHeight="1" x14ac:dyDescent="0.2">
      <c r="A138" s="552">
        <v>207</v>
      </c>
      <c r="B138" s="553">
        <v>45943</v>
      </c>
      <c r="C138" s="314">
        <v>259068327</v>
      </c>
      <c r="D138" s="554"/>
      <c r="E138" s="568">
        <v>1</v>
      </c>
      <c r="F138" s="568" t="s">
        <v>671</v>
      </c>
      <c r="G138" s="317" t="s">
        <v>225</v>
      </c>
      <c r="H138" s="315" t="s">
        <v>172</v>
      </c>
      <c r="I138" s="556" t="s">
        <v>173</v>
      </c>
      <c r="J138" s="315" t="s">
        <v>39</v>
      </c>
      <c r="K138" s="568" t="s">
        <v>1637</v>
      </c>
      <c r="L138" s="576">
        <v>15056</v>
      </c>
      <c r="M138" s="319">
        <v>1500000</v>
      </c>
      <c r="N138" s="518"/>
      <c r="O138" s="532"/>
      <c r="P138" s="558"/>
      <c r="Q138" s="518"/>
      <c r="R138" s="518"/>
      <c r="S138" s="559">
        <v>2700000</v>
      </c>
      <c r="T138" s="560"/>
    </row>
    <row r="139" spans="1:20" s="561" customFormat="1" ht="32.25" customHeight="1" x14ac:dyDescent="0.2">
      <c r="A139" s="552">
        <v>208</v>
      </c>
      <c r="B139" s="553">
        <v>45943</v>
      </c>
      <c r="C139" s="314">
        <v>259068327</v>
      </c>
      <c r="D139" s="554"/>
      <c r="E139" s="568">
        <v>1</v>
      </c>
      <c r="F139" s="314" t="s">
        <v>673</v>
      </c>
      <c r="G139" s="566" t="s">
        <v>228</v>
      </c>
      <c r="H139" s="315" t="s">
        <v>172</v>
      </c>
      <c r="I139" s="556" t="s">
        <v>173</v>
      </c>
      <c r="J139" s="315" t="s">
        <v>39</v>
      </c>
      <c r="K139" s="568" t="s">
        <v>1637</v>
      </c>
      <c r="L139" s="576">
        <v>15031</v>
      </c>
      <c r="M139" s="319">
        <v>1500000</v>
      </c>
      <c r="N139" s="518"/>
      <c r="O139" s="532"/>
      <c r="P139" s="558"/>
      <c r="Q139" s="518"/>
      <c r="R139" s="518"/>
      <c r="S139" s="559">
        <v>2700000</v>
      </c>
      <c r="T139" s="560"/>
    </row>
    <row r="140" spans="1:20" s="561" customFormat="1" ht="32.25" customHeight="1" x14ac:dyDescent="0.2">
      <c r="A140" s="552">
        <v>209</v>
      </c>
      <c r="B140" s="553">
        <v>45974</v>
      </c>
      <c r="C140" s="314">
        <v>259068327</v>
      </c>
      <c r="D140" s="554"/>
      <c r="E140" s="568">
        <v>1</v>
      </c>
      <c r="F140" s="314" t="s">
        <v>675</v>
      </c>
      <c r="G140" s="317" t="s">
        <v>198</v>
      </c>
      <c r="H140" s="315" t="s">
        <v>172</v>
      </c>
      <c r="I140" s="556" t="s">
        <v>173</v>
      </c>
      <c r="J140" s="315" t="s">
        <v>39</v>
      </c>
      <c r="K140" s="568" t="s">
        <v>1637</v>
      </c>
      <c r="L140" s="576">
        <v>15075</v>
      </c>
      <c r="M140" s="319">
        <v>1500000</v>
      </c>
      <c r="N140" s="518"/>
      <c r="O140" s="532"/>
      <c r="P140" s="558"/>
      <c r="Q140" s="518"/>
      <c r="R140" s="518"/>
      <c r="S140" s="559">
        <v>2700000</v>
      </c>
      <c r="T140" s="560"/>
    </row>
    <row r="141" spans="1:20" s="561" customFormat="1" ht="32.25" customHeight="1" x14ac:dyDescent="0.2">
      <c r="A141" s="552">
        <v>210</v>
      </c>
      <c r="B141" s="553">
        <v>45943</v>
      </c>
      <c r="C141" s="314">
        <v>259068327</v>
      </c>
      <c r="D141" s="554"/>
      <c r="E141" s="568">
        <v>1</v>
      </c>
      <c r="F141" s="314" t="s">
        <v>677</v>
      </c>
      <c r="G141" s="317" t="s">
        <v>335</v>
      </c>
      <c r="H141" s="315" t="s">
        <v>172</v>
      </c>
      <c r="I141" s="556" t="s">
        <v>173</v>
      </c>
      <c r="J141" s="315" t="s">
        <v>39</v>
      </c>
      <c r="K141" s="568" t="s">
        <v>1637</v>
      </c>
      <c r="L141" s="576">
        <v>15026</v>
      </c>
      <c r="M141" s="319">
        <v>1500000</v>
      </c>
      <c r="N141" s="518"/>
      <c r="O141" s="532"/>
      <c r="P141" s="558"/>
      <c r="Q141" s="518"/>
      <c r="R141" s="518"/>
      <c r="S141" s="559">
        <v>2700000</v>
      </c>
      <c r="T141" s="560"/>
    </row>
    <row r="142" spans="1:20" s="561" customFormat="1" ht="32.25" customHeight="1" x14ac:dyDescent="0.2">
      <c r="A142" s="552">
        <v>211</v>
      </c>
      <c r="B142" s="553">
        <v>45974</v>
      </c>
      <c r="C142" s="314">
        <v>261474878</v>
      </c>
      <c r="D142" s="554"/>
      <c r="E142" s="568">
        <v>1</v>
      </c>
      <c r="F142" s="314" t="s">
        <v>669</v>
      </c>
      <c r="G142" s="317" t="s">
        <v>302</v>
      </c>
      <c r="H142" s="315" t="s">
        <v>172</v>
      </c>
      <c r="I142" s="556" t="s">
        <v>173</v>
      </c>
      <c r="J142" s="597" t="s">
        <v>1633</v>
      </c>
      <c r="K142" s="574" t="s">
        <v>39</v>
      </c>
      <c r="L142" s="317">
        <v>15038</v>
      </c>
      <c r="M142" s="319">
        <v>1500000</v>
      </c>
      <c r="N142" s="518"/>
      <c r="O142" s="532"/>
      <c r="P142" s="558"/>
      <c r="Q142" s="518"/>
      <c r="R142" s="518"/>
      <c r="S142" s="559">
        <f>2700000*70%</f>
        <v>1889999.9999999998</v>
      </c>
      <c r="T142" s="560"/>
    </row>
    <row r="143" spans="1:20" s="561" customFormat="1" ht="32.25" customHeight="1" x14ac:dyDescent="0.2">
      <c r="A143" s="552">
        <v>212</v>
      </c>
      <c r="B143" s="553">
        <v>45974</v>
      </c>
      <c r="C143" s="314">
        <v>261474878</v>
      </c>
      <c r="D143" s="554"/>
      <c r="E143" s="568">
        <v>1</v>
      </c>
      <c r="F143" s="314" t="s">
        <v>673</v>
      </c>
      <c r="G143" s="317" t="s">
        <v>349</v>
      </c>
      <c r="H143" s="315" t="s">
        <v>172</v>
      </c>
      <c r="I143" s="556" t="s">
        <v>173</v>
      </c>
      <c r="J143" s="597" t="s">
        <v>1633</v>
      </c>
      <c r="K143" s="574" t="s">
        <v>39</v>
      </c>
      <c r="L143" s="576">
        <v>15032</v>
      </c>
      <c r="M143" s="319">
        <v>1500000</v>
      </c>
      <c r="N143" s="518"/>
      <c r="O143" s="532"/>
      <c r="P143" s="558"/>
      <c r="Q143" s="518"/>
      <c r="R143" s="518"/>
      <c r="S143" s="559">
        <f>2700000*70%</f>
        <v>1889999.9999999998</v>
      </c>
      <c r="T143" s="560"/>
    </row>
    <row r="144" spans="1:20" s="561" customFormat="1" ht="32.25" customHeight="1" x14ac:dyDescent="0.2">
      <c r="A144" s="552">
        <v>213</v>
      </c>
      <c r="B144" s="553">
        <v>45974</v>
      </c>
      <c r="C144" s="314">
        <v>261474878</v>
      </c>
      <c r="D144" s="554"/>
      <c r="E144" s="568">
        <v>1</v>
      </c>
      <c r="F144" s="314" t="s">
        <v>671</v>
      </c>
      <c r="G144" s="317" t="s">
        <v>210</v>
      </c>
      <c r="H144" s="315" t="s">
        <v>172</v>
      </c>
      <c r="I144" s="556" t="s">
        <v>173</v>
      </c>
      <c r="J144" s="597" t="s">
        <v>1633</v>
      </c>
      <c r="K144" s="574" t="s">
        <v>39</v>
      </c>
      <c r="L144" s="599">
        <v>15057</v>
      </c>
      <c r="M144" s="319">
        <v>1500000</v>
      </c>
      <c r="N144" s="518"/>
      <c r="O144" s="532"/>
      <c r="P144" s="558"/>
      <c r="Q144" s="518"/>
      <c r="R144" s="518"/>
      <c r="S144" s="559">
        <f>2700000*70%</f>
        <v>1889999.9999999998</v>
      </c>
      <c r="T144" s="560"/>
    </row>
    <row r="145" spans="1:20" s="561" customFormat="1" ht="32.25" customHeight="1" x14ac:dyDescent="0.2">
      <c r="A145" s="552">
        <v>214</v>
      </c>
      <c r="B145" s="553">
        <v>45974</v>
      </c>
      <c r="C145" s="314">
        <v>261474878</v>
      </c>
      <c r="D145" s="554"/>
      <c r="E145" s="568">
        <v>1</v>
      </c>
      <c r="F145" s="314" t="s">
        <v>677</v>
      </c>
      <c r="G145" s="317" t="s">
        <v>305</v>
      </c>
      <c r="H145" s="315" t="s">
        <v>172</v>
      </c>
      <c r="I145" s="556" t="s">
        <v>173</v>
      </c>
      <c r="J145" s="597" t="s">
        <v>1633</v>
      </c>
      <c r="K145" s="574" t="s">
        <v>39</v>
      </c>
      <c r="L145" s="576">
        <v>15027</v>
      </c>
      <c r="M145" s="319">
        <v>1500000</v>
      </c>
      <c r="N145" s="518"/>
      <c r="O145" s="532"/>
      <c r="P145" s="558"/>
      <c r="Q145" s="518"/>
      <c r="R145" s="518"/>
      <c r="S145" s="559">
        <f>2700000*70%</f>
        <v>1889999.9999999998</v>
      </c>
      <c r="T145" s="560"/>
    </row>
    <row r="146" spans="1:20" s="561" customFormat="1" ht="32.25" customHeight="1" x14ac:dyDescent="0.2">
      <c r="A146" s="552">
        <v>215</v>
      </c>
      <c r="B146" s="553">
        <v>45974</v>
      </c>
      <c r="C146" s="563">
        <v>261474878</v>
      </c>
      <c r="D146" s="564"/>
      <c r="E146" s="579">
        <v>1</v>
      </c>
      <c r="F146" s="563" t="s">
        <v>675</v>
      </c>
      <c r="G146" s="317" t="s">
        <v>194</v>
      </c>
      <c r="H146" s="315" t="s">
        <v>172</v>
      </c>
      <c r="I146" s="567" t="s">
        <v>173</v>
      </c>
      <c r="J146" s="598" t="s">
        <v>1633</v>
      </c>
      <c r="K146" s="587" t="s">
        <v>39</v>
      </c>
      <c r="L146" s="576">
        <v>15076</v>
      </c>
      <c r="M146" s="319">
        <v>1500000</v>
      </c>
      <c r="N146" s="518"/>
      <c r="O146" s="532"/>
      <c r="P146" s="558"/>
      <c r="Q146" s="518"/>
      <c r="R146" s="518"/>
      <c r="S146" s="559">
        <f>2700000*70%</f>
        <v>1889999.9999999998</v>
      </c>
      <c r="T146" s="560"/>
    </row>
    <row r="147" spans="1:20" s="561" customFormat="1" ht="32.25" customHeight="1" x14ac:dyDescent="0.2">
      <c r="A147" s="552">
        <v>216</v>
      </c>
      <c r="B147" s="553">
        <v>45974</v>
      </c>
      <c r="C147" s="314" t="s">
        <v>681</v>
      </c>
      <c r="D147" s="554"/>
      <c r="E147" s="568">
        <v>1</v>
      </c>
      <c r="F147" s="568" t="s">
        <v>682</v>
      </c>
      <c r="G147" s="317" t="s">
        <v>204</v>
      </c>
      <c r="H147" s="317" t="s">
        <v>298</v>
      </c>
      <c r="I147" s="556" t="s">
        <v>299</v>
      </c>
      <c r="J147" s="315" t="s">
        <v>39</v>
      </c>
      <c r="K147" s="314" t="s">
        <v>683</v>
      </c>
      <c r="L147" s="586">
        <v>22234</v>
      </c>
      <c r="M147" s="319">
        <v>1500000</v>
      </c>
      <c r="N147" s="518"/>
      <c r="O147" s="532"/>
      <c r="P147" s="558"/>
      <c r="Q147" s="518"/>
      <c r="R147" s="518">
        <v>260000</v>
      </c>
      <c r="S147" s="559">
        <v>5300000</v>
      </c>
      <c r="T147" s="560"/>
    </row>
    <row r="148" spans="1:20" s="561" customFormat="1" ht="32.25" customHeight="1" x14ac:dyDescent="0.2">
      <c r="A148" s="552">
        <v>217</v>
      </c>
      <c r="B148" s="553">
        <v>45974</v>
      </c>
      <c r="C148" s="314" t="s">
        <v>681</v>
      </c>
      <c r="D148" s="554"/>
      <c r="E148" s="568">
        <v>1</v>
      </c>
      <c r="F148" s="314" t="s">
        <v>684</v>
      </c>
      <c r="G148" s="317" t="s">
        <v>213</v>
      </c>
      <c r="H148" s="317" t="s">
        <v>298</v>
      </c>
      <c r="I148" s="556" t="s">
        <v>299</v>
      </c>
      <c r="J148" s="315" t="s">
        <v>39</v>
      </c>
      <c r="K148" s="314" t="s">
        <v>683</v>
      </c>
      <c r="L148" s="586">
        <v>22283</v>
      </c>
      <c r="M148" s="319">
        <v>1500000</v>
      </c>
      <c r="N148" s="518"/>
      <c r="O148" s="532"/>
      <c r="P148" s="558"/>
      <c r="Q148" s="518"/>
      <c r="R148" s="518">
        <v>260000</v>
      </c>
      <c r="S148" s="559">
        <v>5300000</v>
      </c>
      <c r="T148" s="560"/>
    </row>
    <row r="149" spans="1:20" s="561" customFormat="1" ht="32.25" customHeight="1" x14ac:dyDescent="0.2">
      <c r="A149" s="552">
        <v>218</v>
      </c>
      <c r="B149" s="553">
        <v>45974</v>
      </c>
      <c r="C149" s="314" t="s">
        <v>681</v>
      </c>
      <c r="D149" s="554"/>
      <c r="E149" s="568">
        <v>1</v>
      </c>
      <c r="F149" s="314" t="s">
        <v>685</v>
      </c>
      <c r="G149" s="566" t="s">
        <v>171</v>
      </c>
      <c r="H149" s="317" t="s">
        <v>298</v>
      </c>
      <c r="I149" s="556" t="s">
        <v>299</v>
      </c>
      <c r="J149" s="315" t="s">
        <v>39</v>
      </c>
      <c r="K149" s="314" t="s">
        <v>683</v>
      </c>
      <c r="L149" s="586">
        <v>22279</v>
      </c>
      <c r="M149" s="319">
        <v>1500000</v>
      </c>
      <c r="N149" s="518"/>
      <c r="O149" s="532"/>
      <c r="P149" s="558"/>
      <c r="Q149" s="518"/>
      <c r="R149" s="518">
        <v>260000</v>
      </c>
      <c r="S149" s="559">
        <v>5300000</v>
      </c>
      <c r="T149" s="560"/>
    </row>
    <row r="150" spans="1:20" s="561" customFormat="1" ht="32.25" customHeight="1" x14ac:dyDescent="0.2">
      <c r="A150" s="552">
        <v>219</v>
      </c>
      <c r="B150" s="553">
        <v>45974</v>
      </c>
      <c r="C150" s="314" t="s">
        <v>681</v>
      </c>
      <c r="D150" s="554"/>
      <c r="E150" s="568">
        <v>1</v>
      </c>
      <c r="F150" s="314" t="s">
        <v>686</v>
      </c>
      <c r="G150" s="566" t="s">
        <v>308</v>
      </c>
      <c r="H150" s="317" t="s">
        <v>298</v>
      </c>
      <c r="I150" s="556" t="s">
        <v>299</v>
      </c>
      <c r="J150" s="315" t="s">
        <v>39</v>
      </c>
      <c r="K150" s="314" t="s">
        <v>683</v>
      </c>
      <c r="L150" s="316">
        <v>12697</v>
      </c>
      <c r="M150" s="319">
        <v>1500000</v>
      </c>
      <c r="N150" s="518"/>
      <c r="O150" s="532"/>
      <c r="P150" s="558"/>
      <c r="Q150" s="518"/>
      <c r="R150" s="518">
        <v>260000</v>
      </c>
      <c r="S150" s="559">
        <v>5300000</v>
      </c>
      <c r="T150" s="560"/>
    </row>
    <row r="151" spans="1:20" s="561" customFormat="1" ht="32.25" customHeight="1" x14ac:dyDescent="0.2">
      <c r="A151" s="552">
        <v>220</v>
      </c>
      <c r="B151" s="553">
        <v>45974</v>
      </c>
      <c r="C151" s="314" t="s">
        <v>681</v>
      </c>
      <c r="D151" s="554"/>
      <c r="E151" s="568">
        <v>1</v>
      </c>
      <c r="F151" s="568" t="s">
        <v>687</v>
      </c>
      <c r="G151" s="317" t="s">
        <v>688</v>
      </c>
      <c r="H151" s="317" t="s">
        <v>298</v>
      </c>
      <c r="I151" s="556" t="s">
        <v>299</v>
      </c>
      <c r="J151" s="315" t="s">
        <v>39</v>
      </c>
      <c r="K151" s="314" t="s">
        <v>683</v>
      </c>
      <c r="L151" s="316">
        <v>12760</v>
      </c>
      <c r="M151" s="319">
        <v>1500000</v>
      </c>
      <c r="N151" s="518"/>
      <c r="O151" s="532"/>
      <c r="P151" s="558"/>
      <c r="Q151" s="518"/>
      <c r="R151" s="518">
        <v>260000</v>
      </c>
      <c r="S151" s="559">
        <v>5300000</v>
      </c>
      <c r="T151" s="560"/>
    </row>
    <row r="152" spans="1:20" s="561" customFormat="1" ht="32.25" customHeight="1" x14ac:dyDescent="0.2">
      <c r="A152" s="552">
        <v>221</v>
      </c>
      <c r="B152" s="553">
        <v>45974</v>
      </c>
      <c r="C152" s="314" t="s">
        <v>681</v>
      </c>
      <c r="D152" s="554"/>
      <c r="E152" s="568">
        <v>1</v>
      </c>
      <c r="F152" s="314" t="s">
        <v>689</v>
      </c>
      <c r="G152" s="317" t="s">
        <v>341</v>
      </c>
      <c r="H152" s="317" t="s">
        <v>298</v>
      </c>
      <c r="I152" s="556" t="s">
        <v>299</v>
      </c>
      <c r="J152" s="315" t="s">
        <v>39</v>
      </c>
      <c r="K152" s="314" t="s">
        <v>683</v>
      </c>
      <c r="L152" s="586">
        <v>22295</v>
      </c>
      <c r="M152" s="319">
        <v>1500000</v>
      </c>
      <c r="N152" s="518"/>
      <c r="O152" s="532"/>
      <c r="P152" s="558">
        <v>15000000</v>
      </c>
      <c r="Q152" s="518"/>
      <c r="R152" s="518">
        <v>260000</v>
      </c>
      <c r="S152" s="559">
        <v>5300000</v>
      </c>
      <c r="T152" s="560"/>
    </row>
    <row r="153" spans="1:20" s="561" customFormat="1" ht="32.25" customHeight="1" x14ac:dyDescent="0.2">
      <c r="A153" s="552">
        <v>222</v>
      </c>
      <c r="B153" s="553">
        <v>45974</v>
      </c>
      <c r="C153" s="314" t="s">
        <v>681</v>
      </c>
      <c r="D153" s="554"/>
      <c r="E153" s="568">
        <v>1</v>
      </c>
      <c r="F153" s="568" t="s">
        <v>690</v>
      </c>
      <c r="G153" s="317" t="s">
        <v>191</v>
      </c>
      <c r="H153" s="317" t="s">
        <v>298</v>
      </c>
      <c r="I153" s="556" t="s">
        <v>299</v>
      </c>
      <c r="J153" s="315" t="s">
        <v>39</v>
      </c>
      <c r="K153" s="314" t="s">
        <v>683</v>
      </c>
      <c r="L153" s="316">
        <v>12759</v>
      </c>
      <c r="M153" s="319">
        <v>1500000</v>
      </c>
      <c r="N153" s="518"/>
      <c r="O153" s="532"/>
      <c r="P153" s="558"/>
      <c r="Q153" s="518"/>
      <c r="R153" s="518">
        <v>260000</v>
      </c>
      <c r="S153" s="559">
        <v>5300000</v>
      </c>
      <c r="T153" s="560"/>
    </row>
    <row r="154" spans="1:20" s="561" customFormat="1" ht="32.25" customHeight="1" x14ac:dyDescent="0.2">
      <c r="A154" s="552">
        <v>223</v>
      </c>
      <c r="B154" s="553">
        <v>45974</v>
      </c>
      <c r="C154" s="314" t="s">
        <v>681</v>
      </c>
      <c r="D154" s="554"/>
      <c r="E154" s="568">
        <v>1</v>
      </c>
      <c r="F154" s="314" t="s">
        <v>691</v>
      </c>
      <c r="G154" s="317" t="s">
        <v>335</v>
      </c>
      <c r="H154" s="317" t="s">
        <v>298</v>
      </c>
      <c r="I154" s="556" t="s">
        <v>299</v>
      </c>
      <c r="J154" s="315" t="s">
        <v>39</v>
      </c>
      <c r="K154" s="314" t="s">
        <v>683</v>
      </c>
      <c r="L154" s="316">
        <v>12747</v>
      </c>
      <c r="M154" s="319">
        <v>1500000</v>
      </c>
      <c r="N154" s="518"/>
      <c r="O154" s="532"/>
      <c r="P154" s="558"/>
      <c r="Q154" s="518"/>
      <c r="R154" s="518">
        <v>260000</v>
      </c>
      <c r="S154" s="559">
        <v>5300000</v>
      </c>
      <c r="T154" s="560"/>
    </row>
    <row r="155" spans="1:20" s="561" customFormat="1" ht="32.25" customHeight="1" x14ac:dyDescent="0.2">
      <c r="A155" s="552">
        <v>224</v>
      </c>
      <c r="B155" s="553">
        <v>45944</v>
      </c>
      <c r="C155" s="314" t="s">
        <v>692</v>
      </c>
      <c r="D155" s="554"/>
      <c r="E155" s="568">
        <v>1</v>
      </c>
      <c r="F155" s="314" t="s">
        <v>693</v>
      </c>
      <c r="G155" s="317" t="s">
        <v>302</v>
      </c>
      <c r="H155" s="317" t="s">
        <v>298</v>
      </c>
      <c r="I155" s="556" t="s">
        <v>299</v>
      </c>
      <c r="J155" s="315" t="s">
        <v>39</v>
      </c>
      <c r="K155" s="568" t="s">
        <v>201</v>
      </c>
      <c r="L155" s="576">
        <v>31193</v>
      </c>
      <c r="M155" s="319">
        <v>1566000</v>
      </c>
      <c r="N155" s="518"/>
      <c r="O155" s="532"/>
      <c r="P155" s="558"/>
      <c r="Q155" s="518"/>
      <c r="R155" s="518"/>
      <c r="S155" s="559">
        <v>5300000</v>
      </c>
      <c r="T155" s="560"/>
    </row>
    <row r="156" spans="1:20" s="561" customFormat="1" ht="32.25" customHeight="1" x14ac:dyDescent="0.2">
      <c r="A156" s="552">
        <v>225</v>
      </c>
      <c r="B156" s="553">
        <v>45944</v>
      </c>
      <c r="C156" s="314" t="s">
        <v>695</v>
      </c>
      <c r="D156" s="554"/>
      <c r="E156" s="568">
        <v>1</v>
      </c>
      <c r="F156" s="314" t="s">
        <v>696</v>
      </c>
      <c r="G156" s="317" t="s">
        <v>191</v>
      </c>
      <c r="H156" s="317" t="s">
        <v>180</v>
      </c>
      <c r="I156" s="556" t="s">
        <v>181</v>
      </c>
      <c r="J156" s="315" t="s">
        <v>39</v>
      </c>
      <c r="K156" s="314" t="s">
        <v>1647</v>
      </c>
      <c r="L156" s="576">
        <v>73815</v>
      </c>
      <c r="M156" s="319">
        <v>1512000</v>
      </c>
      <c r="N156" s="518"/>
      <c r="O156" s="532"/>
      <c r="P156" s="558"/>
      <c r="Q156" s="518"/>
      <c r="R156" s="518"/>
      <c r="S156" s="559">
        <v>4500000</v>
      </c>
      <c r="T156" s="560"/>
    </row>
    <row r="157" spans="1:20" s="561" customFormat="1" ht="32.25" customHeight="1" x14ac:dyDescent="0.2">
      <c r="A157" s="552">
        <v>226</v>
      </c>
      <c r="B157" s="553">
        <v>45944</v>
      </c>
      <c r="C157" s="314" t="s">
        <v>695</v>
      </c>
      <c r="D157" s="554"/>
      <c r="E157" s="568">
        <v>1</v>
      </c>
      <c r="F157" s="314" t="s">
        <v>699</v>
      </c>
      <c r="G157" s="317" t="s">
        <v>302</v>
      </c>
      <c r="H157" s="317" t="s">
        <v>180</v>
      </c>
      <c r="I157" s="556" t="s">
        <v>181</v>
      </c>
      <c r="J157" s="315" t="s">
        <v>39</v>
      </c>
      <c r="K157" s="314" t="s">
        <v>1647</v>
      </c>
      <c r="L157" s="576">
        <v>73725</v>
      </c>
      <c r="M157" s="319">
        <v>1512000</v>
      </c>
      <c r="N157" s="518"/>
      <c r="O157" s="532"/>
      <c r="P157" s="558"/>
      <c r="Q157" s="518"/>
      <c r="R157" s="518"/>
      <c r="S157" s="559">
        <v>4500000</v>
      </c>
      <c r="T157" s="560"/>
    </row>
    <row r="158" spans="1:20" s="561" customFormat="1" ht="32.25" customHeight="1" x14ac:dyDescent="0.2">
      <c r="A158" s="552">
        <v>227</v>
      </c>
      <c r="B158" s="553">
        <v>45944</v>
      </c>
      <c r="C158" s="314" t="s">
        <v>695</v>
      </c>
      <c r="D158" s="554"/>
      <c r="E158" s="568">
        <v>1</v>
      </c>
      <c r="F158" s="314" t="s">
        <v>701</v>
      </c>
      <c r="G158" s="317" t="s">
        <v>335</v>
      </c>
      <c r="H158" s="317" t="s">
        <v>180</v>
      </c>
      <c r="I158" s="556" t="s">
        <v>181</v>
      </c>
      <c r="J158" s="315" t="s">
        <v>39</v>
      </c>
      <c r="K158" s="314" t="s">
        <v>1647</v>
      </c>
      <c r="L158" s="576">
        <v>73607</v>
      </c>
      <c r="M158" s="319">
        <v>1512000</v>
      </c>
      <c r="N158" s="518"/>
      <c r="O158" s="532"/>
      <c r="P158" s="558"/>
      <c r="Q158" s="518"/>
      <c r="R158" s="518"/>
      <c r="S158" s="559">
        <v>4500000</v>
      </c>
      <c r="T158" s="560"/>
    </row>
    <row r="159" spans="1:20" s="561" customFormat="1" ht="32.25" customHeight="1" x14ac:dyDescent="0.2">
      <c r="A159" s="552">
        <v>228</v>
      </c>
      <c r="B159" s="553">
        <v>45944</v>
      </c>
      <c r="C159" s="314" t="s">
        <v>695</v>
      </c>
      <c r="D159" s="554"/>
      <c r="E159" s="568">
        <v>1</v>
      </c>
      <c r="F159" s="314" t="s">
        <v>703</v>
      </c>
      <c r="G159" s="566" t="s">
        <v>171</v>
      </c>
      <c r="H159" s="317" t="s">
        <v>180</v>
      </c>
      <c r="I159" s="556" t="s">
        <v>181</v>
      </c>
      <c r="J159" s="315" t="s">
        <v>39</v>
      </c>
      <c r="K159" s="314" t="s">
        <v>1647</v>
      </c>
      <c r="L159" s="576">
        <v>73523</v>
      </c>
      <c r="M159" s="319">
        <v>1512000</v>
      </c>
      <c r="N159" s="518"/>
      <c r="O159" s="532"/>
      <c r="P159" s="558"/>
      <c r="Q159" s="518"/>
      <c r="R159" s="518"/>
      <c r="S159" s="559">
        <v>4500000</v>
      </c>
      <c r="T159" s="560"/>
    </row>
    <row r="160" spans="1:20" s="561" customFormat="1" ht="32.25" customHeight="1" x14ac:dyDescent="0.2">
      <c r="A160" s="552">
        <v>229</v>
      </c>
      <c r="B160" s="562">
        <v>45944</v>
      </c>
      <c r="C160" s="563" t="s">
        <v>695</v>
      </c>
      <c r="D160" s="564"/>
      <c r="E160" s="579">
        <v>1</v>
      </c>
      <c r="F160" s="563" t="s">
        <v>705</v>
      </c>
      <c r="G160" s="317" t="s">
        <v>688</v>
      </c>
      <c r="H160" s="600" t="s">
        <v>180</v>
      </c>
      <c r="I160" s="567" t="s">
        <v>181</v>
      </c>
      <c r="J160" s="601" t="s">
        <v>39</v>
      </c>
      <c r="K160" s="563" t="s">
        <v>1647</v>
      </c>
      <c r="L160" s="576">
        <v>73716</v>
      </c>
      <c r="M160" s="319">
        <v>1512000</v>
      </c>
      <c r="N160" s="518"/>
      <c r="O160" s="532"/>
      <c r="P160" s="558"/>
      <c r="Q160" s="518"/>
      <c r="R160" s="518"/>
      <c r="S160" s="559">
        <v>4500000</v>
      </c>
      <c r="T160" s="560"/>
    </row>
    <row r="161" spans="1:20" s="561" customFormat="1" ht="32.25" customHeight="1" x14ac:dyDescent="0.2">
      <c r="A161" s="552">
        <v>230</v>
      </c>
      <c r="B161" s="553">
        <v>45944</v>
      </c>
      <c r="C161" s="314">
        <v>261525960</v>
      </c>
      <c r="D161" s="554"/>
      <c r="E161" s="568">
        <v>1</v>
      </c>
      <c r="F161" s="568" t="s">
        <v>706</v>
      </c>
      <c r="G161" s="317" t="s">
        <v>341</v>
      </c>
      <c r="H161" s="315" t="s">
        <v>172</v>
      </c>
      <c r="I161" s="556" t="s">
        <v>173</v>
      </c>
      <c r="J161" s="314" t="s">
        <v>1640</v>
      </c>
      <c r="K161" s="314" t="s">
        <v>39</v>
      </c>
      <c r="L161" s="576">
        <v>127442</v>
      </c>
      <c r="M161" s="319">
        <v>1450000</v>
      </c>
      <c r="N161" s="518"/>
      <c r="O161" s="532"/>
      <c r="P161" s="558"/>
      <c r="Q161" s="518"/>
      <c r="R161" s="518"/>
      <c r="S161" s="559">
        <v>2700000</v>
      </c>
      <c r="T161" s="560"/>
    </row>
    <row r="162" spans="1:20" s="561" customFormat="1" ht="32.25" customHeight="1" x14ac:dyDescent="0.2">
      <c r="A162" s="552">
        <v>231</v>
      </c>
      <c r="B162" s="553">
        <v>45944</v>
      </c>
      <c r="C162" s="314">
        <v>261525960</v>
      </c>
      <c r="D162" s="554"/>
      <c r="E162" s="568">
        <v>1</v>
      </c>
      <c r="F162" s="314" t="s">
        <v>708</v>
      </c>
      <c r="G162" s="317" t="s">
        <v>191</v>
      </c>
      <c r="H162" s="315" t="s">
        <v>172</v>
      </c>
      <c r="I162" s="556" t="s">
        <v>173</v>
      </c>
      <c r="J162" s="314" t="s">
        <v>1640</v>
      </c>
      <c r="K162" s="314" t="s">
        <v>39</v>
      </c>
      <c r="L162" s="316">
        <v>300416</v>
      </c>
      <c r="M162" s="319">
        <v>1500000</v>
      </c>
      <c r="N162" s="518"/>
      <c r="O162" s="532"/>
      <c r="P162" s="558"/>
      <c r="Q162" s="518"/>
      <c r="R162" s="518"/>
      <c r="S162" s="559">
        <v>2700000</v>
      </c>
      <c r="T162" s="560"/>
    </row>
    <row r="163" spans="1:20" s="561" customFormat="1" ht="32.25" customHeight="1" x14ac:dyDescent="0.2">
      <c r="A163" s="552">
        <v>232</v>
      </c>
      <c r="B163" s="553">
        <v>45944</v>
      </c>
      <c r="C163" s="596">
        <v>258474297</v>
      </c>
      <c r="D163" s="554"/>
      <c r="E163" s="568">
        <v>1</v>
      </c>
      <c r="F163" s="314" t="s">
        <v>709</v>
      </c>
      <c r="G163" s="317" t="s">
        <v>335</v>
      </c>
      <c r="H163" s="568" t="s">
        <v>180</v>
      </c>
      <c r="I163" s="556" t="s">
        <v>181</v>
      </c>
      <c r="J163" s="314" t="s">
        <v>39</v>
      </c>
      <c r="K163" s="568" t="s">
        <v>1637</v>
      </c>
      <c r="L163" s="576">
        <v>15292</v>
      </c>
      <c r="M163" s="319">
        <v>1500000</v>
      </c>
      <c r="N163" s="518"/>
      <c r="O163" s="532"/>
      <c r="P163" s="558"/>
      <c r="Q163" s="518"/>
      <c r="R163" s="518"/>
      <c r="S163" s="559">
        <v>4500000</v>
      </c>
      <c r="T163" s="560"/>
    </row>
    <row r="164" spans="1:20" s="561" customFormat="1" ht="32.25" customHeight="1" x14ac:dyDescent="0.2">
      <c r="A164" s="552">
        <v>233</v>
      </c>
      <c r="B164" s="553">
        <v>45944</v>
      </c>
      <c r="C164" s="596">
        <v>258474297</v>
      </c>
      <c r="D164" s="554"/>
      <c r="E164" s="568">
        <v>1</v>
      </c>
      <c r="F164" s="314" t="s">
        <v>711</v>
      </c>
      <c r="G164" s="317" t="s">
        <v>302</v>
      </c>
      <c r="H164" s="568" t="s">
        <v>180</v>
      </c>
      <c r="I164" s="556" t="s">
        <v>181</v>
      </c>
      <c r="J164" s="314" t="s">
        <v>39</v>
      </c>
      <c r="K164" s="568" t="s">
        <v>1637</v>
      </c>
      <c r="L164" s="576">
        <v>15293</v>
      </c>
      <c r="M164" s="319">
        <v>1500000</v>
      </c>
      <c r="N164" s="518"/>
      <c r="O164" s="532"/>
      <c r="P164" s="558"/>
      <c r="Q164" s="518"/>
      <c r="R164" s="518"/>
      <c r="S164" s="559">
        <v>4500000</v>
      </c>
      <c r="T164" s="560"/>
    </row>
    <row r="165" spans="1:20" s="561" customFormat="1" ht="32.25" customHeight="1" x14ac:dyDescent="0.2">
      <c r="A165" s="552">
        <v>234</v>
      </c>
      <c r="B165" s="553">
        <v>45944</v>
      </c>
      <c r="C165" s="596">
        <v>258474297</v>
      </c>
      <c r="D165" s="554"/>
      <c r="E165" s="568">
        <v>1</v>
      </c>
      <c r="F165" s="314" t="s">
        <v>713</v>
      </c>
      <c r="G165" s="317" t="s">
        <v>191</v>
      </c>
      <c r="H165" s="568" t="s">
        <v>180</v>
      </c>
      <c r="I165" s="556" t="s">
        <v>181</v>
      </c>
      <c r="J165" s="314" t="s">
        <v>39</v>
      </c>
      <c r="K165" s="568" t="s">
        <v>1637</v>
      </c>
      <c r="L165" s="576">
        <v>128107</v>
      </c>
      <c r="M165" s="319">
        <v>1450000</v>
      </c>
      <c r="N165" s="518"/>
      <c r="O165" s="532"/>
      <c r="P165" s="558"/>
      <c r="Q165" s="518"/>
      <c r="R165" s="518"/>
      <c r="S165" s="559">
        <v>4500000</v>
      </c>
      <c r="T165" s="560"/>
    </row>
    <row r="166" spans="1:20" s="561" customFormat="1" ht="32.25" customHeight="1" x14ac:dyDescent="0.2">
      <c r="A166" s="552">
        <v>235</v>
      </c>
      <c r="B166" s="553">
        <v>45944</v>
      </c>
      <c r="C166" s="314">
        <v>261841260</v>
      </c>
      <c r="D166" s="554"/>
      <c r="E166" s="568">
        <v>1</v>
      </c>
      <c r="F166" s="314" t="s">
        <v>711</v>
      </c>
      <c r="G166" s="317" t="s">
        <v>302</v>
      </c>
      <c r="H166" s="555" t="s">
        <v>662</v>
      </c>
      <c r="I166" s="556" t="s">
        <v>173</v>
      </c>
      <c r="J166" s="574"/>
      <c r="K166" s="574" t="s">
        <v>39</v>
      </c>
      <c r="L166" s="599">
        <v>15291</v>
      </c>
      <c r="M166" s="319">
        <v>1500000</v>
      </c>
      <c r="N166" s="518"/>
      <c r="O166" s="532"/>
      <c r="P166" s="558"/>
      <c r="Q166" s="518"/>
      <c r="R166" s="518"/>
      <c r="S166" s="559">
        <v>1890000</v>
      </c>
      <c r="T166" s="560"/>
    </row>
    <row r="167" spans="1:20" s="561" customFormat="1" ht="32.25" customHeight="1" x14ac:dyDescent="0.2">
      <c r="A167" s="552">
        <v>236</v>
      </c>
      <c r="B167" s="553">
        <v>45944</v>
      </c>
      <c r="C167" s="314">
        <v>261841260</v>
      </c>
      <c r="D167" s="554"/>
      <c r="E167" s="568">
        <v>1</v>
      </c>
      <c r="F167" s="314" t="s">
        <v>709</v>
      </c>
      <c r="G167" s="317" t="s">
        <v>335</v>
      </c>
      <c r="H167" s="555" t="s">
        <v>662</v>
      </c>
      <c r="I167" s="556" t="s">
        <v>173</v>
      </c>
      <c r="J167" s="574"/>
      <c r="K167" s="574" t="s">
        <v>39</v>
      </c>
      <c r="L167" s="576">
        <v>15294</v>
      </c>
      <c r="M167" s="319">
        <v>1500000</v>
      </c>
      <c r="N167" s="518"/>
      <c r="O167" s="532"/>
      <c r="P167" s="558"/>
      <c r="Q167" s="518"/>
      <c r="R167" s="518"/>
      <c r="S167" s="559">
        <v>1890000</v>
      </c>
      <c r="T167" s="560"/>
    </row>
    <row r="168" spans="1:20" s="561" customFormat="1" ht="32.25" customHeight="1" x14ac:dyDescent="0.2">
      <c r="A168" s="552">
        <v>237</v>
      </c>
      <c r="B168" s="553">
        <v>45944</v>
      </c>
      <c r="C168" s="596">
        <v>259710463</v>
      </c>
      <c r="D168" s="554"/>
      <c r="E168" s="568">
        <v>1</v>
      </c>
      <c r="F168" s="314" t="s">
        <v>718</v>
      </c>
      <c r="G168" s="566" t="s">
        <v>171</v>
      </c>
      <c r="H168" s="568" t="s">
        <v>1055</v>
      </c>
      <c r="I168" s="556" t="s">
        <v>720</v>
      </c>
      <c r="J168" s="314" t="s">
        <v>39</v>
      </c>
      <c r="K168" s="568" t="s">
        <v>1637</v>
      </c>
      <c r="L168" s="576">
        <v>128101</v>
      </c>
      <c r="M168" s="319">
        <v>1450000</v>
      </c>
      <c r="N168" s="518"/>
      <c r="O168" s="532"/>
      <c r="P168" s="558"/>
      <c r="Q168" s="518"/>
      <c r="R168" s="518"/>
      <c r="S168" s="559">
        <v>4000000</v>
      </c>
      <c r="T168" s="560"/>
    </row>
    <row r="169" spans="1:20" s="561" customFormat="1" ht="32.25" customHeight="1" x14ac:dyDescent="0.2">
      <c r="A169" s="552">
        <v>238</v>
      </c>
      <c r="B169" s="553">
        <v>45944</v>
      </c>
      <c r="C169" s="596">
        <v>259931083</v>
      </c>
      <c r="D169" s="554"/>
      <c r="E169" s="568">
        <v>1</v>
      </c>
      <c r="F169" s="314" t="s">
        <v>722</v>
      </c>
      <c r="G169" s="317" t="s">
        <v>688</v>
      </c>
      <c r="H169" s="568" t="s">
        <v>1055</v>
      </c>
      <c r="I169" s="556" t="s">
        <v>720</v>
      </c>
      <c r="J169" s="314" t="s">
        <v>39</v>
      </c>
      <c r="K169" s="568" t="s">
        <v>1637</v>
      </c>
      <c r="L169" s="576">
        <v>128083</v>
      </c>
      <c r="M169" s="319">
        <v>1450000</v>
      </c>
      <c r="N169" s="518"/>
      <c r="O169" s="532"/>
      <c r="P169" s="558"/>
      <c r="Q169" s="518"/>
      <c r="R169" s="518"/>
      <c r="S169" s="559">
        <v>4000000</v>
      </c>
      <c r="T169" s="560"/>
    </row>
    <row r="170" spans="1:20" s="561" customFormat="1" ht="32.25" customHeight="1" x14ac:dyDescent="0.2">
      <c r="A170" s="552">
        <v>239</v>
      </c>
      <c r="B170" s="553">
        <v>45944</v>
      </c>
      <c r="C170" s="314" t="s">
        <v>724</v>
      </c>
      <c r="D170" s="554"/>
      <c r="E170" s="568">
        <v>1</v>
      </c>
      <c r="F170" s="314" t="s">
        <v>725</v>
      </c>
      <c r="G170" s="314" t="s">
        <v>726</v>
      </c>
      <c r="H170" s="568" t="s">
        <v>1632</v>
      </c>
      <c r="I170" s="573" t="s">
        <v>256</v>
      </c>
      <c r="J170" s="314" t="s">
        <v>39</v>
      </c>
      <c r="K170" s="314" t="s">
        <v>1630</v>
      </c>
      <c r="L170" s="316">
        <v>7714</v>
      </c>
      <c r="M170" s="319">
        <v>1500000</v>
      </c>
      <c r="N170" s="518"/>
      <c r="O170" s="532"/>
      <c r="P170" s="558"/>
      <c r="Q170" s="518"/>
      <c r="R170" s="518"/>
      <c r="S170" s="559">
        <v>4500000</v>
      </c>
      <c r="T170" s="560"/>
    </row>
    <row r="171" spans="1:20" s="561" customFormat="1" ht="32.25" customHeight="1" x14ac:dyDescent="0.2">
      <c r="A171" s="552">
        <v>240</v>
      </c>
      <c r="B171" s="553">
        <v>45944</v>
      </c>
      <c r="C171" s="314" t="s">
        <v>724</v>
      </c>
      <c r="D171" s="554"/>
      <c r="E171" s="568">
        <v>1</v>
      </c>
      <c r="F171" s="314" t="s">
        <v>727</v>
      </c>
      <c r="G171" s="602" t="s">
        <v>728</v>
      </c>
      <c r="H171" s="568" t="s">
        <v>1632</v>
      </c>
      <c r="I171" s="573" t="s">
        <v>256</v>
      </c>
      <c r="J171" s="314" t="s">
        <v>39</v>
      </c>
      <c r="K171" s="314" t="s">
        <v>1630</v>
      </c>
      <c r="L171" s="576">
        <v>1421</v>
      </c>
      <c r="M171" s="319">
        <v>1500000</v>
      </c>
      <c r="N171" s="518"/>
      <c r="O171" s="532"/>
      <c r="P171" s="558"/>
      <c r="Q171" s="518"/>
      <c r="R171" s="518"/>
      <c r="S171" s="559">
        <v>4500000</v>
      </c>
      <c r="T171" s="560"/>
    </row>
    <row r="172" spans="1:20" s="561" customFormat="1" ht="32.25" customHeight="1" x14ac:dyDescent="0.2">
      <c r="A172" s="552"/>
      <c r="B172" s="553">
        <v>45976</v>
      </c>
      <c r="C172" s="314"/>
      <c r="D172" s="554"/>
      <c r="E172" s="568"/>
      <c r="F172" s="314" t="s">
        <v>525</v>
      </c>
      <c r="G172" s="602"/>
      <c r="H172" s="568"/>
      <c r="I172" s="573"/>
      <c r="J172" s="314"/>
      <c r="K172" s="314"/>
      <c r="L172" s="576" t="s">
        <v>1673</v>
      </c>
      <c r="M172" s="319">
        <v>0</v>
      </c>
      <c r="N172" s="518"/>
      <c r="O172" s="532"/>
      <c r="P172" s="558"/>
      <c r="Q172" s="518"/>
      <c r="R172" s="518"/>
      <c r="S172" s="559">
        <v>4500000</v>
      </c>
      <c r="T172" s="560"/>
    </row>
    <row r="173" spans="1:20" s="561" customFormat="1" ht="32.25" customHeight="1" x14ac:dyDescent="0.2">
      <c r="A173" s="552">
        <v>241</v>
      </c>
      <c r="B173" s="553">
        <v>45977</v>
      </c>
      <c r="C173" s="574" t="s">
        <v>730</v>
      </c>
      <c r="D173" s="570"/>
      <c r="E173" s="590">
        <v>1</v>
      </c>
      <c r="F173" s="574" t="s">
        <v>731</v>
      </c>
      <c r="G173" s="317" t="s">
        <v>341</v>
      </c>
      <c r="H173" s="317" t="s">
        <v>298</v>
      </c>
      <c r="I173" s="593" t="s">
        <v>299</v>
      </c>
      <c r="J173" s="574" t="s">
        <v>39</v>
      </c>
      <c r="K173" s="595" t="s">
        <v>1648</v>
      </c>
      <c r="L173" s="576">
        <v>415071</v>
      </c>
      <c r="M173" s="319">
        <v>1500000</v>
      </c>
      <c r="N173" s="518"/>
      <c r="O173" s="532"/>
      <c r="P173" s="558"/>
      <c r="Q173" s="518"/>
      <c r="R173" s="518"/>
      <c r="S173" s="559">
        <v>5300000</v>
      </c>
      <c r="T173" s="560"/>
    </row>
    <row r="174" spans="1:20" s="561" customFormat="1" ht="32.25" customHeight="1" x14ac:dyDescent="0.2">
      <c r="A174" s="552">
        <v>242</v>
      </c>
      <c r="B174" s="553">
        <v>45977</v>
      </c>
      <c r="C174" s="314" t="s">
        <v>730</v>
      </c>
      <c r="D174" s="554"/>
      <c r="E174" s="568">
        <v>1</v>
      </c>
      <c r="F174" s="314" t="s">
        <v>734</v>
      </c>
      <c r="G174" s="566" t="s">
        <v>308</v>
      </c>
      <c r="H174" s="317" t="s">
        <v>298</v>
      </c>
      <c r="I174" s="556" t="s">
        <v>299</v>
      </c>
      <c r="J174" s="314" t="s">
        <v>39</v>
      </c>
      <c r="K174" s="568" t="s">
        <v>1648</v>
      </c>
      <c r="L174" s="316">
        <v>28080</v>
      </c>
      <c r="M174" s="319">
        <v>1500000</v>
      </c>
      <c r="N174" s="518"/>
      <c r="O174" s="532"/>
      <c r="P174" s="558"/>
      <c r="Q174" s="518"/>
      <c r="R174" s="518"/>
      <c r="S174" s="559">
        <v>5300000</v>
      </c>
      <c r="T174" s="560"/>
    </row>
    <row r="175" spans="1:20" s="561" customFormat="1" ht="32.25" customHeight="1" x14ac:dyDescent="0.2">
      <c r="A175" s="552">
        <v>243</v>
      </c>
      <c r="B175" s="553">
        <v>45977</v>
      </c>
      <c r="C175" s="314" t="s">
        <v>730</v>
      </c>
      <c r="D175" s="554"/>
      <c r="E175" s="568">
        <v>1</v>
      </c>
      <c r="F175" s="314" t="s">
        <v>735</v>
      </c>
      <c r="G175" s="317" t="s">
        <v>305</v>
      </c>
      <c r="H175" s="317" t="s">
        <v>298</v>
      </c>
      <c r="I175" s="556" t="s">
        <v>299</v>
      </c>
      <c r="J175" s="314" t="s">
        <v>39</v>
      </c>
      <c r="K175" s="568" t="s">
        <v>1648</v>
      </c>
      <c r="L175" s="316">
        <v>13093</v>
      </c>
      <c r="M175" s="319">
        <v>1500000</v>
      </c>
      <c r="N175" s="518"/>
      <c r="O175" s="532"/>
      <c r="P175" s="558"/>
      <c r="Q175" s="518"/>
      <c r="R175" s="518"/>
      <c r="S175" s="559">
        <v>5300000</v>
      </c>
      <c r="T175" s="560"/>
    </row>
    <row r="176" spans="1:20" s="561" customFormat="1" ht="32.25" customHeight="1" x14ac:dyDescent="0.2">
      <c r="A176" s="552">
        <v>244</v>
      </c>
      <c r="B176" s="553">
        <v>45977</v>
      </c>
      <c r="C176" s="314" t="s">
        <v>730</v>
      </c>
      <c r="D176" s="554"/>
      <c r="E176" s="568">
        <v>1</v>
      </c>
      <c r="F176" s="314" t="s">
        <v>736</v>
      </c>
      <c r="G176" s="317" t="s">
        <v>302</v>
      </c>
      <c r="H176" s="317" t="s">
        <v>298</v>
      </c>
      <c r="I176" s="556" t="s">
        <v>299</v>
      </c>
      <c r="J176" s="314" t="s">
        <v>39</v>
      </c>
      <c r="K176" s="568" t="s">
        <v>1648</v>
      </c>
      <c r="L176" s="316">
        <v>13123</v>
      </c>
      <c r="M176" s="319">
        <v>1500000</v>
      </c>
      <c r="N176" s="518"/>
      <c r="O176" s="532"/>
      <c r="P176" s="558"/>
      <c r="Q176" s="518"/>
      <c r="R176" s="518"/>
      <c r="S176" s="559">
        <v>5300000</v>
      </c>
      <c r="T176" s="560"/>
    </row>
    <row r="177" spans="1:20" s="561" customFormat="1" ht="32.25" customHeight="1" x14ac:dyDescent="0.2">
      <c r="A177" s="552">
        <v>245</v>
      </c>
      <c r="B177" s="553">
        <v>45977</v>
      </c>
      <c r="C177" s="314" t="s">
        <v>730</v>
      </c>
      <c r="D177" s="554"/>
      <c r="E177" s="568">
        <v>1</v>
      </c>
      <c r="F177" s="568" t="s">
        <v>737</v>
      </c>
      <c r="G177" s="317" t="s">
        <v>213</v>
      </c>
      <c r="H177" s="317" t="s">
        <v>298</v>
      </c>
      <c r="I177" s="556" t="s">
        <v>299</v>
      </c>
      <c r="J177" s="314" t="s">
        <v>39</v>
      </c>
      <c r="K177" s="568" t="s">
        <v>1648</v>
      </c>
      <c r="L177" s="316">
        <v>28076</v>
      </c>
      <c r="M177" s="319">
        <v>1500000</v>
      </c>
      <c r="N177" s="518"/>
      <c r="O177" s="532"/>
      <c r="P177" s="558"/>
      <c r="Q177" s="518"/>
      <c r="R177" s="518"/>
      <c r="S177" s="559">
        <v>5300000</v>
      </c>
      <c r="T177" s="560"/>
    </row>
    <row r="178" spans="1:20" s="561" customFormat="1" ht="32.25" customHeight="1" x14ac:dyDescent="0.2">
      <c r="A178" s="552">
        <v>246</v>
      </c>
      <c r="B178" s="553">
        <v>45977</v>
      </c>
      <c r="C178" s="314" t="s">
        <v>730</v>
      </c>
      <c r="D178" s="554"/>
      <c r="E178" s="568">
        <v>1</v>
      </c>
      <c r="F178" s="314" t="s">
        <v>738</v>
      </c>
      <c r="G178" s="317" t="s">
        <v>185</v>
      </c>
      <c r="H178" s="317" t="s">
        <v>298</v>
      </c>
      <c r="I178" s="556" t="s">
        <v>299</v>
      </c>
      <c r="J178" s="314" t="s">
        <v>39</v>
      </c>
      <c r="K178" s="568" t="s">
        <v>1648</v>
      </c>
      <c r="L178" s="576">
        <v>7994</v>
      </c>
      <c r="M178" s="319">
        <v>1500000</v>
      </c>
      <c r="N178" s="518"/>
      <c r="O178" s="532"/>
      <c r="P178" s="558"/>
      <c r="Q178" s="518"/>
      <c r="R178" s="518"/>
      <c r="S178" s="559">
        <v>5300000</v>
      </c>
      <c r="T178" s="560"/>
    </row>
    <row r="179" spans="1:20" s="561" customFormat="1" ht="32.25" customHeight="1" x14ac:dyDescent="0.2">
      <c r="A179" s="552">
        <v>247</v>
      </c>
      <c r="B179" s="553">
        <v>45977</v>
      </c>
      <c r="C179" s="314" t="s">
        <v>740</v>
      </c>
      <c r="D179" s="554"/>
      <c r="E179" s="568">
        <v>1</v>
      </c>
      <c r="F179" s="314" t="s">
        <v>741</v>
      </c>
      <c r="G179" s="314" t="s">
        <v>742</v>
      </c>
      <c r="H179" s="568" t="s">
        <v>180</v>
      </c>
      <c r="I179" s="556" t="s">
        <v>181</v>
      </c>
      <c r="J179" s="314" t="s">
        <v>39</v>
      </c>
      <c r="K179" s="314" t="s">
        <v>1631</v>
      </c>
      <c r="L179" s="316">
        <v>28075</v>
      </c>
      <c r="M179" s="319">
        <v>1500000</v>
      </c>
      <c r="N179" s="603"/>
      <c r="O179" s="604"/>
      <c r="P179" s="319"/>
      <c r="Q179" s="603"/>
      <c r="R179" s="603"/>
      <c r="S179" s="559">
        <v>4500000</v>
      </c>
      <c r="T179" s="560"/>
    </row>
    <row r="180" spans="1:20" s="561" customFormat="1" ht="32.25" customHeight="1" x14ac:dyDescent="0.2">
      <c r="A180" s="552">
        <v>248</v>
      </c>
      <c r="B180" s="553">
        <v>45977</v>
      </c>
      <c r="C180" s="314" t="s">
        <v>740</v>
      </c>
      <c r="D180" s="554"/>
      <c r="E180" s="568">
        <v>1</v>
      </c>
      <c r="F180" s="568" t="s">
        <v>743</v>
      </c>
      <c r="G180" s="314" t="s">
        <v>744</v>
      </c>
      <c r="H180" s="568" t="s">
        <v>180</v>
      </c>
      <c r="I180" s="556" t="s">
        <v>181</v>
      </c>
      <c r="J180" s="314" t="s">
        <v>39</v>
      </c>
      <c r="K180" s="314" t="s">
        <v>1631</v>
      </c>
      <c r="L180" s="576">
        <v>415238</v>
      </c>
      <c r="M180" s="319">
        <v>1500000</v>
      </c>
      <c r="N180" s="603"/>
      <c r="O180" s="604"/>
      <c r="P180" s="319"/>
      <c r="Q180" s="603"/>
      <c r="R180" s="603"/>
      <c r="S180" s="559">
        <v>4500000</v>
      </c>
      <c r="T180" s="560"/>
    </row>
    <row r="181" spans="1:20" s="561" customFormat="1" ht="32.25" customHeight="1" x14ac:dyDescent="0.2">
      <c r="A181" s="552">
        <v>249</v>
      </c>
      <c r="B181" s="553">
        <v>45977</v>
      </c>
      <c r="C181" s="568" t="s">
        <v>746</v>
      </c>
      <c r="D181" s="568"/>
      <c r="E181" s="568">
        <v>1</v>
      </c>
      <c r="F181" s="314" t="s">
        <v>747</v>
      </c>
      <c r="G181" s="314" t="s">
        <v>748</v>
      </c>
      <c r="H181" s="568" t="s">
        <v>1632</v>
      </c>
      <c r="I181" s="556" t="s">
        <v>299</v>
      </c>
      <c r="J181" s="314" t="s">
        <v>39</v>
      </c>
      <c r="K181" s="314" t="s">
        <v>1629</v>
      </c>
      <c r="L181" s="317">
        <v>129930</v>
      </c>
      <c r="M181" s="319">
        <v>1500000</v>
      </c>
      <c r="N181" s="603"/>
      <c r="O181" s="604"/>
      <c r="P181" s="319"/>
      <c r="Q181" s="603"/>
      <c r="R181" s="603"/>
      <c r="S181" s="559">
        <v>4500000</v>
      </c>
      <c r="T181" s="560"/>
    </row>
    <row r="182" spans="1:20" s="561" customFormat="1" ht="32.25" customHeight="1" x14ac:dyDescent="0.2">
      <c r="A182" s="552">
        <v>250</v>
      </c>
      <c r="B182" s="553">
        <v>45977</v>
      </c>
      <c r="C182" s="568" t="s">
        <v>746</v>
      </c>
      <c r="D182" s="554"/>
      <c r="E182" s="568">
        <v>1</v>
      </c>
      <c r="F182" s="314" t="s">
        <v>749</v>
      </c>
      <c r="G182" s="568" t="s">
        <v>750</v>
      </c>
      <c r="H182" s="568" t="s">
        <v>1632</v>
      </c>
      <c r="I182" s="556" t="s">
        <v>299</v>
      </c>
      <c r="J182" s="314" t="s">
        <v>39</v>
      </c>
      <c r="K182" s="314" t="s">
        <v>1629</v>
      </c>
      <c r="L182" s="576">
        <v>129924</v>
      </c>
      <c r="M182" s="319">
        <v>1500000</v>
      </c>
      <c r="N182" s="603"/>
      <c r="O182" s="604"/>
      <c r="P182" s="319"/>
      <c r="Q182" s="603"/>
      <c r="R182" s="603"/>
      <c r="S182" s="559">
        <v>4500000</v>
      </c>
      <c r="T182" s="560"/>
    </row>
    <row r="183" spans="1:20" s="561" customFormat="1" ht="32.25" customHeight="1" x14ac:dyDescent="0.2">
      <c r="A183" s="552">
        <v>251</v>
      </c>
      <c r="B183" s="553">
        <v>45977</v>
      </c>
      <c r="C183" s="568" t="s">
        <v>746</v>
      </c>
      <c r="D183" s="554"/>
      <c r="E183" s="568">
        <v>1</v>
      </c>
      <c r="F183" s="314" t="s">
        <v>752</v>
      </c>
      <c r="G183" s="314" t="s">
        <v>560</v>
      </c>
      <c r="H183" s="568" t="s">
        <v>1632</v>
      </c>
      <c r="I183" s="556" t="s">
        <v>299</v>
      </c>
      <c r="J183" s="314" t="s">
        <v>39</v>
      </c>
      <c r="K183" s="314" t="s">
        <v>1629</v>
      </c>
      <c r="L183" s="576">
        <v>129978</v>
      </c>
      <c r="M183" s="319">
        <v>1500000</v>
      </c>
      <c r="N183" s="603"/>
      <c r="O183" s="604"/>
      <c r="P183" s="319"/>
      <c r="Q183" s="603"/>
      <c r="R183" s="603"/>
      <c r="S183" s="559">
        <v>4500000</v>
      </c>
      <c r="T183" s="560"/>
    </row>
    <row r="184" spans="1:20" s="561" customFormat="1" ht="32.25" customHeight="1" x14ac:dyDescent="0.2">
      <c r="A184" s="552">
        <v>252</v>
      </c>
      <c r="B184" s="553">
        <v>45977</v>
      </c>
      <c r="C184" s="568" t="s">
        <v>746</v>
      </c>
      <c r="D184" s="554"/>
      <c r="E184" s="568">
        <v>1</v>
      </c>
      <c r="F184" s="568" t="s">
        <v>754</v>
      </c>
      <c r="G184" s="314" t="s">
        <v>755</v>
      </c>
      <c r="H184" s="568" t="s">
        <v>1632</v>
      </c>
      <c r="I184" s="556" t="s">
        <v>299</v>
      </c>
      <c r="J184" s="314" t="s">
        <v>39</v>
      </c>
      <c r="K184" s="314" t="s">
        <v>1629</v>
      </c>
      <c r="L184" s="576">
        <v>129970</v>
      </c>
      <c r="M184" s="319">
        <v>1500000</v>
      </c>
      <c r="N184" s="603"/>
      <c r="O184" s="604"/>
      <c r="P184" s="319"/>
      <c r="Q184" s="603"/>
      <c r="R184" s="603"/>
      <c r="S184" s="559">
        <v>4500000</v>
      </c>
      <c r="T184" s="560"/>
    </row>
    <row r="185" spans="1:20" s="561" customFormat="1" ht="32.25" customHeight="1" x14ac:dyDescent="0.2">
      <c r="A185" s="552">
        <v>253</v>
      </c>
      <c r="B185" s="553">
        <v>45977</v>
      </c>
      <c r="C185" s="314">
        <v>2314640630</v>
      </c>
      <c r="D185" s="554"/>
      <c r="E185" s="568">
        <v>1</v>
      </c>
      <c r="F185" s="314" t="s">
        <v>759</v>
      </c>
      <c r="G185" s="314" t="s">
        <v>760</v>
      </c>
      <c r="H185" s="317" t="s">
        <v>298</v>
      </c>
      <c r="I185" s="556" t="s">
        <v>299</v>
      </c>
      <c r="J185" s="314" t="s">
        <v>1631</v>
      </c>
      <c r="K185" s="314" t="s">
        <v>39</v>
      </c>
      <c r="L185" s="316" t="s">
        <v>761</v>
      </c>
      <c r="M185" s="319">
        <v>1500000</v>
      </c>
      <c r="N185" s="518"/>
      <c r="O185" s="532"/>
      <c r="P185" s="558"/>
      <c r="Q185" s="518"/>
      <c r="R185" s="518"/>
      <c r="S185" s="559">
        <v>5300000</v>
      </c>
      <c r="T185" s="560"/>
    </row>
    <row r="186" spans="1:20" s="561" customFormat="1" ht="32.25" customHeight="1" x14ac:dyDescent="0.2">
      <c r="A186" s="552">
        <v>254</v>
      </c>
      <c r="B186" s="553">
        <v>45977</v>
      </c>
      <c r="C186" s="314">
        <v>2314676690</v>
      </c>
      <c r="D186" s="554"/>
      <c r="E186" s="568">
        <v>1</v>
      </c>
      <c r="F186" s="314" t="s">
        <v>764</v>
      </c>
      <c r="G186" s="314" t="s">
        <v>765</v>
      </c>
      <c r="H186" s="317" t="s">
        <v>298</v>
      </c>
      <c r="I186" s="556" t="s">
        <v>299</v>
      </c>
      <c r="J186" s="314" t="s">
        <v>1631</v>
      </c>
      <c r="K186" s="314" t="s">
        <v>39</v>
      </c>
      <c r="L186" s="576">
        <v>414641</v>
      </c>
      <c r="M186" s="319">
        <v>1500000</v>
      </c>
      <c r="N186" s="518"/>
      <c r="O186" s="532"/>
      <c r="P186" s="558"/>
      <c r="Q186" s="518"/>
      <c r="R186" s="518"/>
      <c r="S186" s="559">
        <v>5300000</v>
      </c>
      <c r="T186" s="560"/>
    </row>
    <row r="187" spans="1:20" s="561" customFormat="1" ht="32.25" customHeight="1" x14ac:dyDescent="0.2">
      <c r="A187" s="552">
        <v>255</v>
      </c>
      <c r="B187" s="553">
        <v>45977</v>
      </c>
      <c r="C187" s="314">
        <v>2314640630</v>
      </c>
      <c r="D187" s="554"/>
      <c r="E187" s="568">
        <v>1</v>
      </c>
      <c r="F187" s="568" t="s">
        <v>762</v>
      </c>
      <c r="G187" s="314" t="s">
        <v>763</v>
      </c>
      <c r="H187" s="317" t="s">
        <v>298</v>
      </c>
      <c r="I187" s="556" t="s">
        <v>299</v>
      </c>
      <c r="J187" s="314" t="s">
        <v>1631</v>
      </c>
      <c r="K187" s="314" t="s">
        <v>39</v>
      </c>
      <c r="L187" s="317">
        <v>414890</v>
      </c>
      <c r="M187" s="319">
        <v>1500000</v>
      </c>
      <c r="N187" s="518"/>
      <c r="O187" s="532"/>
      <c r="P187" s="558"/>
      <c r="Q187" s="518"/>
      <c r="R187" s="518"/>
      <c r="S187" s="559">
        <v>5300000</v>
      </c>
      <c r="T187" s="560"/>
    </row>
    <row r="188" spans="1:20" s="561" customFormat="1" ht="32.25" customHeight="1" x14ac:dyDescent="0.2">
      <c r="A188" s="552">
        <v>256</v>
      </c>
      <c r="B188" s="553">
        <v>45977</v>
      </c>
      <c r="C188" s="314">
        <v>2314676690</v>
      </c>
      <c r="D188" s="554"/>
      <c r="E188" s="568">
        <v>1</v>
      </c>
      <c r="F188" s="314" t="s">
        <v>757</v>
      </c>
      <c r="G188" s="314" t="s">
        <v>758</v>
      </c>
      <c r="H188" s="317" t="s">
        <v>298</v>
      </c>
      <c r="I188" s="556" t="s">
        <v>299</v>
      </c>
      <c r="J188" s="314" t="s">
        <v>1631</v>
      </c>
      <c r="K188" s="314" t="s">
        <v>39</v>
      </c>
      <c r="L188" s="605">
        <v>414616</v>
      </c>
      <c r="M188" s="558">
        <v>1500000</v>
      </c>
      <c r="N188" s="518"/>
      <c r="O188" s="532"/>
      <c r="P188" s="558"/>
      <c r="Q188" s="518"/>
      <c r="R188" s="518"/>
      <c r="S188" s="559">
        <v>5300000</v>
      </c>
      <c r="T188" s="560"/>
    </row>
    <row r="189" spans="1:20" s="561" customFormat="1" ht="32.25" customHeight="1" x14ac:dyDescent="0.2">
      <c r="A189" s="552">
        <v>257</v>
      </c>
      <c r="B189" s="553">
        <v>45977</v>
      </c>
      <c r="C189" s="314" t="s">
        <v>766</v>
      </c>
      <c r="D189" s="554"/>
      <c r="E189" s="568">
        <v>1</v>
      </c>
      <c r="F189" s="314" t="s">
        <v>767</v>
      </c>
      <c r="G189" s="314" t="s">
        <v>768</v>
      </c>
      <c r="H189" s="568" t="s">
        <v>1632</v>
      </c>
      <c r="I189" s="573" t="s">
        <v>256</v>
      </c>
      <c r="J189" s="314" t="s">
        <v>39</v>
      </c>
      <c r="K189" s="314" t="s">
        <v>1630</v>
      </c>
      <c r="L189" s="605">
        <v>141471</v>
      </c>
      <c r="M189" s="558">
        <v>1500000</v>
      </c>
      <c r="N189" s="518"/>
      <c r="O189" s="532"/>
      <c r="P189" s="558"/>
      <c r="Q189" s="518"/>
      <c r="R189" s="518"/>
      <c r="S189" s="559">
        <v>4500000</v>
      </c>
      <c r="T189" s="560"/>
    </row>
    <row r="190" spans="1:20" s="561" customFormat="1" ht="32.25" customHeight="1" x14ac:dyDescent="0.2">
      <c r="A190" s="552">
        <v>258</v>
      </c>
      <c r="B190" s="553">
        <v>45977</v>
      </c>
      <c r="C190" s="314">
        <v>258474143</v>
      </c>
      <c r="D190" s="554"/>
      <c r="E190" s="568">
        <v>1</v>
      </c>
      <c r="F190" s="568" t="s">
        <v>1142</v>
      </c>
      <c r="G190" s="314" t="s">
        <v>1649</v>
      </c>
      <c r="H190" s="568" t="s">
        <v>180</v>
      </c>
      <c r="I190" s="573" t="s">
        <v>181</v>
      </c>
      <c r="J190" s="314" t="s">
        <v>39</v>
      </c>
      <c r="K190" s="314" t="s">
        <v>1637</v>
      </c>
      <c r="L190" s="605" t="s">
        <v>1650</v>
      </c>
      <c r="M190" s="558">
        <v>1450000</v>
      </c>
      <c r="N190" s="518"/>
      <c r="O190" s="532"/>
      <c r="P190" s="558"/>
      <c r="Q190" s="518"/>
      <c r="R190" s="518"/>
      <c r="S190" s="559">
        <v>4500000</v>
      </c>
      <c r="T190" s="560"/>
    </row>
    <row r="191" spans="1:20" s="561" customFormat="1" ht="32.25" customHeight="1" x14ac:dyDescent="0.2">
      <c r="A191" s="552">
        <v>259</v>
      </c>
      <c r="B191" s="553">
        <v>45977</v>
      </c>
      <c r="C191" s="314">
        <v>258474143</v>
      </c>
      <c r="D191" s="554"/>
      <c r="E191" s="568">
        <v>1</v>
      </c>
      <c r="F191" s="314" t="s">
        <v>1143</v>
      </c>
      <c r="G191" s="317" t="s">
        <v>1651</v>
      </c>
      <c r="H191" s="568" t="s">
        <v>180</v>
      </c>
      <c r="I191" s="573" t="s">
        <v>181</v>
      </c>
      <c r="J191" s="568" t="s">
        <v>39</v>
      </c>
      <c r="K191" s="314" t="s">
        <v>1637</v>
      </c>
      <c r="L191" s="605">
        <v>128435</v>
      </c>
      <c r="M191" s="558">
        <v>1450000</v>
      </c>
      <c r="N191" s="518"/>
      <c r="O191" s="532"/>
      <c r="P191" s="558"/>
      <c r="Q191" s="518"/>
      <c r="R191" s="518"/>
      <c r="S191" s="559">
        <v>4500000</v>
      </c>
      <c r="T191" s="560"/>
    </row>
    <row r="192" spans="1:20" s="561" customFormat="1" ht="32.25" customHeight="1" x14ac:dyDescent="0.2">
      <c r="A192" s="552">
        <v>260</v>
      </c>
      <c r="B192" s="553">
        <v>45977</v>
      </c>
      <c r="C192" s="314">
        <v>258474143</v>
      </c>
      <c r="D192" s="554"/>
      <c r="E192" s="568">
        <v>1</v>
      </c>
      <c r="F192" s="314" t="s">
        <v>1141</v>
      </c>
      <c r="G192" s="566" t="s">
        <v>254</v>
      </c>
      <c r="H192" s="568" t="s">
        <v>180</v>
      </c>
      <c r="I192" s="573" t="s">
        <v>181</v>
      </c>
      <c r="J192" s="568" t="s">
        <v>39</v>
      </c>
      <c r="K192" s="314" t="s">
        <v>1637</v>
      </c>
      <c r="L192" s="605">
        <v>128806</v>
      </c>
      <c r="M192" s="558">
        <v>1450000</v>
      </c>
      <c r="N192" s="518"/>
      <c r="O192" s="532"/>
      <c r="P192" s="558"/>
      <c r="Q192" s="518"/>
      <c r="R192" s="518"/>
      <c r="S192" s="559">
        <v>4500000</v>
      </c>
      <c r="T192" s="560"/>
    </row>
    <row r="193" spans="1:20" s="561" customFormat="1" ht="32.25" customHeight="1" x14ac:dyDescent="0.2">
      <c r="A193" s="552">
        <v>261</v>
      </c>
      <c r="B193" s="553">
        <v>45978</v>
      </c>
      <c r="C193" s="314">
        <v>257750909</v>
      </c>
      <c r="D193" s="554"/>
      <c r="E193" s="568">
        <v>1</v>
      </c>
      <c r="F193" s="314" t="s">
        <v>770</v>
      </c>
      <c r="G193" s="317" t="s">
        <v>771</v>
      </c>
      <c r="H193" s="568" t="s">
        <v>1632</v>
      </c>
      <c r="I193" s="573" t="s">
        <v>256</v>
      </c>
      <c r="J193" s="568" t="s">
        <v>39</v>
      </c>
      <c r="K193" s="314" t="s">
        <v>1637</v>
      </c>
      <c r="L193" s="605">
        <v>15515</v>
      </c>
      <c r="M193" s="558">
        <v>1500000</v>
      </c>
      <c r="N193" s="518"/>
      <c r="O193" s="532"/>
      <c r="P193" s="558"/>
      <c r="Q193" s="518"/>
      <c r="R193" s="518"/>
      <c r="S193" s="559">
        <v>4500000</v>
      </c>
      <c r="T193" s="560"/>
    </row>
    <row r="194" spans="1:20" s="561" customFormat="1" ht="32.25" customHeight="1" x14ac:dyDescent="0.2">
      <c r="A194" s="552">
        <v>262</v>
      </c>
      <c r="B194" s="553">
        <v>45978</v>
      </c>
      <c r="C194" s="314">
        <v>257750909</v>
      </c>
      <c r="D194" s="554"/>
      <c r="E194" s="568">
        <v>1</v>
      </c>
      <c r="F194" s="314" t="s">
        <v>773</v>
      </c>
      <c r="G194" s="317" t="s">
        <v>774</v>
      </c>
      <c r="H194" s="568" t="s">
        <v>1632</v>
      </c>
      <c r="I194" s="573" t="s">
        <v>256</v>
      </c>
      <c r="J194" s="568" t="s">
        <v>39</v>
      </c>
      <c r="K194" s="314" t="s">
        <v>1637</v>
      </c>
      <c r="L194" s="605">
        <v>15530</v>
      </c>
      <c r="M194" s="558">
        <v>1500000</v>
      </c>
      <c r="N194" s="518"/>
      <c r="O194" s="532"/>
      <c r="P194" s="558"/>
      <c r="Q194" s="518"/>
      <c r="R194" s="518"/>
      <c r="S194" s="559">
        <v>4500000</v>
      </c>
      <c r="T194" s="560"/>
    </row>
    <row r="195" spans="1:20" s="561" customFormat="1" ht="32.25" customHeight="1" x14ac:dyDescent="0.2">
      <c r="A195" s="552">
        <v>263</v>
      </c>
      <c r="B195" s="553">
        <v>45978</v>
      </c>
      <c r="C195" s="314">
        <v>261567466</v>
      </c>
      <c r="D195" s="554"/>
      <c r="E195" s="568">
        <v>1</v>
      </c>
      <c r="F195" s="568" t="s">
        <v>776</v>
      </c>
      <c r="G195" s="566" t="s">
        <v>308</v>
      </c>
      <c r="H195" s="317" t="s">
        <v>298</v>
      </c>
      <c r="I195" s="556" t="s">
        <v>299</v>
      </c>
      <c r="J195" s="568" t="s">
        <v>1637</v>
      </c>
      <c r="K195" s="314" t="s">
        <v>39</v>
      </c>
      <c r="L195" s="605">
        <v>128504</v>
      </c>
      <c r="M195" s="558">
        <v>1450000</v>
      </c>
      <c r="N195" s="518"/>
      <c r="O195" s="532"/>
      <c r="P195" s="558"/>
      <c r="Q195" s="518"/>
      <c r="R195" s="518"/>
      <c r="S195" s="559">
        <v>5300000</v>
      </c>
      <c r="T195" s="560"/>
    </row>
    <row r="196" spans="1:20" s="561" customFormat="1" ht="32.25" customHeight="1" x14ac:dyDescent="0.2">
      <c r="A196" s="552">
        <v>264</v>
      </c>
      <c r="B196" s="553">
        <v>45978</v>
      </c>
      <c r="C196" s="314">
        <v>261567466</v>
      </c>
      <c r="D196" s="554"/>
      <c r="E196" s="568">
        <v>1</v>
      </c>
      <c r="F196" s="314" t="s">
        <v>778</v>
      </c>
      <c r="G196" s="314" t="s">
        <v>198</v>
      </c>
      <c r="H196" s="317" t="s">
        <v>298</v>
      </c>
      <c r="I196" s="556" t="s">
        <v>299</v>
      </c>
      <c r="J196" s="568" t="s">
        <v>1637</v>
      </c>
      <c r="K196" s="314" t="s">
        <v>39</v>
      </c>
      <c r="L196" s="605">
        <v>128457</v>
      </c>
      <c r="M196" s="558">
        <v>1450000</v>
      </c>
      <c r="N196" s="518"/>
      <c r="O196" s="532"/>
      <c r="P196" s="558"/>
      <c r="Q196" s="518"/>
      <c r="R196" s="518"/>
      <c r="S196" s="559">
        <v>5300000</v>
      </c>
      <c r="T196" s="560"/>
    </row>
    <row r="197" spans="1:20" s="561" customFormat="1" ht="32.25" customHeight="1" x14ac:dyDescent="0.2">
      <c r="A197" s="552">
        <v>265</v>
      </c>
      <c r="B197" s="553">
        <v>45978</v>
      </c>
      <c r="C197" s="314">
        <v>261567466</v>
      </c>
      <c r="D197" s="554"/>
      <c r="E197" s="568">
        <v>1</v>
      </c>
      <c r="F197" s="314" t="s">
        <v>780</v>
      </c>
      <c r="G197" s="314" t="s">
        <v>194</v>
      </c>
      <c r="H197" s="317" t="s">
        <v>298</v>
      </c>
      <c r="I197" s="556" t="s">
        <v>299</v>
      </c>
      <c r="J197" s="568" t="s">
        <v>1637</v>
      </c>
      <c r="K197" s="314" t="s">
        <v>39</v>
      </c>
      <c r="L197" s="605">
        <v>128639</v>
      </c>
      <c r="M197" s="558">
        <v>1450000</v>
      </c>
      <c r="N197" s="518"/>
      <c r="O197" s="532"/>
      <c r="P197" s="558"/>
      <c r="Q197" s="518"/>
      <c r="R197" s="518"/>
      <c r="S197" s="559">
        <v>5300000</v>
      </c>
      <c r="T197" s="560"/>
    </row>
    <row r="198" spans="1:20" s="561" customFormat="1" ht="32.25" customHeight="1" x14ac:dyDescent="0.2">
      <c r="A198" s="552">
        <v>266</v>
      </c>
      <c r="B198" s="553">
        <v>45978</v>
      </c>
      <c r="C198" s="314">
        <v>261567466</v>
      </c>
      <c r="D198" s="554"/>
      <c r="E198" s="568">
        <v>1</v>
      </c>
      <c r="F198" s="314" t="s">
        <v>782</v>
      </c>
      <c r="G198" s="314" t="s">
        <v>191</v>
      </c>
      <c r="H198" s="317" t="s">
        <v>298</v>
      </c>
      <c r="I198" s="556" t="s">
        <v>299</v>
      </c>
      <c r="J198" s="568" t="s">
        <v>1637</v>
      </c>
      <c r="K198" s="314" t="s">
        <v>39</v>
      </c>
      <c r="L198" s="605">
        <v>128495</v>
      </c>
      <c r="M198" s="558">
        <v>1450000</v>
      </c>
      <c r="N198" s="518"/>
      <c r="O198" s="532"/>
      <c r="P198" s="558"/>
      <c r="Q198" s="518"/>
      <c r="R198" s="518"/>
      <c r="S198" s="559">
        <v>5300000</v>
      </c>
      <c r="T198" s="560"/>
    </row>
    <row r="199" spans="1:20" s="561" customFormat="1" ht="32.25" customHeight="1" x14ac:dyDescent="0.2">
      <c r="A199" s="552">
        <v>267</v>
      </c>
      <c r="B199" s="553">
        <v>45978</v>
      </c>
      <c r="C199" s="314">
        <v>261567466</v>
      </c>
      <c r="D199" s="554"/>
      <c r="E199" s="568">
        <v>1</v>
      </c>
      <c r="F199" s="314" t="s">
        <v>784</v>
      </c>
      <c r="G199" s="314" t="s">
        <v>213</v>
      </c>
      <c r="H199" s="317" t="s">
        <v>298</v>
      </c>
      <c r="I199" s="556" t="s">
        <v>299</v>
      </c>
      <c r="J199" s="568" t="s">
        <v>1637</v>
      </c>
      <c r="K199" s="314" t="s">
        <v>39</v>
      </c>
      <c r="L199" s="605">
        <v>128461</v>
      </c>
      <c r="M199" s="558">
        <v>1450000</v>
      </c>
      <c r="N199" s="518"/>
      <c r="O199" s="532"/>
      <c r="P199" s="558"/>
      <c r="Q199" s="518"/>
      <c r="R199" s="518"/>
      <c r="S199" s="559">
        <v>5300000</v>
      </c>
      <c r="T199" s="560"/>
    </row>
    <row r="200" spans="1:20" s="561" customFormat="1" ht="32.25" customHeight="1" x14ac:dyDescent="0.2">
      <c r="A200" s="552">
        <v>268</v>
      </c>
      <c r="B200" s="553">
        <v>45978</v>
      </c>
      <c r="C200" s="314" t="s">
        <v>786</v>
      </c>
      <c r="D200" s="554"/>
      <c r="E200" s="568">
        <v>1</v>
      </c>
      <c r="F200" s="314" t="s">
        <v>787</v>
      </c>
      <c r="G200" s="314" t="s">
        <v>284</v>
      </c>
      <c r="H200" s="568" t="s">
        <v>180</v>
      </c>
      <c r="I200" s="556" t="s">
        <v>181</v>
      </c>
      <c r="J200" s="568" t="s">
        <v>358</v>
      </c>
      <c r="K200" s="314" t="s">
        <v>39</v>
      </c>
      <c r="L200" s="605">
        <v>416056</v>
      </c>
      <c r="M200" s="558">
        <v>1500000</v>
      </c>
      <c r="N200" s="518"/>
      <c r="O200" s="532"/>
      <c r="P200" s="558"/>
      <c r="Q200" s="518"/>
      <c r="R200" s="518"/>
      <c r="S200" s="559">
        <v>4500000</v>
      </c>
      <c r="T200" s="560"/>
    </row>
    <row r="201" spans="1:20" s="561" customFormat="1" ht="32.25" customHeight="1" x14ac:dyDescent="0.2">
      <c r="A201" s="552">
        <v>269</v>
      </c>
      <c r="B201" s="553">
        <v>45978</v>
      </c>
      <c r="C201" s="314" t="s">
        <v>786</v>
      </c>
      <c r="D201" s="554"/>
      <c r="E201" s="568">
        <v>1</v>
      </c>
      <c r="F201" s="314" t="s">
        <v>789</v>
      </c>
      <c r="G201" s="314" t="s">
        <v>790</v>
      </c>
      <c r="H201" s="568" t="s">
        <v>180</v>
      </c>
      <c r="I201" s="556" t="s">
        <v>181</v>
      </c>
      <c r="J201" s="574" t="s">
        <v>358</v>
      </c>
      <c r="K201" s="314" t="s">
        <v>39</v>
      </c>
      <c r="L201" s="605">
        <v>415320</v>
      </c>
      <c r="M201" s="558">
        <v>1500000</v>
      </c>
      <c r="N201" s="518"/>
      <c r="O201" s="532"/>
      <c r="P201" s="558"/>
      <c r="Q201" s="518"/>
      <c r="R201" s="518"/>
      <c r="S201" s="559">
        <v>4500000</v>
      </c>
      <c r="T201" s="560"/>
    </row>
    <row r="202" spans="1:20" s="561" customFormat="1" ht="32.25" customHeight="1" x14ac:dyDescent="0.2">
      <c r="A202" s="552">
        <v>270</v>
      </c>
      <c r="B202" s="553">
        <v>45978</v>
      </c>
      <c r="C202" s="314" t="s">
        <v>786</v>
      </c>
      <c r="D202" s="554"/>
      <c r="E202" s="568">
        <v>1</v>
      </c>
      <c r="F202" s="568" t="s">
        <v>792</v>
      </c>
      <c r="G202" s="314" t="s">
        <v>793</v>
      </c>
      <c r="H202" s="568" t="s">
        <v>180</v>
      </c>
      <c r="I202" s="556" t="s">
        <v>181</v>
      </c>
      <c r="J202" s="574" t="s">
        <v>358</v>
      </c>
      <c r="K202" s="314" t="s">
        <v>39</v>
      </c>
      <c r="L202" s="605">
        <v>415527</v>
      </c>
      <c r="M202" s="558">
        <v>1500000</v>
      </c>
      <c r="N202" s="518"/>
      <c r="O202" s="532"/>
      <c r="P202" s="558"/>
      <c r="Q202" s="518"/>
      <c r="R202" s="518"/>
      <c r="S202" s="559">
        <v>4500000</v>
      </c>
      <c r="T202" s="560"/>
    </row>
    <row r="203" spans="1:20" s="561" customFormat="1" ht="32.25" customHeight="1" x14ac:dyDescent="0.2">
      <c r="A203" s="552">
        <v>271</v>
      </c>
      <c r="B203" s="553">
        <v>45978</v>
      </c>
      <c r="C203" s="563" t="s">
        <v>786</v>
      </c>
      <c r="D203" s="564"/>
      <c r="E203" s="579">
        <v>1</v>
      </c>
      <c r="F203" s="563" t="s">
        <v>795</v>
      </c>
      <c r="G203" s="563" t="s">
        <v>796</v>
      </c>
      <c r="H203" s="579" t="s">
        <v>180</v>
      </c>
      <c r="I203" s="556" t="s">
        <v>181</v>
      </c>
      <c r="J203" s="587" t="s">
        <v>358</v>
      </c>
      <c r="K203" s="563" t="s">
        <v>39</v>
      </c>
      <c r="L203" s="605">
        <v>415654</v>
      </c>
      <c r="M203" s="558">
        <v>1500000</v>
      </c>
      <c r="N203" s="518"/>
      <c r="O203" s="532"/>
      <c r="P203" s="558"/>
      <c r="Q203" s="518"/>
      <c r="R203" s="518"/>
      <c r="S203" s="559">
        <v>4500000</v>
      </c>
      <c r="T203" s="560"/>
    </row>
    <row r="204" spans="1:20" s="561" customFormat="1" ht="32.25" customHeight="1" x14ac:dyDescent="0.2">
      <c r="A204" s="552">
        <v>272</v>
      </c>
      <c r="B204" s="606">
        <v>45978</v>
      </c>
      <c r="C204" s="568" t="s">
        <v>786</v>
      </c>
      <c r="D204" s="568"/>
      <c r="E204" s="579">
        <v>1</v>
      </c>
      <c r="F204" s="563" t="s">
        <v>798</v>
      </c>
      <c r="G204" s="317" t="s">
        <v>799</v>
      </c>
      <c r="H204" s="318" t="s">
        <v>180</v>
      </c>
      <c r="I204" s="556" t="s">
        <v>181</v>
      </c>
      <c r="J204" s="315" t="s">
        <v>358</v>
      </c>
      <c r="K204" s="314" t="s">
        <v>39</v>
      </c>
      <c r="L204" s="576">
        <v>415749</v>
      </c>
      <c r="M204" s="319">
        <v>1500000</v>
      </c>
      <c r="N204" s="518"/>
      <c r="O204" s="532"/>
      <c r="P204" s="558"/>
      <c r="Q204" s="518"/>
      <c r="R204" s="518"/>
      <c r="S204" s="559">
        <v>4500000</v>
      </c>
      <c r="T204" s="560"/>
    </row>
    <row r="205" spans="1:20" s="561" customFormat="1" ht="32.25" customHeight="1" x14ac:dyDescent="0.2">
      <c r="A205" s="552">
        <v>273</v>
      </c>
      <c r="B205" s="606">
        <v>45978</v>
      </c>
      <c r="C205" s="590">
        <v>261856791</v>
      </c>
      <c r="D205" s="590"/>
      <c r="E205" s="579">
        <v>1</v>
      </c>
      <c r="F205" s="314" t="s">
        <v>801</v>
      </c>
      <c r="G205" s="317" t="s">
        <v>604</v>
      </c>
      <c r="H205" s="318" t="s">
        <v>1652</v>
      </c>
      <c r="I205" s="573" t="s">
        <v>256</v>
      </c>
      <c r="J205" s="315" t="s">
        <v>1640</v>
      </c>
      <c r="K205" s="574" t="s">
        <v>39</v>
      </c>
      <c r="L205" s="576">
        <v>302489</v>
      </c>
      <c r="M205" s="319">
        <v>1500000</v>
      </c>
      <c r="N205" s="518"/>
      <c r="O205" s="532"/>
      <c r="P205" s="558"/>
      <c r="Q205" s="518"/>
      <c r="R205" s="518"/>
      <c r="S205" s="559">
        <v>3150000</v>
      </c>
      <c r="T205" s="560"/>
    </row>
    <row r="206" spans="1:20" s="561" customFormat="1" ht="32.25" customHeight="1" x14ac:dyDescent="0.2">
      <c r="A206" s="552">
        <v>274</v>
      </c>
      <c r="B206" s="606">
        <v>45978</v>
      </c>
      <c r="C206" s="590">
        <v>261856791</v>
      </c>
      <c r="D206" s="590"/>
      <c r="E206" s="579">
        <v>1</v>
      </c>
      <c r="F206" s="314" t="s">
        <v>773</v>
      </c>
      <c r="G206" s="317" t="s">
        <v>774</v>
      </c>
      <c r="H206" s="318" t="s">
        <v>1652</v>
      </c>
      <c r="I206" s="573" t="s">
        <v>256</v>
      </c>
      <c r="J206" s="315" t="s">
        <v>1640</v>
      </c>
      <c r="K206" s="574" t="s">
        <v>39</v>
      </c>
      <c r="L206" s="576">
        <v>15531</v>
      </c>
      <c r="M206" s="319">
        <v>1500000</v>
      </c>
      <c r="N206" s="518"/>
      <c r="O206" s="532"/>
      <c r="P206" s="558"/>
      <c r="Q206" s="518"/>
      <c r="R206" s="518"/>
      <c r="S206" s="559">
        <v>3150000</v>
      </c>
      <c r="T206" s="560"/>
    </row>
    <row r="207" spans="1:20" s="561" customFormat="1" ht="32.25" customHeight="1" x14ac:dyDescent="0.2">
      <c r="A207" s="552">
        <v>275</v>
      </c>
      <c r="B207" s="606">
        <v>45978</v>
      </c>
      <c r="C207" s="591">
        <v>261856791</v>
      </c>
      <c r="D207" s="591"/>
      <c r="E207" s="579">
        <v>1</v>
      </c>
      <c r="F207" s="563" t="s">
        <v>770</v>
      </c>
      <c r="G207" s="317" t="s">
        <v>771</v>
      </c>
      <c r="H207" s="607" t="s">
        <v>1652</v>
      </c>
      <c r="I207" s="589" t="s">
        <v>256</v>
      </c>
      <c r="J207" s="601" t="s">
        <v>1640</v>
      </c>
      <c r="K207" s="587" t="s">
        <v>39</v>
      </c>
      <c r="L207" s="608">
        <v>15514</v>
      </c>
      <c r="M207" s="319">
        <v>1500000</v>
      </c>
      <c r="N207" s="518"/>
      <c r="O207" s="532"/>
      <c r="P207" s="558"/>
      <c r="Q207" s="518"/>
      <c r="R207" s="518"/>
      <c r="S207" s="559">
        <v>3150000</v>
      </c>
      <c r="T207" s="560"/>
    </row>
    <row r="208" spans="1:20" s="561" customFormat="1" ht="32.25" customHeight="1" x14ac:dyDescent="0.2">
      <c r="A208" s="552">
        <v>276</v>
      </c>
      <c r="B208" s="606">
        <v>45979</v>
      </c>
      <c r="C208" s="314" t="s">
        <v>806</v>
      </c>
      <c r="D208" s="568"/>
      <c r="E208" s="568">
        <v>1</v>
      </c>
      <c r="F208" s="568" t="s">
        <v>807</v>
      </c>
      <c r="G208" s="317" t="s">
        <v>213</v>
      </c>
      <c r="H208" s="318" t="s">
        <v>808</v>
      </c>
      <c r="I208" s="556" t="s">
        <v>809</v>
      </c>
      <c r="J208" s="314" t="s">
        <v>39</v>
      </c>
      <c r="K208" s="315" t="s">
        <v>1630</v>
      </c>
      <c r="L208" s="316">
        <v>8109</v>
      </c>
      <c r="M208" s="319">
        <v>1500000</v>
      </c>
      <c r="N208" s="518"/>
      <c r="O208" s="532"/>
      <c r="P208" s="558"/>
      <c r="Q208" s="518"/>
      <c r="R208" s="518"/>
      <c r="S208" s="559">
        <v>3200000</v>
      </c>
      <c r="T208" s="560"/>
    </row>
    <row r="209" spans="1:20" s="561" customFormat="1" ht="32.25" customHeight="1" x14ac:dyDescent="0.2">
      <c r="A209" s="552">
        <v>277</v>
      </c>
      <c r="B209" s="606">
        <v>45979</v>
      </c>
      <c r="C209" s="314" t="s">
        <v>811</v>
      </c>
      <c r="D209" s="568"/>
      <c r="E209" s="568">
        <v>1</v>
      </c>
      <c r="F209" s="314" t="s">
        <v>812</v>
      </c>
      <c r="G209" s="566" t="s">
        <v>222</v>
      </c>
      <c r="H209" s="318" t="s">
        <v>808</v>
      </c>
      <c r="I209" s="556" t="s">
        <v>809</v>
      </c>
      <c r="J209" s="314" t="s">
        <v>39</v>
      </c>
      <c r="K209" s="315" t="s">
        <v>1633</v>
      </c>
      <c r="L209" s="316">
        <v>229272</v>
      </c>
      <c r="M209" s="319">
        <v>1500000</v>
      </c>
      <c r="N209" s="518"/>
      <c r="O209" s="532"/>
      <c r="P209" s="558"/>
      <c r="Q209" s="518"/>
      <c r="R209" s="518"/>
      <c r="S209" s="559">
        <v>3200000</v>
      </c>
      <c r="T209" s="560"/>
    </row>
    <row r="210" spans="1:20" s="561" customFormat="1" ht="32.25" customHeight="1" x14ac:dyDescent="0.2">
      <c r="A210" s="552">
        <v>278</v>
      </c>
      <c r="B210" s="606">
        <v>45979</v>
      </c>
      <c r="C210" s="314" t="s">
        <v>811</v>
      </c>
      <c r="D210" s="568"/>
      <c r="E210" s="568">
        <v>1</v>
      </c>
      <c r="F210" s="314" t="s">
        <v>814</v>
      </c>
      <c r="G210" s="317" t="s">
        <v>368</v>
      </c>
      <c r="H210" s="318" t="s">
        <v>808</v>
      </c>
      <c r="I210" s="556" t="s">
        <v>809</v>
      </c>
      <c r="J210" s="314" t="s">
        <v>39</v>
      </c>
      <c r="K210" s="315" t="s">
        <v>1633</v>
      </c>
      <c r="L210" s="316">
        <v>229284</v>
      </c>
      <c r="M210" s="319">
        <v>1500000</v>
      </c>
      <c r="N210" s="518"/>
      <c r="O210" s="532"/>
      <c r="P210" s="558"/>
      <c r="Q210" s="518"/>
      <c r="R210" s="518"/>
      <c r="S210" s="559">
        <v>3200000</v>
      </c>
      <c r="T210" s="560"/>
    </row>
    <row r="211" spans="1:20" s="561" customFormat="1" ht="32.25" customHeight="1" x14ac:dyDescent="0.2">
      <c r="A211" s="552">
        <v>279</v>
      </c>
      <c r="B211" s="606">
        <v>45979</v>
      </c>
      <c r="C211" s="314" t="s">
        <v>811</v>
      </c>
      <c r="D211" s="568"/>
      <c r="E211" s="568">
        <v>1</v>
      </c>
      <c r="F211" s="314" t="s">
        <v>816</v>
      </c>
      <c r="G211" s="317" t="s">
        <v>216</v>
      </c>
      <c r="H211" s="318" t="s">
        <v>808</v>
      </c>
      <c r="I211" s="567" t="s">
        <v>809</v>
      </c>
      <c r="J211" s="314" t="s">
        <v>39</v>
      </c>
      <c r="K211" s="315" t="s">
        <v>1633</v>
      </c>
      <c r="L211" s="316">
        <v>229324</v>
      </c>
      <c r="M211" s="319">
        <v>1500000</v>
      </c>
      <c r="N211" s="518"/>
      <c r="O211" s="532"/>
      <c r="P211" s="558"/>
      <c r="Q211" s="518"/>
      <c r="R211" s="518"/>
      <c r="S211" s="559">
        <v>3200000</v>
      </c>
      <c r="T211" s="560"/>
    </row>
    <row r="212" spans="1:20" s="561" customFormat="1" ht="32.25" customHeight="1" x14ac:dyDescent="0.2">
      <c r="A212" s="552">
        <v>280</v>
      </c>
      <c r="B212" s="553">
        <v>45980</v>
      </c>
      <c r="C212" s="314">
        <v>2314261851</v>
      </c>
      <c r="D212" s="568"/>
      <c r="E212" s="568">
        <v>1</v>
      </c>
      <c r="F212" s="314" t="s">
        <v>818</v>
      </c>
      <c r="G212" s="317" t="s">
        <v>210</v>
      </c>
      <c r="H212" s="318" t="s">
        <v>199</v>
      </c>
      <c r="I212" s="556" t="s">
        <v>200</v>
      </c>
      <c r="J212" s="314" t="s">
        <v>1631</v>
      </c>
      <c r="K212" s="315" t="s">
        <v>39</v>
      </c>
      <c r="L212" s="317">
        <v>418581</v>
      </c>
      <c r="M212" s="319">
        <v>1500000</v>
      </c>
      <c r="N212" s="518"/>
      <c r="O212" s="532"/>
      <c r="P212" s="558"/>
      <c r="Q212" s="518"/>
      <c r="R212" s="518"/>
      <c r="S212" s="559">
        <v>4700000</v>
      </c>
      <c r="T212" s="560"/>
    </row>
    <row r="213" spans="1:20" s="561" customFormat="1" ht="32.25" customHeight="1" x14ac:dyDescent="0.2">
      <c r="A213" s="552">
        <v>281</v>
      </c>
      <c r="B213" s="553">
        <v>45980</v>
      </c>
      <c r="C213" s="314">
        <v>2314261851</v>
      </c>
      <c r="D213" s="568"/>
      <c r="E213" s="568">
        <v>1</v>
      </c>
      <c r="F213" s="314" t="s">
        <v>819</v>
      </c>
      <c r="G213" s="317" t="s">
        <v>213</v>
      </c>
      <c r="H213" s="318" t="s">
        <v>199</v>
      </c>
      <c r="I213" s="556" t="s">
        <v>200</v>
      </c>
      <c r="J213" s="314" t="s">
        <v>1631</v>
      </c>
      <c r="K213" s="315" t="s">
        <v>39</v>
      </c>
      <c r="L213" s="317">
        <v>418760</v>
      </c>
      <c r="M213" s="319">
        <v>1500000</v>
      </c>
      <c r="N213" s="518"/>
      <c r="O213" s="532"/>
      <c r="P213" s="558"/>
      <c r="Q213" s="518"/>
      <c r="R213" s="518"/>
      <c r="S213" s="559">
        <v>4700000</v>
      </c>
      <c r="T213" s="560"/>
    </row>
    <row r="214" spans="1:20" s="561" customFormat="1" ht="32.25" customHeight="1" x14ac:dyDescent="0.2">
      <c r="A214" s="552">
        <v>282</v>
      </c>
      <c r="B214" s="553">
        <v>45980</v>
      </c>
      <c r="C214" s="314">
        <v>2314261851</v>
      </c>
      <c r="D214" s="568"/>
      <c r="E214" s="568">
        <v>1</v>
      </c>
      <c r="F214" s="314" t="s">
        <v>820</v>
      </c>
      <c r="G214" s="317" t="s">
        <v>194</v>
      </c>
      <c r="H214" s="318" t="s">
        <v>199</v>
      </c>
      <c r="I214" s="556" t="s">
        <v>200</v>
      </c>
      <c r="J214" s="314" t="s">
        <v>1631</v>
      </c>
      <c r="K214" s="315" t="s">
        <v>39</v>
      </c>
      <c r="L214" s="317">
        <v>418475</v>
      </c>
      <c r="M214" s="319">
        <v>1500000</v>
      </c>
      <c r="N214" s="518"/>
      <c r="O214" s="532"/>
      <c r="P214" s="558"/>
      <c r="Q214" s="518"/>
      <c r="R214" s="518"/>
      <c r="S214" s="559">
        <v>4700000</v>
      </c>
      <c r="T214" s="560"/>
    </row>
    <row r="215" spans="1:20" s="561" customFormat="1" ht="32.25" customHeight="1" x14ac:dyDescent="0.2">
      <c r="A215" s="552">
        <v>283</v>
      </c>
      <c r="B215" s="553">
        <v>45980</v>
      </c>
      <c r="C215" s="314">
        <v>2314261851</v>
      </c>
      <c r="D215" s="568"/>
      <c r="E215" s="568">
        <v>1</v>
      </c>
      <c r="F215" s="314" t="s">
        <v>821</v>
      </c>
      <c r="G215" s="317" t="s">
        <v>225</v>
      </c>
      <c r="H215" s="318" t="s">
        <v>199</v>
      </c>
      <c r="I215" s="556" t="s">
        <v>200</v>
      </c>
      <c r="J215" s="315" t="s">
        <v>1631</v>
      </c>
      <c r="K215" s="314" t="s">
        <v>39</v>
      </c>
      <c r="L215" s="576">
        <v>417570</v>
      </c>
      <c r="M215" s="319">
        <v>1500000</v>
      </c>
      <c r="N215" s="518"/>
      <c r="O215" s="532"/>
      <c r="P215" s="558"/>
      <c r="Q215" s="518"/>
      <c r="R215" s="518"/>
      <c r="S215" s="559">
        <v>4700000</v>
      </c>
      <c r="T215" s="560"/>
    </row>
    <row r="216" spans="1:20" s="561" customFormat="1" ht="32.25" customHeight="1" x14ac:dyDescent="0.2">
      <c r="A216" s="552">
        <v>284</v>
      </c>
      <c r="B216" s="553">
        <v>45980</v>
      </c>
      <c r="C216" s="568">
        <v>261827811</v>
      </c>
      <c r="D216" s="568"/>
      <c r="E216" s="568">
        <v>1</v>
      </c>
      <c r="F216" s="314" t="s">
        <v>822</v>
      </c>
      <c r="G216" s="317" t="s">
        <v>349</v>
      </c>
      <c r="H216" s="318" t="s">
        <v>1658</v>
      </c>
      <c r="I216" s="556" t="s">
        <v>200</v>
      </c>
      <c r="J216" s="315" t="s">
        <v>824</v>
      </c>
      <c r="K216" s="314" t="s">
        <v>39</v>
      </c>
      <c r="L216" s="316">
        <v>183805</v>
      </c>
      <c r="M216" s="319">
        <v>1280000</v>
      </c>
      <c r="N216" s="518"/>
      <c r="O216" s="532"/>
      <c r="P216" s="558"/>
      <c r="Q216" s="518"/>
      <c r="R216" s="518"/>
      <c r="S216" s="559">
        <v>4500000</v>
      </c>
      <c r="T216" s="560"/>
    </row>
    <row r="217" spans="1:20" s="561" customFormat="1" ht="32.25" customHeight="1" x14ac:dyDescent="0.2">
      <c r="A217" s="552">
        <v>285</v>
      </c>
      <c r="B217" s="553">
        <v>45980</v>
      </c>
      <c r="C217" s="314">
        <v>261827811</v>
      </c>
      <c r="D217" s="568"/>
      <c r="E217" s="568">
        <v>1</v>
      </c>
      <c r="F217" s="314" t="s">
        <v>825</v>
      </c>
      <c r="G217" s="317" t="s">
        <v>338</v>
      </c>
      <c r="H217" s="318" t="s">
        <v>1658</v>
      </c>
      <c r="I217" s="556" t="s">
        <v>200</v>
      </c>
      <c r="J217" s="314" t="s">
        <v>824</v>
      </c>
      <c r="K217" s="314" t="s">
        <v>39</v>
      </c>
      <c r="L217" s="576">
        <v>183385</v>
      </c>
      <c r="M217" s="319">
        <v>1280000</v>
      </c>
      <c r="N217" s="518"/>
      <c r="O217" s="532"/>
      <c r="P217" s="558"/>
      <c r="Q217" s="518"/>
      <c r="R217" s="518"/>
      <c r="S217" s="559">
        <v>4500000</v>
      </c>
      <c r="T217" s="560"/>
    </row>
    <row r="218" spans="1:20" s="561" customFormat="1" ht="32.25" customHeight="1" x14ac:dyDescent="0.2">
      <c r="A218" s="552">
        <v>286</v>
      </c>
      <c r="B218" s="553">
        <v>45980</v>
      </c>
      <c r="C218" s="314">
        <v>261827811</v>
      </c>
      <c r="D218" s="568"/>
      <c r="E218" s="568">
        <v>1</v>
      </c>
      <c r="F218" s="314" t="s">
        <v>826</v>
      </c>
      <c r="G218" s="317" t="s">
        <v>335</v>
      </c>
      <c r="H218" s="318" t="s">
        <v>1658</v>
      </c>
      <c r="I218" s="556" t="s">
        <v>200</v>
      </c>
      <c r="J218" s="314" t="s">
        <v>824</v>
      </c>
      <c r="K218" s="314" t="s">
        <v>39</v>
      </c>
      <c r="L218" s="576">
        <v>183728</v>
      </c>
      <c r="M218" s="319">
        <v>1280000</v>
      </c>
      <c r="N218" s="518"/>
      <c r="O218" s="532"/>
      <c r="P218" s="558"/>
      <c r="Q218" s="518"/>
      <c r="R218" s="518"/>
      <c r="S218" s="559">
        <v>4500000</v>
      </c>
      <c r="T218" s="560"/>
    </row>
    <row r="219" spans="1:20" s="561" customFormat="1" ht="32.25" customHeight="1" x14ac:dyDescent="0.2">
      <c r="A219" s="552">
        <v>287</v>
      </c>
      <c r="B219" s="553">
        <v>45980</v>
      </c>
      <c r="C219" s="568" t="s">
        <v>827</v>
      </c>
      <c r="D219" s="568"/>
      <c r="E219" s="568">
        <v>1</v>
      </c>
      <c r="F219" s="314" t="s">
        <v>828</v>
      </c>
      <c r="G219" s="566" t="s">
        <v>308</v>
      </c>
      <c r="H219" s="320" t="s">
        <v>829</v>
      </c>
      <c r="I219" s="609" t="s">
        <v>830</v>
      </c>
      <c r="J219" s="315" t="s">
        <v>39</v>
      </c>
      <c r="K219" s="314" t="s">
        <v>1638</v>
      </c>
      <c r="L219" s="576">
        <v>62111</v>
      </c>
      <c r="M219" s="319">
        <v>1500000</v>
      </c>
      <c r="N219" s="518"/>
      <c r="O219" s="532"/>
      <c r="P219" s="558"/>
      <c r="Q219" s="518"/>
      <c r="R219" s="518"/>
      <c r="S219" s="559">
        <v>2800000</v>
      </c>
      <c r="T219" s="560"/>
    </row>
    <row r="220" spans="1:20" s="561" customFormat="1" ht="32.25" customHeight="1" x14ac:dyDescent="0.2">
      <c r="A220" s="552">
        <v>288</v>
      </c>
      <c r="B220" s="553">
        <v>45980</v>
      </c>
      <c r="C220" s="314">
        <v>7264025450</v>
      </c>
      <c r="D220" s="568"/>
      <c r="E220" s="568">
        <v>1</v>
      </c>
      <c r="F220" s="314" t="s">
        <v>832</v>
      </c>
      <c r="G220" s="317" t="s">
        <v>688</v>
      </c>
      <c r="H220" s="318" t="s">
        <v>1656</v>
      </c>
      <c r="I220" s="556" t="s">
        <v>834</v>
      </c>
      <c r="J220" s="315" t="s">
        <v>39</v>
      </c>
      <c r="K220" s="314" t="s">
        <v>39</v>
      </c>
      <c r="L220" s="316"/>
      <c r="M220" s="319" t="s">
        <v>1643</v>
      </c>
      <c r="N220" s="518"/>
      <c r="O220" s="532"/>
      <c r="P220" s="558"/>
      <c r="Q220" s="518"/>
      <c r="R220" s="518"/>
      <c r="S220" s="559">
        <v>4500000</v>
      </c>
      <c r="T220" s="560"/>
    </row>
    <row r="221" spans="1:20" s="561" customFormat="1" ht="32.25" customHeight="1" x14ac:dyDescent="0.2">
      <c r="A221" s="552">
        <v>289</v>
      </c>
      <c r="B221" s="553">
        <v>45980</v>
      </c>
      <c r="C221" s="314" t="s">
        <v>835</v>
      </c>
      <c r="D221" s="568"/>
      <c r="E221" s="568">
        <v>1</v>
      </c>
      <c r="F221" s="314" t="s">
        <v>836</v>
      </c>
      <c r="G221" s="317" t="s">
        <v>341</v>
      </c>
      <c r="H221" s="315" t="s">
        <v>172</v>
      </c>
      <c r="I221" s="556" t="s">
        <v>173</v>
      </c>
      <c r="J221" s="314" t="s">
        <v>1629</v>
      </c>
      <c r="K221" s="314" t="s">
        <v>39</v>
      </c>
      <c r="L221" s="576">
        <v>418875</v>
      </c>
      <c r="M221" s="319">
        <v>1500000</v>
      </c>
      <c r="N221" s="518"/>
      <c r="O221" s="532"/>
      <c r="P221" s="558"/>
      <c r="Q221" s="518"/>
      <c r="R221" s="518"/>
      <c r="S221" s="559">
        <v>2700000</v>
      </c>
      <c r="T221" s="560"/>
    </row>
    <row r="222" spans="1:20" s="561" customFormat="1" ht="32.25" customHeight="1" x14ac:dyDescent="0.2">
      <c r="A222" s="552">
        <v>290</v>
      </c>
      <c r="B222" s="553">
        <v>45980</v>
      </c>
      <c r="C222" s="314" t="s">
        <v>835</v>
      </c>
      <c r="D222" s="568"/>
      <c r="E222" s="568">
        <v>1</v>
      </c>
      <c r="F222" s="314" t="s">
        <v>838</v>
      </c>
      <c r="G222" s="317" t="s">
        <v>216</v>
      </c>
      <c r="H222" s="315" t="s">
        <v>172</v>
      </c>
      <c r="I222" s="556" t="s">
        <v>173</v>
      </c>
      <c r="J222" s="314" t="s">
        <v>1629</v>
      </c>
      <c r="K222" s="314" t="s">
        <v>39</v>
      </c>
      <c r="L222" s="576">
        <v>418847</v>
      </c>
      <c r="M222" s="319">
        <v>1500000</v>
      </c>
      <c r="N222" s="518"/>
      <c r="O222" s="532"/>
      <c r="P222" s="558"/>
      <c r="Q222" s="518"/>
      <c r="R222" s="518"/>
      <c r="S222" s="559">
        <v>2700000</v>
      </c>
      <c r="T222" s="560"/>
    </row>
    <row r="223" spans="1:20" s="561" customFormat="1" ht="32.25" customHeight="1" x14ac:dyDescent="0.2">
      <c r="A223" s="552">
        <v>291</v>
      </c>
      <c r="B223" s="553">
        <v>45980</v>
      </c>
      <c r="C223" s="314" t="s">
        <v>840</v>
      </c>
      <c r="D223" s="568"/>
      <c r="E223" s="568">
        <v>1</v>
      </c>
      <c r="F223" s="583" t="s">
        <v>841</v>
      </c>
      <c r="G223" s="317" t="s">
        <v>368</v>
      </c>
      <c r="H223" s="317" t="s">
        <v>298</v>
      </c>
      <c r="I223" s="556" t="s">
        <v>299</v>
      </c>
      <c r="J223" s="314" t="s">
        <v>617</v>
      </c>
      <c r="K223" s="314" t="s">
        <v>1634</v>
      </c>
      <c r="L223" s="576">
        <v>8134</v>
      </c>
      <c r="M223" s="319">
        <v>1500000</v>
      </c>
      <c r="N223" s="518"/>
      <c r="O223" s="532"/>
      <c r="P223" s="558"/>
      <c r="Q223" s="518"/>
      <c r="R223" s="610">
        <v>260000</v>
      </c>
      <c r="S223" s="559">
        <v>5300000</v>
      </c>
      <c r="T223" s="560"/>
    </row>
    <row r="224" spans="1:20" s="561" customFormat="1" ht="32.25" customHeight="1" x14ac:dyDescent="0.2">
      <c r="A224" s="552">
        <v>292</v>
      </c>
      <c r="B224" s="553">
        <v>45980</v>
      </c>
      <c r="C224" s="314">
        <v>7264025450</v>
      </c>
      <c r="D224" s="568"/>
      <c r="E224" s="568">
        <v>1</v>
      </c>
      <c r="F224" s="314" t="s">
        <v>832</v>
      </c>
      <c r="G224" s="566" t="s">
        <v>308</v>
      </c>
      <c r="H224" s="318" t="s">
        <v>1657</v>
      </c>
      <c r="I224" s="556" t="s">
        <v>834</v>
      </c>
      <c r="J224" s="314"/>
      <c r="K224" s="314" t="s">
        <v>39</v>
      </c>
      <c r="L224" s="317"/>
      <c r="M224" s="319" t="s">
        <v>1643</v>
      </c>
      <c r="N224" s="518"/>
      <c r="O224" s="532"/>
      <c r="P224" s="558"/>
      <c r="Q224" s="518"/>
      <c r="R224" s="518"/>
      <c r="S224" s="559">
        <f>4500000*70%</f>
        <v>3150000</v>
      </c>
      <c r="T224" s="560"/>
    </row>
    <row r="225" spans="1:20" s="561" customFormat="1" ht="32.25" customHeight="1" x14ac:dyDescent="0.2">
      <c r="A225" s="552">
        <v>293</v>
      </c>
      <c r="B225" s="553">
        <v>45980</v>
      </c>
      <c r="C225" s="314">
        <v>2315318270</v>
      </c>
      <c r="D225" s="568"/>
      <c r="E225" s="568">
        <v>1</v>
      </c>
      <c r="F225" s="314" t="s">
        <v>844</v>
      </c>
      <c r="G225" s="317" t="s">
        <v>341</v>
      </c>
      <c r="H225" s="317" t="s">
        <v>298</v>
      </c>
      <c r="I225" s="556" t="s">
        <v>299</v>
      </c>
      <c r="J225" s="314" t="s">
        <v>1631</v>
      </c>
      <c r="K225" s="314" t="s">
        <v>39</v>
      </c>
      <c r="L225" s="317">
        <v>417982</v>
      </c>
      <c r="M225" s="319">
        <v>1500000</v>
      </c>
      <c r="N225" s="518"/>
      <c r="O225" s="532"/>
      <c r="P225" s="558"/>
      <c r="Q225" s="518"/>
      <c r="R225" s="518"/>
      <c r="S225" s="559">
        <v>5300000</v>
      </c>
      <c r="T225" s="560"/>
    </row>
    <row r="226" spans="1:20" s="561" customFormat="1" ht="32.25" customHeight="1" x14ac:dyDescent="0.2">
      <c r="A226" s="552">
        <v>294</v>
      </c>
      <c r="B226" s="553">
        <v>45980</v>
      </c>
      <c r="C226" s="314">
        <v>2315318270</v>
      </c>
      <c r="D226" s="568"/>
      <c r="E226" s="568">
        <v>1</v>
      </c>
      <c r="F226" s="314" t="s">
        <v>846</v>
      </c>
      <c r="G226" s="317" t="s">
        <v>302</v>
      </c>
      <c r="H226" s="317" t="s">
        <v>298</v>
      </c>
      <c r="I226" s="556" t="s">
        <v>299</v>
      </c>
      <c r="J226" s="314" t="s">
        <v>1631</v>
      </c>
      <c r="K226" s="314" t="s">
        <v>39</v>
      </c>
      <c r="L226" s="317">
        <v>417845</v>
      </c>
      <c r="M226" s="319">
        <v>1500000</v>
      </c>
      <c r="N226" s="518"/>
      <c r="O226" s="532"/>
      <c r="P226" s="558"/>
      <c r="Q226" s="518"/>
      <c r="R226" s="518"/>
      <c r="S226" s="559">
        <v>5300000</v>
      </c>
      <c r="T226" s="560"/>
    </row>
    <row r="227" spans="1:20" s="561" customFormat="1" ht="32.25" customHeight="1" x14ac:dyDescent="0.2">
      <c r="A227" s="552">
        <v>295</v>
      </c>
      <c r="B227" s="553">
        <v>45980</v>
      </c>
      <c r="C227" s="314" t="s">
        <v>848</v>
      </c>
      <c r="D227" s="568"/>
      <c r="E227" s="568">
        <v>1</v>
      </c>
      <c r="F227" s="568" t="s">
        <v>849</v>
      </c>
      <c r="G227" s="317" t="s">
        <v>191</v>
      </c>
      <c r="H227" s="318" t="s">
        <v>829</v>
      </c>
      <c r="I227" s="609" t="s">
        <v>830</v>
      </c>
      <c r="J227" s="314" t="s">
        <v>39</v>
      </c>
      <c r="K227" s="314" t="s">
        <v>1638</v>
      </c>
      <c r="L227" s="317">
        <v>62074</v>
      </c>
      <c r="M227" s="319">
        <v>1500000</v>
      </c>
      <c r="N227" s="518"/>
      <c r="O227" s="532"/>
      <c r="P227" s="558"/>
      <c r="Q227" s="518"/>
      <c r="R227" s="518"/>
      <c r="S227" s="559">
        <v>2800000</v>
      </c>
      <c r="T227" s="560"/>
    </row>
    <row r="228" spans="1:20" s="561" customFormat="1" ht="32.25" customHeight="1" x14ac:dyDescent="0.2">
      <c r="A228" s="552">
        <v>296</v>
      </c>
      <c r="B228" s="553">
        <v>45981</v>
      </c>
      <c r="C228" s="314" t="s">
        <v>851</v>
      </c>
      <c r="D228" s="568"/>
      <c r="E228" s="568">
        <v>1</v>
      </c>
      <c r="F228" s="314" t="s">
        <v>852</v>
      </c>
      <c r="G228" s="566" t="s">
        <v>171</v>
      </c>
      <c r="H228" s="568" t="s">
        <v>1055</v>
      </c>
      <c r="I228" s="556" t="s">
        <v>720</v>
      </c>
      <c r="J228" s="314" t="s">
        <v>853</v>
      </c>
      <c r="K228" s="314" t="s">
        <v>39</v>
      </c>
      <c r="L228" s="317">
        <v>145129</v>
      </c>
      <c r="M228" s="319">
        <v>1512000</v>
      </c>
      <c r="N228" s="518"/>
      <c r="O228" s="532"/>
      <c r="P228" s="558"/>
      <c r="Q228" s="518"/>
      <c r="R228" s="518"/>
      <c r="S228" s="559">
        <v>4000000</v>
      </c>
      <c r="T228" s="560"/>
    </row>
    <row r="229" spans="1:20" s="561" customFormat="1" ht="32.25" customHeight="1" x14ac:dyDescent="0.2">
      <c r="A229" s="552">
        <v>297</v>
      </c>
      <c r="B229" s="553">
        <v>45981</v>
      </c>
      <c r="C229" s="314" t="s">
        <v>851</v>
      </c>
      <c r="D229" s="568"/>
      <c r="E229" s="568">
        <v>1</v>
      </c>
      <c r="F229" s="314" t="s">
        <v>854</v>
      </c>
      <c r="G229" s="317" t="s">
        <v>338</v>
      </c>
      <c r="H229" s="568" t="s">
        <v>1055</v>
      </c>
      <c r="I229" s="556" t="s">
        <v>720</v>
      </c>
      <c r="J229" s="315" t="s">
        <v>853</v>
      </c>
      <c r="K229" s="314" t="s">
        <v>39</v>
      </c>
      <c r="L229" s="576">
        <v>145265</v>
      </c>
      <c r="M229" s="319">
        <v>1512000</v>
      </c>
      <c r="N229" s="518"/>
      <c r="O229" s="532"/>
      <c r="P229" s="558"/>
      <c r="Q229" s="518"/>
      <c r="R229" s="518"/>
      <c r="S229" s="559">
        <v>4000000</v>
      </c>
      <c r="T229" s="560"/>
    </row>
    <row r="230" spans="1:20" s="561" customFormat="1" ht="32.25" customHeight="1" x14ac:dyDescent="0.2">
      <c r="A230" s="552">
        <v>298</v>
      </c>
      <c r="B230" s="553">
        <v>45981</v>
      </c>
      <c r="C230" s="314" t="s">
        <v>851</v>
      </c>
      <c r="D230" s="568"/>
      <c r="E230" s="568">
        <v>1</v>
      </c>
      <c r="F230" s="314" t="s">
        <v>855</v>
      </c>
      <c r="G230" s="317" t="s">
        <v>305</v>
      </c>
      <c r="H230" s="568" t="s">
        <v>1055</v>
      </c>
      <c r="I230" s="556" t="s">
        <v>720</v>
      </c>
      <c r="J230" s="314" t="s">
        <v>853</v>
      </c>
      <c r="K230" s="568" t="s">
        <v>39</v>
      </c>
      <c r="L230" s="576">
        <v>144913</v>
      </c>
      <c r="M230" s="319">
        <v>1512000</v>
      </c>
      <c r="N230" s="518"/>
      <c r="O230" s="532"/>
      <c r="P230" s="558"/>
      <c r="Q230" s="518"/>
      <c r="R230" s="518"/>
      <c r="S230" s="559">
        <v>4000000</v>
      </c>
      <c r="T230" s="560"/>
    </row>
    <row r="231" spans="1:20" s="561" customFormat="1" ht="32.25" customHeight="1" x14ac:dyDescent="0.2">
      <c r="A231" s="552">
        <v>299</v>
      </c>
      <c r="B231" s="553">
        <v>45981</v>
      </c>
      <c r="C231" s="314" t="s">
        <v>851</v>
      </c>
      <c r="D231" s="568"/>
      <c r="E231" s="568">
        <v>1</v>
      </c>
      <c r="F231" s="317" t="s">
        <v>856</v>
      </c>
      <c r="G231" s="317" t="s">
        <v>349</v>
      </c>
      <c r="H231" s="568" t="s">
        <v>1055</v>
      </c>
      <c r="I231" s="556" t="s">
        <v>720</v>
      </c>
      <c r="J231" s="597" t="s">
        <v>853</v>
      </c>
      <c r="K231" s="574" t="s">
        <v>39</v>
      </c>
      <c r="L231" s="605">
        <v>144895</v>
      </c>
      <c r="M231" s="558">
        <v>1512000</v>
      </c>
      <c r="N231" s="518"/>
      <c r="O231" s="532"/>
      <c r="P231" s="558"/>
      <c r="Q231" s="518"/>
      <c r="R231" s="518"/>
      <c r="S231" s="559">
        <v>4000000</v>
      </c>
      <c r="T231" s="560"/>
    </row>
    <row r="232" spans="1:20" s="561" customFormat="1" ht="32.25" customHeight="1" x14ac:dyDescent="0.2">
      <c r="A232" s="552">
        <v>300</v>
      </c>
      <c r="B232" s="562">
        <v>45981</v>
      </c>
      <c r="C232" s="563" t="s">
        <v>851</v>
      </c>
      <c r="D232" s="579"/>
      <c r="E232" s="579">
        <v>1</v>
      </c>
      <c r="F232" s="563" t="s">
        <v>857</v>
      </c>
      <c r="G232" s="600" t="s">
        <v>335</v>
      </c>
      <c r="H232" s="568" t="s">
        <v>1055</v>
      </c>
      <c r="I232" s="556" t="s">
        <v>720</v>
      </c>
      <c r="J232" s="598" t="s">
        <v>853</v>
      </c>
      <c r="K232" s="587" t="s">
        <v>39</v>
      </c>
      <c r="L232" s="608">
        <v>144897</v>
      </c>
      <c r="M232" s="611">
        <v>1512000</v>
      </c>
      <c r="N232" s="612"/>
      <c r="O232" s="613"/>
      <c r="P232" s="558"/>
      <c r="Q232" s="518"/>
      <c r="R232" s="518"/>
      <c r="S232" s="559">
        <v>4000000</v>
      </c>
      <c r="T232" s="560"/>
    </row>
    <row r="233" spans="1:20" s="561" customFormat="1" ht="32.25" customHeight="1" x14ac:dyDescent="0.2">
      <c r="A233" s="552">
        <v>301</v>
      </c>
      <c r="B233" s="553">
        <v>45981</v>
      </c>
      <c r="C233" s="314">
        <v>7264348370</v>
      </c>
      <c r="D233" s="568"/>
      <c r="E233" s="568">
        <v>1</v>
      </c>
      <c r="F233" s="314" t="s">
        <v>858</v>
      </c>
      <c r="G233" s="568" t="s">
        <v>213</v>
      </c>
      <c r="H233" s="568" t="s">
        <v>180</v>
      </c>
      <c r="I233" s="556" t="s">
        <v>181</v>
      </c>
      <c r="J233" s="315" t="s">
        <v>1640</v>
      </c>
      <c r="K233" s="314" t="s">
        <v>39</v>
      </c>
      <c r="L233" s="576">
        <v>306255</v>
      </c>
      <c r="M233" s="319">
        <v>1500000</v>
      </c>
      <c r="N233" s="518"/>
      <c r="O233" s="532"/>
      <c r="P233" s="558"/>
      <c r="Q233" s="518"/>
      <c r="R233" s="518"/>
      <c r="S233" s="559">
        <v>4500000</v>
      </c>
      <c r="T233" s="560"/>
    </row>
    <row r="234" spans="1:20" s="561" customFormat="1" ht="32.25" customHeight="1" x14ac:dyDescent="0.2">
      <c r="A234" s="552">
        <v>302</v>
      </c>
      <c r="B234" s="553">
        <v>45981</v>
      </c>
      <c r="C234" s="314" t="s">
        <v>860</v>
      </c>
      <c r="D234" s="568"/>
      <c r="E234" s="568">
        <v>1</v>
      </c>
      <c r="F234" s="314" t="s">
        <v>861</v>
      </c>
      <c r="G234" s="594" t="s">
        <v>308</v>
      </c>
      <c r="H234" s="568" t="s">
        <v>180</v>
      </c>
      <c r="I234" s="556" t="s">
        <v>181</v>
      </c>
      <c r="J234" s="315" t="s">
        <v>39</v>
      </c>
      <c r="K234" s="314" t="s">
        <v>201</v>
      </c>
      <c r="L234" s="576">
        <v>32174</v>
      </c>
      <c r="M234" s="319">
        <v>1566000</v>
      </c>
      <c r="N234" s="518"/>
      <c r="O234" s="532"/>
      <c r="P234" s="558"/>
      <c r="Q234" s="518"/>
      <c r="R234" s="518"/>
      <c r="S234" s="559">
        <v>4500000</v>
      </c>
      <c r="T234" s="560"/>
    </row>
    <row r="235" spans="1:20" s="561" customFormat="1" ht="32.25" customHeight="1" x14ac:dyDescent="0.2">
      <c r="A235" s="552">
        <v>303</v>
      </c>
      <c r="B235" s="553">
        <v>45981</v>
      </c>
      <c r="C235" s="568">
        <v>262055451</v>
      </c>
      <c r="D235" s="568"/>
      <c r="E235" s="568">
        <v>1</v>
      </c>
      <c r="F235" s="314" t="s">
        <v>863</v>
      </c>
      <c r="G235" s="314" t="s">
        <v>225</v>
      </c>
      <c r="H235" s="318" t="s">
        <v>1658</v>
      </c>
      <c r="I235" s="556" t="s">
        <v>200</v>
      </c>
      <c r="J235" s="315" t="s">
        <v>1637</v>
      </c>
      <c r="K235" s="568" t="s">
        <v>39</v>
      </c>
      <c r="L235" s="576">
        <v>130125</v>
      </c>
      <c r="M235" s="319">
        <v>1450000</v>
      </c>
      <c r="N235" s="518"/>
      <c r="O235" s="532"/>
      <c r="P235" s="558"/>
      <c r="Q235" s="518"/>
      <c r="R235" s="518">
        <v>260000</v>
      </c>
      <c r="S235" s="559">
        <v>4500000</v>
      </c>
      <c r="T235" s="560"/>
    </row>
    <row r="236" spans="1:20" s="561" customFormat="1" ht="32.25" customHeight="1" x14ac:dyDescent="0.2">
      <c r="A236" s="552">
        <v>304</v>
      </c>
      <c r="B236" s="553">
        <v>45981</v>
      </c>
      <c r="C236" s="568">
        <v>262055451</v>
      </c>
      <c r="D236" s="568"/>
      <c r="E236" s="568">
        <v>1</v>
      </c>
      <c r="F236" s="314" t="s">
        <v>865</v>
      </c>
      <c r="G236" s="314" t="s">
        <v>866</v>
      </c>
      <c r="H236" s="318" t="s">
        <v>1658</v>
      </c>
      <c r="I236" s="567" t="s">
        <v>200</v>
      </c>
      <c r="J236" s="315" t="s">
        <v>1637</v>
      </c>
      <c r="K236" s="568" t="s">
        <v>39</v>
      </c>
      <c r="L236" s="576">
        <v>3304</v>
      </c>
      <c r="M236" s="319">
        <v>1500000</v>
      </c>
      <c r="N236" s="518"/>
      <c r="O236" s="532"/>
      <c r="P236" s="558"/>
      <c r="Q236" s="518"/>
      <c r="R236" s="518">
        <v>260000</v>
      </c>
      <c r="S236" s="559">
        <v>4500000</v>
      </c>
      <c r="T236" s="560"/>
    </row>
    <row r="237" spans="1:20" s="561" customFormat="1" ht="32.25" customHeight="1" x14ac:dyDescent="0.2">
      <c r="A237" s="552">
        <v>305</v>
      </c>
      <c r="B237" s="553">
        <v>45982</v>
      </c>
      <c r="C237" s="568" t="s">
        <v>868</v>
      </c>
      <c r="D237" s="568"/>
      <c r="E237" s="568">
        <v>1</v>
      </c>
      <c r="F237" s="314" t="s">
        <v>869</v>
      </c>
      <c r="G237" s="314" t="s">
        <v>870</v>
      </c>
      <c r="H237" s="568" t="s">
        <v>180</v>
      </c>
      <c r="I237" s="556" t="s">
        <v>181</v>
      </c>
      <c r="J237" s="315" t="s">
        <v>39</v>
      </c>
      <c r="K237" s="568" t="s">
        <v>1629</v>
      </c>
      <c r="L237" s="576">
        <v>232453</v>
      </c>
      <c r="M237" s="319">
        <v>1500000</v>
      </c>
      <c r="N237" s="518"/>
      <c r="O237" s="532"/>
      <c r="P237" s="558"/>
      <c r="Q237" s="518"/>
      <c r="R237" s="518"/>
      <c r="S237" s="559">
        <v>4500000</v>
      </c>
      <c r="T237" s="560"/>
    </row>
    <row r="238" spans="1:20" s="561" customFormat="1" ht="32.25" customHeight="1" x14ac:dyDescent="0.2">
      <c r="A238" s="552">
        <v>306</v>
      </c>
      <c r="B238" s="553">
        <v>45982</v>
      </c>
      <c r="C238" s="314" t="s">
        <v>868</v>
      </c>
      <c r="D238" s="568"/>
      <c r="E238" s="568">
        <v>1</v>
      </c>
      <c r="F238" s="583" t="s">
        <v>872</v>
      </c>
      <c r="G238" s="314" t="s">
        <v>873</v>
      </c>
      <c r="H238" s="568" t="s">
        <v>180</v>
      </c>
      <c r="I238" s="556" t="s">
        <v>181</v>
      </c>
      <c r="J238" s="568" t="s">
        <v>39</v>
      </c>
      <c r="K238" s="314" t="s">
        <v>1629</v>
      </c>
      <c r="L238" s="576">
        <v>232382</v>
      </c>
      <c r="M238" s="319">
        <v>1500000</v>
      </c>
      <c r="N238" s="518"/>
      <c r="O238" s="532"/>
      <c r="P238" s="558"/>
      <c r="Q238" s="518"/>
      <c r="R238" s="518"/>
      <c r="S238" s="559">
        <v>4500000</v>
      </c>
      <c r="T238" s="560"/>
    </row>
    <row r="239" spans="1:20" s="561" customFormat="1" ht="32.25" customHeight="1" x14ac:dyDescent="0.2">
      <c r="A239" s="552">
        <v>307</v>
      </c>
      <c r="B239" s="553">
        <v>45982</v>
      </c>
      <c r="C239" s="314" t="s">
        <v>860</v>
      </c>
      <c r="D239" s="568"/>
      <c r="E239" s="568">
        <v>1</v>
      </c>
      <c r="F239" s="314" t="s">
        <v>1145</v>
      </c>
      <c r="G239" s="314" t="s">
        <v>755</v>
      </c>
      <c r="H239" s="568" t="s">
        <v>180</v>
      </c>
      <c r="I239" s="556" t="s">
        <v>181</v>
      </c>
      <c r="J239" s="568" t="s">
        <v>39</v>
      </c>
      <c r="K239" s="314" t="s">
        <v>201</v>
      </c>
      <c r="L239" s="576">
        <v>32860</v>
      </c>
      <c r="M239" s="319">
        <v>1566000</v>
      </c>
      <c r="N239" s="518"/>
      <c r="O239" s="532"/>
      <c r="P239" s="558"/>
      <c r="Q239" s="518"/>
      <c r="R239" s="518"/>
      <c r="S239" s="559">
        <v>4500000</v>
      </c>
      <c r="T239" s="560"/>
    </row>
    <row r="240" spans="1:20" s="561" customFormat="1" ht="32.25" customHeight="1" x14ac:dyDescent="0.2">
      <c r="A240" s="552">
        <v>308</v>
      </c>
      <c r="B240" s="553">
        <v>45982</v>
      </c>
      <c r="C240" s="568" t="s">
        <v>860</v>
      </c>
      <c r="D240" s="568"/>
      <c r="E240" s="568">
        <v>1</v>
      </c>
      <c r="F240" s="583" t="s">
        <v>875</v>
      </c>
      <c r="G240" s="314" t="s">
        <v>876</v>
      </c>
      <c r="H240" s="568" t="s">
        <v>180</v>
      </c>
      <c r="I240" s="556" t="s">
        <v>181</v>
      </c>
      <c r="J240" s="315" t="s">
        <v>39</v>
      </c>
      <c r="K240" s="568" t="s">
        <v>201</v>
      </c>
      <c r="L240" s="576">
        <v>32591</v>
      </c>
      <c r="M240" s="319">
        <v>1566000</v>
      </c>
      <c r="N240" s="518"/>
      <c r="O240" s="532"/>
      <c r="P240" s="558"/>
      <c r="Q240" s="518"/>
      <c r="R240" s="518"/>
      <c r="S240" s="559">
        <v>4500000</v>
      </c>
      <c r="T240" s="560"/>
    </row>
    <row r="241" spans="1:20" s="561" customFormat="1" ht="32.25" customHeight="1" x14ac:dyDescent="0.2">
      <c r="A241" s="552">
        <v>309</v>
      </c>
      <c r="B241" s="553">
        <v>45982</v>
      </c>
      <c r="C241" s="568" t="s">
        <v>860</v>
      </c>
      <c r="D241" s="568"/>
      <c r="E241" s="568">
        <v>1</v>
      </c>
      <c r="F241" s="314" t="s">
        <v>878</v>
      </c>
      <c r="G241" s="314" t="s">
        <v>604</v>
      </c>
      <c r="H241" s="568" t="s">
        <v>180</v>
      </c>
      <c r="I241" s="556" t="s">
        <v>181</v>
      </c>
      <c r="J241" s="315" t="s">
        <v>39</v>
      </c>
      <c r="K241" s="568" t="s">
        <v>201</v>
      </c>
      <c r="L241" s="576">
        <v>32732</v>
      </c>
      <c r="M241" s="319">
        <v>1566000</v>
      </c>
      <c r="N241" s="518"/>
      <c r="O241" s="532"/>
      <c r="P241" s="558"/>
      <c r="Q241" s="518"/>
      <c r="R241" s="518"/>
      <c r="S241" s="559">
        <v>4500000</v>
      </c>
      <c r="T241" s="560"/>
    </row>
    <row r="242" spans="1:20" s="561" customFormat="1" ht="32.25" customHeight="1" x14ac:dyDescent="0.2">
      <c r="A242" s="552">
        <v>310</v>
      </c>
      <c r="B242" s="553">
        <v>45982</v>
      </c>
      <c r="C242" s="568" t="s">
        <v>860</v>
      </c>
      <c r="D242" s="568"/>
      <c r="E242" s="568">
        <v>1</v>
      </c>
      <c r="F242" s="314" t="s">
        <v>879</v>
      </c>
      <c r="G242" s="568" t="s">
        <v>445</v>
      </c>
      <c r="H242" s="568" t="s">
        <v>180</v>
      </c>
      <c r="I242" s="556" t="s">
        <v>181</v>
      </c>
      <c r="J242" s="315" t="s">
        <v>39</v>
      </c>
      <c r="K242" s="568" t="s">
        <v>201</v>
      </c>
      <c r="L242" s="576">
        <v>32659</v>
      </c>
      <c r="M242" s="319">
        <v>1566000</v>
      </c>
      <c r="N242" s="518"/>
      <c r="O242" s="532"/>
      <c r="P242" s="558"/>
      <c r="Q242" s="518"/>
      <c r="R242" s="518"/>
      <c r="S242" s="559">
        <v>4500000</v>
      </c>
      <c r="T242" s="560"/>
    </row>
    <row r="243" spans="1:20" s="561" customFormat="1" ht="32.25" customHeight="1" x14ac:dyDescent="0.2">
      <c r="A243" s="552">
        <v>311</v>
      </c>
      <c r="B243" s="553">
        <v>45983</v>
      </c>
      <c r="C243" s="568">
        <v>262065541</v>
      </c>
      <c r="D243" s="568"/>
      <c r="E243" s="568">
        <v>1</v>
      </c>
      <c r="F243" s="583" t="s">
        <v>880</v>
      </c>
      <c r="G243" s="568" t="s">
        <v>453</v>
      </c>
      <c r="H243" s="555" t="s">
        <v>662</v>
      </c>
      <c r="I243" s="556" t="s">
        <v>173</v>
      </c>
      <c r="J243" s="315" t="s">
        <v>1637</v>
      </c>
      <c r="K243" s="568" t="s">
        <v>39</v>
      </c>
      <c r="L243" s="576">
        <v>16141</v>
      </c>
      <c r="M243" s="319">
        <v>1500000</v>
      </c>
      <c r="N243" s="518"/>
      <c r="O243" s="532"/>
      <c r="P243" s="558"/>
      <c r="Q243" s="518"/>
      <c r="R243" s="518"/>
      <c r="S243" s="559">
        <v>1890000</v>
      </c>
      <c r="T243" s="560"/>
    </row>
    <row r="244" spans="1:20" s="561" customFormat="1" ht="32.25" customHeight="1" x14ac:dyDescent="0.2">
      <c r="A244" s="552">
        <v>312</v>
      </c>
      <c r="B244" s="553">
        <v>45983</v>
      </c>
      <c r="C244" s="568">
        <v>262065541</v>
      </c>
      <c r="D244" s="568"/>
      <c r="E244" s="568">
        <v>1</v>
      </c>
      <c r="F244" s="583" t="s">
        <v>882</v>
      </c>
      <c r="G244" s="568" t="s">
        <v>619</v>
      </c>
      <c r="H244" s="315" t="s">
        <v>172</v>
      </c>
      <c r="I244" s="556" t="s">
        <v>173</v>
      </c>
      <c r="J244" s="315" t="s">
        <v>1637</v>
      </c>
      <c r="K244" s="568" t="s">
        <v>39</v>
      </c>
      <c r="L244" s="576">
        <v>16116</v>
      </c>
      <c r="M244" s="319">
        <v>1500000</v>
      </c>
      <c r="N244" s="518"/>
      <c r="O244" s="532"/>
      <c r="P244" s="558"/>
      <c r="Q244" s="518"/>
      <c r="R244" s="518"/>
      <c r="S244" s="559">
        <v>2700000</v>
      </c>
      <c r="T244" s="560"/>
    </row>
    <row r="245" spans="1:20" s="561" customFormat="1" ht="32.25" customHeight="1" x14ac:dyDescent="0.2">
      <c r="A245" s="552">
        <v>313</v>
      </c>
      <c r="B245" s="553">
        <v>45983</v>
      </c>
      <c r="C245" s="568">
        <v>258420108</v>
      </c>
      <c r="D245" s="568"/>
      <c r="E245" s="568">
        <v>1</v>
      </c>
      <c r="F245" s="568" t="s">
        <v>880</v>
      </c>
      <c r="G245" s="314" t="s">
        <v>453</v>
      </c>
      <c r="H245" s="317" t="s">
        <v>298</v>
      </c>
      <c r="I245" s="556" t="s">
        <v>299</v>
      </c>
      <c r="J245" s="315" t="s">
        <v>39</v>
      </c>
      <c r="K245" s="568" t="s">
        <v>1637</v>
      </c>
      <c r="L245" s="576">
        <v>16140</v>
      </c>
      <c r="M245" s="319">
        <v>1500000</v>
      </c>
      <c r="N245" s="518"/>
      <c r="O245" s="532"/>
      <c r="P245" s="558"/>
      <c r="Q245" s="518"/>
      <c r="R245" s="518"/>
      <c r="S245" s="559">
        <v>5300000</v>
      </c>
      <c r="T245" s="560"/>
    </row>
    <row r="246" spans="1:20" s="561" customFormat="1" ht="32.25" customHeight="1" x14ac:dyDescent="0.2">
      <c r="A246" s="552">
        <v>314</v>
      </c>
      <c r="B246" s="553">
        <v>45983</v>
      </c>
      <c r="C246" s="568">
        <v>258420108</v>
      </c>
      <c r="D246" s="568"/>
      <c r="E246" s="568">
        <v>1</v>
      </c>
      <c r="F246" s="314" t="s">
        <v>885</v>
      </c>
      <c r="G246" s="314" t="s">
        <v>886</v>
      </c>
      <c r="H246" s="317" t="s">
        <v>298</v>
      </c>
      <c r="I246" s="556" t="s">
        <v>299</v>
      </c>
      <c r="J246" s="315" t="s">
        <v>39</v>
      </c>
      <c r="K246" s="568" t="s">
        <v>1637</v>
      </c>
      <c r="L246" s="576">
        <v>131411</v>
      </c>
      <c r="M246" s="319">
        <v>1450000</v>
      </c>
      <c r="N246" s="518"/>
      <c r="O246" s="532"/>
      <c r="P246" s="558"/>
      <c r="Q246" s="518"/>
      <c r="R246" s="518"/>
      <c r="S246" s="559">
        <v>5300000</v>
      </c>
      <c r="T246" s="560"/>
    </row>
    <row r="247" spans="1:20" s="561" customFormat="1" ht="32.25" customHeight="1" x14ac:dyDescent="0.2">
      <c r="A247" s="552">
        <v>315</v>
      </c>
      <c r="B247" s="553">
        <v>45983</v>
      </c>
      <c r="C247" s="314">
        <v>258420108</v>
      </c>
      <c r="D247" s="568"/>
      <c r="E247" s="568">
        <v>1</v>
      </c>
      <c r="F247" s="314" t="s">
        <v>888</v>
      </c>
      <c r="G247" s="314" t="s">
        <v>622</v>
      </c>
      <c r="H247" s="317" t="s">
        <v>298</v>
      </c>
      <c r="I247" s="556" t="s">
        <v>299</v>
      </c>
      <c r="J247" s="314" t="s">
        <v>39</v>
      </c>
      <c r="K247" s="314" t="s">
        <v>1637</v>
      </c>
      <c r="L247" s="605">
        <v>131675</v>
      </c>
      <c r="M247" s="558">
        <v>1450000</v>
      </c>
      <c r="N247" s="518"/>
      <c r="O247" s="532"/>
      <c r="P247" s="558"/>
      <c r="Q247" s="518"/>
      <c r="R247" s="518"/>
      <c r="S247" s="559">
        <v>5300000</v>
      </c>
      <c r="T247" s="560"/>
    </row>
    <row r="248" spans="1:20" s="561" customFormat="1" ht="32.25" customHeight="1" x14ac:dyDescent="0.2">
      <c r="A248" s="552">
        <v>316</v>
      </c>
      <c r="B248" s="553">
        <v>45983</v>
      </c>
      <c r="C248" s="314">
        <v>258420108</v>
      </c>
      <c r="D248" s="568"/>
      <c r="E248" s="568">
        <v>1</v>
      </c>
      <c r="F248" s="563" t="s">
        <v>890</v>
      </c>
      <c r="G248" s="563" t="s">
        <v>758</v>
      </c>
      <c r="H248" s="317" t="s">
        <v>298</v>
      </c>
      <c r="I248" s="556" t="s">
        <v>299</v>
      </c>
      <c r="J248" s="563" t="s">
        <v>39</v>
      </c>
      <c r="K248" s="563" t="s">
        <v>1637</v>
      </c>
      <c r="L248" s="605">
        <v>131680</v>
      </c>
      <c r="M248" s="558">
        <v>1450000</v>
      </c>
      <c r="N248" s="518"/>
      <c r="O248" s="532"/>
      <c r="P248" s="558"/>
      <c r="Q248" s="518"/>
      <c r="R248" s="518"/>
      <c r="S248" s="559">
        <v>5300000</v>
      </c>
      <c r="T248" s="560"/>
    </row>
    <row r="249" spans="1:20" s="561" customFormat="1" ht="32.25" customHeight="1" x14ac:dyDescent="0.2">
      <c r="A249" s="552">
        <v>317</v>
      </c>
      <c r="B249" s="553">
        <v>45983</v>
      </c>
      <c r="C249" s="574">
        <v>258420108</v>
      </c>
      <c r="D249" s="590"/>
      <c r="E249" s="568">
        <v>1</v>
      </c>
      <c r="F249" s="563" t="s">
        <v>892</v>
      </c>
      <c r="G249" s="563" t="s">
        <v>893</v>
      </c>
      <c r="H249" s="317" t="s">
        <v>298</v>
      </c>
      <c r="I249" s="556" t="s">
        <v>299</v>
      </c>
      <c r="J249" s="563" t="s">
        <v>39</v>
      </c>
      <c r="K249" s="563" t="s">
        <v>1637</v>
      </c>
      <c r="L249" s="605">
        <v>131650</v>
      </c>
      <c r="M249" s="558">
        <v>1450000</v>
      </c>
      <c r="N249" s="518"/>
      <c r="O249" s="532"/>
      <c r="P249" s="558"/>
      <c r="Q249" s="518"/>
      <c r="R249" s="518"/>
      <c r="S249" s="559">
        <v>5300000</v>
      </c>
      <c r="T249" s="560"/>
    </row>
    <row r="250" spans="1:20" s="561" customFormat="1" ht="32.25" customHeight="1" x14ac:dyDescent="0.2">
      <c r="A250" s="552">
        <v>318</v>
      </c>
      <c r="B250" s="553">
        <v>45983</v>
      </c>
      <c r="C250" s="574">
        <v>258420108</v>
      </c>
      <c r="D250" s="590"/>
      <c r="E250" s="568">
        <v>1</v>
      </c>
      <c r="F250" s="563" t="s">
        <v>895</v>
      </c>
      <c r="G250" s="563" t="s">
        <v>896</v>
      </c>
      <c r="H250" s="317" t="s">
        <v>298</v>
      </c>
      <c r="I250" s="556" t="s">
        <v>299</v>
      </c>
      <c r="J250" s="563" t="s">
        <v>39</v>
      </c>
      <c r="K250" s="563" t="s">
        <v>1637</v>
      </c>
      <c r="L250" s="605">
        <v>131678</v>
      </c>
      <c r="M250" s="558">
        <v>1450000</v>
      </c>
      <c r="N250" s="518"/>
      <c r="O250" s="532"/>
      <c r="P250" s="558"/>
      <c r="Q250" s="518"/>
      <c r="R250" s="518"/>
      <c r="S250" s="559">
        <v>5300000</v>
      </c>
      <c r="T250" s="560"/>
    </row>
    <row r="251" spans="1:20" s="561" customFormat="1" ht="32.25" customHeight="1" x14ac:dyDescent="0.2">
      <c r="A251" s="552">
        <v>319</v>
      </c>
      <c r="B251" s="553">
        <v>45983</v>
      </c>
      <c r="C251" s="574">
        <v>258420108</v>
      </c>
      <c r="D251" s="590"/>
      <c r="E251" s="568">
        <v>1</v>
      </c>
      <c r="F251" s="563" t="s">
        <v>898</v>
      </c>
      <c r="G251" s="563" t="s">
        <v>899</v>
      </c>
      <c r="H251" s="317" t="s">
        <v>298</v>
      </c>
      <c r="I251" s="556" t="s">
        <v>299</v>
      </c>
      <c r="J251" s="563" t="s">
        <v>39</v>
      </c>
      <c r="K251" s="563" t="s">
        <v>1637</v>
      </c>
      <c r="L251" s="605">
        <v>131294</v>
      </c>
      <c r="M251" s="558">
        <v>1450000</v>
      </c>
      <c r="N251" s="518"/>
      <c r="O251" s="532"/>
      <c r="P251" s="558"/>
      <c r="Q251" s="518"/>
      <c r="R251" s="518"/>
      <c r="S251" s="559">
        <v>5300000</v>
      </c>
      <c r="T251" s="560"/>
    </row>
    <row r="252" spans="1:20" s="561" customFormat="1" ht="32.25" customHeight="1" x14ac:dyDescent="0.2">
      <c r="A252" s="552">
        <v>320</v>
      </c>
      <c r="B252" s="553">
        <v>45983</v>
      </c>
      <c r="C252" s="574">
        <v>7263969462</v>
      </c>
      <c r="D252" s="590"/>
      <c r="E252" s="568">
        <v>1</v>
      </c>
      <c r="F252" s="563" t="s">
        <v>901</v>
      </c>
      <c r="G252" s="614" t="s">
        <v>876</v>
      </c>
      <c r="H252" s="317" t="s">
        <v>298</v>
      </c>
      <c r="I252" s="556" t="s">
        <v>299</v>
      </c>
      <c r="J252" s="563" t="s">
        <v>1640</v>
      </c>
      <c r="K252" s="563" t="s">
        <v>39</v>
      </c>
      <c r="L252" s="605">
        <v>309152</v>
      </c>
      <c r="M252" s="558">
        <v>1500000</v>
      </c>
      <c r="N252" s="518"/>
      <c r="O252" s="532"/>
      <c r="P252" s="558"/>
      <c r="Q252" s="518"/>
      <c r="R252" s="518"/>
      <c r="S252" s="559">
        <v>5300000</v>
      </c>
      <c r="T252" s="560"/>
    </row>
    <row r="253" spans="1:20" s="561" customFormat="1" ht="32.25" customHeight="1" x14ac:dyDescent="0.2">
      <c r="A253" s="552">
        <v>321</v>
      </c>
      <c r="B253" s="553">
        <v>45983</v>
      </c>
      <c r="C253" s="574">
        <v>7263969462</v>
      </c>
      <c r="D253" s="590"/>
      <c r="E253" s="568">
        <v>1</v>
      </c>
      <c r="F253" s="563" t="s">
        <v>903</v>
      </c>
      <c r="G253" s="563" t="s">
        <v>899</v>
      </c>
      <c r="H253" s="317" t="s">
        <v>298</v>
      </c>
      <c r="I253" s="567" t="s">
        <v>299</v>
      </c>
      <c r="J253" s="563" t="s">
        <v>1640</v>
      </c>
      <c r="K253" s="563" t="s">
        <v>39</v>
      </c>
      <c r="L253" s="605">
        <v>308990</v>
      </c>
      <c r="M253" s="558">
        <v>1500000</v>
      </c>
      <c r="N253" s="518"/>
      <c r="O253" s="532"/>
      <c r="P253" s="558"/>
      <c r="Q253" s="518"/>
      <c r="R253" s="518"/>
      <c r="S253" s="559">
        <v>5300000</v>
      </c>
      <c r="T253" s="560"/>
    </row>
    <row r="254" spans="1:20" s="561" customFormat="1" ht="32.25" customHeight="1" x14ac:dyDescent="0.2">
      <c r="A254" s="552">
        <v>322</v>
      </c>
      <c r="B254" s="588">
        <v>45983</v>
      </c>
      <c r="C254" s="574" t="s">
        <v>905</v>
      </c>
      <c r="D254" s="590"/>
      <c r="E254" s="568">
        <v>1</v>
      </c>
      <c r="F254" s="314" t="s">
        <v>906</v>
      </c>
      <c r="G254" s="568" t="s">
        <v>907</v>
      </c>
      <c r="H254" s="568" t="s">
        <v>908</v>
      </c>
      <c r="I254" s="567" t="s">
        <v>200</v>
      </c>
      <c r="J254" s="314" t="s">
        <v>39</v>
      </c>
      <c r="K254" s="314" t="s">
        <v>1631</v>
      </c>
      <c r="L254" s="605" t="s">
        <v>909</v>
      </c>
      <c r="M254" s="558">
        <v>1500000</v>
      </c>
      <c r="N254" s="518"/>
      <c r="O254" s="532"/>
      <c r="P254" s="558"/>
      <c r="Q254" s="518"/>
      <c r="R254" s="518"/>
      <c r="S254" s="559">
        <v>4500000</v>
      </c>
      <c r="T254" s="560"/>
    </row>
    <row r="255" spans="1:20" s="561" customFormat="1" ht="32.25" customHeight="1" x14ac:dyDescent="0.2">
      <c r="A255" s="552">
        <v>323</v>
      </c>
      <c r="B255" s="588">
        <v>45983</v>
      </c>
      <c r="C255" s="574" t="s">
        <v>905</v>
      </c>
      <c r="D255" s="590"/>
      <c r="E255" s="568">
        <v>1</v>
      </c>
      <c r="F255" s="314" t="s">
        <v>910</v>
      </c>
      <c r="G255" s="314" t="s">
        <v>552</v>
      </c>
      <c r="H255" s="568" t="s">
        <v>908</v>
      </c>
      <c r="I255" s="567" t="s">
        <v>200</v>
      </c>
      <c r="J255" s="314" t="s">
        <v>39</v>
      </c>
      <c r="K255" s="314" t="s">
        <v>1631</v>
      </c>
      <c r="L255" s="605" t="s">
        <v>911</v>
      </c>
      <c r="M255" s="558">
        <v>1500000</v>
      </c>
      <c r="N255" s="518"/>
      <c r="O255" s="532"/>
      <c r="P255" s="558"/>
      <c r="Q255" s="518"/>
      <c r="R255" s="518"/>
      <c r="S255" s="559">
        <v>4500000</v>
      </c>
      <c r="T255" s="560"/>
    </row>
    <row r="256" spans="1:20" s="561" customFormat="1" ht="32.25" customHeight="1" x14ac:dyDescent="0.2">
      <c r="A256" s="552">
        <v>324</v>
      </c>
      <c r="B256" s="588">
        <v>45983</v>
      </c>
      <c r="C256" s="574" t="s">
        <v>905</v>
      </c>
      <c r="D256" s="590"/>
      <c r="E256" s="568">
        <v>1</v>
      </c>
      <c r="F256" s="314" t="s">
        <v>912</v>
      </c>
      <c r="G256" s="568" t="s">
        <v>913</v>
      </c>
      <c r="H256" s="568" t="s">
        <v>908</v>
      </c>
      <c r="I256" s="567" t="s">
        <v>200</v>
      </c>
      <c r="J256" s="314" t="s">
        <v>39</v>
      </c>
      <c r="K256" s="314" t="s">
        <v>1631</v>
      </c>
      <c r="L256" s="605" t="s">
        <v>914</v>
      </c>
      <c r="M256" s="558">
        <v>1500000</v>
      </c>
      <c r="N256" s="518"/>
      <c r="O256" s="532"/>
      <c r="P256" s="558"/>
      <c r="Q256" s="518"/>
      <c r="R256" s="518"/>
      <c r="S256" s="559">
        <v>4500000</v>
      </c>
      <c r="T256" s="560"/>
    </row>
    <row r="257" spans="1:20" s="561" customFormat="1" ht="32.25" customHeight="1" x14ac:dyDescent="0.2">
      <c r="A257" s="552">
        <v>325</v>
      </c>
      <c r="B257" s="588">
        <v>45983</v>
      </c>
      <c r="C257" s="568" t="s">
        <v>905</v>
      </c>
      <c r="D257" s="568"/>
      <c r="E257" s="568">
        <v>1</v>
      </c>
      <c r="F257" s="314" t="s">
        <v>915</v>
      </c>
      <c r="G257" s="594" t="s">
        <v>254</v>
      </c>
      <c r="H257" s="590" t="s">
        <v>908</v>
      </c>
      <c r="I257" s="567" t="s">
        <v>200</v>
      </c>
      <c r="J257" s="590" t="s">
        <v>39</v>
      </c>
      <c r="K257" s="574" t="s">
        <v>1631</v>
      </c>
      <c r="L257" s="605" t="s">
        <v>916</v>
      </c>
      <c r="M257" s="558">
        <v>1500000</v>
      </c>
      <c r="N257" s="518"/>
      <c r="O257" s="532"/>
      <c r="P257" s="558"/>
      <c r="Q257" s="518"/>
      <c r="R257" s="518"/>
      <c r="S257" s="559">
        <v>4500000</v>
      </c>
      <c r="T257" s="560"/>
    </row>
    <row r="258" spans="1:20" s="561" customFormat="1" ht="32.25" customHeight="1" x14ac:dyDescent="0.2">
      <c r="A258" s="552">
        <v>326</v>
      </c>
      <c r="B258" s="588">
        <v>45983</v>
      </c>
      <c r="C258" s="568" t="s">
        <v>905</v>
      </c>
      <c r="D258" s="568"/>
      <c r="E258" s="568">
        <v>1</v>
      </c>
      <c r="F258" s="615" t="s">
        <v>917</v>
      </c>
      <c r="G258" s="314" t="s">
        <v>265</v>
      </c>
      <c r="H258" s="590" t="s">
        <v>908</v>
      </c>
      <c r="I258" s="567" t="s">
        <v>200</v>
      </c>
      <c r="J258" s="590" t="s">
        <v>39</v>
      </c>
      <c r="K258" s="574" t="s">
        <v>1631</v>
      </c>
      <c r="L258" s="605" t="s">
        <v>918</v>
      </c>
      <c r="M258" s="558">
        <v>1500000</v>
      </c>
      <c r="N258" s="518"/>
      <c r="O258" s="532"/>
      <c r="P258" s="558"/>
      <c r="Q258" s="518"/>
      <c r="R258" s="518"/>
      <c r="S258" s="559">
        <v>4500000</v>
      </c>
      <c r="T258" s="560"/>
    </row>
    <row r="259" spans="1:20" s="561" customFormat="1" ht="32.25" customHeight="1" x14ac:dyDescent="0.2">
      <c r="A259" s="552">
        <v>327</v>
      </c>
      <c r="B259" s="588">
        <v>45984</v>
      </c>
      <c r="C259" s="568" t="s">
        <v>919</v>
      </c>
      <c r="D259" s="568"/>
      <c r="E259" s="568">
        <v>1</v>
      </c>
      <c r="F259" s="314" t="s">
        <v>920</v>
      </c>
      <c r="G259" s="314" t="s">
        <v>876</v>
      </c>
      <c r="H259" s="317" t="s">
        <v>298</v>
      </c>
      <c r="I259" s="556" t="s">
        <v>299</v>
      </c>
      <c r="J259" s="590" t="s">
        <v>39</v>
      </c>
      <c r="K259" s="574" t="s">
        <v>1631</v>
      </c>
      <c r="L259" s="605">
        <v>424886</v>
      </c>
      <c r="M259" s="558">
        <v>1500000</v>
      </c>
      <c r="N259" s="518"/>
      <c r="O259" s="532"/>
      <c r="P259" s="558"/>
      <c r="Q259" s="518"/>
      <c r="R259" s="518"/>
      <c r="S259" s="559">
        <v>5300000</v>
      </c>
      <c r="T259" s="560"/>
    </row>
    <row r="260" spans="1:20" s="561" customFormat="1" ht="32.25" customHeight="1" x14ac:dyDescent="0.2">
      <c r="A260" s="552">
        <v>328</v>
      </c>
      <c r="B260" s="553">
        <v>45984</v>
      </c>
      <c r="C260" s="568" t="s">
        <v>919</v>
      </c>
      <c r="D260" s="568"/>
      <c r="E260" s="568">
        <v>1</v>
      </c>
      <c r="F260" s="314" t="s">
        <v>922</v>
      </c>
      <c r="G260" s="314" t="s">
        <v>619</v>
      </c>
      <c r="H260" s="317" t="s">
        <v>298</v>
      </c>
      <c r="I260" s="556" t="s">
        <v>299</v>
      </c>
      <c r="J260" s="590" t="s">
        <v>39</v>
      </c>
      <c r="K260" s="574" t="s">
        <v>1631</v>
      </c>
      <c r="L260" s="605" t="s">
        <v>923</v>
      </c>
      <c r="M260" s="558">
        <v>1500000</v>
      </c>
      <c r="N260" s="518"/>
      <c r="O260" s="532"/>
      <c r="P260" s="558"/>
      <c r="Q260" s="518"/>
      <c r="R260" s="518"/>
      <c r="S260" s="559">
        <v>5300000</v>
      </c>
      <c r="T260" s="560"/>
    </row>
    <row r="261" spans="1:20" s="561" customFormat="1" ht="32.25" customHeight="1" x14ac:dyDescent="0.2">
      <c r="A261" s="552">
        <v>329</v>
      </c>
      <c r="B261" s="553">
        <v>45984</v>
      </c>
      <c r="C261" s="568" t="s">
        <v>919</v>
      </c>
      <c r="D261" s="568"/>
      <c r="E261" s="568">
        <v>1</v>
      </c>
      <c r="F261" s="314" t="s">
        <v>924</v>
      </c>
      <c r="G261" s="314" t="s">
        <v>899</v>
      </c>
      <c r="H261" s="317" t="s">
        <v>298</v>
      </c>
      <c r="I261" s="556" t="s">
        <v>299</v>
      </c>
      <c r="J261" s="590" t="s">
        <v>39</v>
      </c>
      <c r="K261" s="574" t="s">
        <v>1631</v>
      </c>
      <c r="L261" s="605" t="s">
        <v>925</v>
      </c>
      <c r="M261" s="558">
        <v>1450000</v>
      </c>
      <c r="N261" s="518"/>
      <c r="O261" s="532"/>
      <c r="P261" s="558"/>
      <c r="Q261" s="518"/>
      <c r="R261" s="518"/>
      <c r="S261" s="559">
        <v>5300000</v>
      </c>
      <c r="T261" s="560"/>
    </row>
    <row r="262" spans="1:20" s="561" customFormat="1" ht="32.25" customHeight="1" x14ac:dyDescent="0.2">
      <c r="A262" s="552">
        <v>330</v>
      </c>
      <c r="B262" s="553">
        <v>45984</v>
      </c>
      <c r="C262" s="568">
        <v>262065541</v>
      </c>
      <c r="D262" s="568"/>
      <c r="E262" s="568">
        <v>1</v>
      </c>
      <c r="F262" s="314" t="s">
        <v>926</v>
      </c>
      <c r="G262" s="568" t="s">
        <v>927</v>
      </c>
      <c r="H262" s="315" t="s">
        <v>172</v>
      </c>
      <c r="I262" s="556" t="s">
        <v>173</v>
      </c>
      <c r="J262" s="597" t="s">
        <v>1637</v>
      </c>
      <c r="K262" s="574" t="s">
        <v>39</v>
      </c>
      <c r="L262" s="605">
        <v>131583</v>
      </c>
      <c r="M262" s="558">
        <v>1450000</v>
      </c>
      <c r="N262" s="518"/>
      <c r="O262" s="532"/>
      <c r="P262" s="558"/>
      <c r="Q262" s="518"/>
      <c r="R262" s="518"/>
      <c r="S262" s="559">
        <v>2700000</v>
      </c>
      <c r="T262" s="560"/>
    </row>
    <row r="263" spans="1:20" s="561" customFormat="1" ht="32.25" customHeight="1" x14ac:dyDescent="0.2">
      <c r="A263" s="552">
        <v>331</v>
      </c>
      <c r="B263" s="588">
        <v>45984</v>
      </c>
      <c r="C263" s="574">
        <v>262065541</v>
      </c>
      <c r="D263" s="590"/>
      <c r="E263" s="590">
        <v>1</v>
      </c>
      <c r="F263" s="574" t="s">
        <v>892</v>
      </c>
      <c r="G263" s="590" t="s">
        <v>893</v>
      </c>
      <c r="H263" s="555" t="s">
        <v>662</v>
      </c>
      <c r="I263" s="556" t="s">
        <v>173</v>
      </c>
      <c r="J263" s="597" t="s">
        <v>1637</v>
      </c>
      <c r="K263" s="574" t="s">
        <v>39</v>
      </c>
      <c r="L263" s="605">
        <v>131652</v>
      </c>
      <c r="M263" s="558">
        <v>1450000</v>
      </c>
      <c r="N263" s="518"/>
      <c r="O263" s="532"/>
      <c r="P263" s="558"/>
      <c r="Q263" s="518"/>
      <c r="R263" s="518"/>
      <c r="S263" s="559">
        <v>1890000</v>
      </c>
      <c r="T263" s="560"/>
    </row>
    <row r="264" spans="1:20" s="561" customFormat="1" ht="32.25" customHeight="1" x14ac:dyDescent="0.2">
      <c r="A264" s="552">
        <v>332</v>
      </c>
      <c r="B264" s="588">
        <v>45984</v>
      </c>
      <c r="C264" s="314">
        <v>262065541</v>
      </c>
      <c r="D264" s="568"/>
      <c r="E264" s="568">
        <v>1</v>
      </c>
      <c r="F264" s="568" t="s">
        <v>931</v>
      </c>
      <c r="G264" s="314" t="s">
        <v>622</v>
      </c>
      <c r="H264" s="315" t="s">
        <v>172</v>
      </c>
      <c r="I264" s="556" t="s">
        <v>173</v>
      </c>
      <c r="J264" s="597" t="s">
        <v>1637</v>
      </c>
      <c r="K264" s="574" t="s">
        <v>39</v>
      </c>
      <c r="L264" s="605">
        <v>131676</v>
      </c>
      <c r="M264" s="558">
        <v>1450000</v>
      </c>
      <c r="N264" s="518"/>
      <c r="O264" s="532"/>
      <c r="P264" s="558"/>
      <c r="Q264" s="518"/>
      <c r="R264" s="518"/>
      <c r="S264" s="559">
        <v>2700000</v>
      </c>
      <c r="T264" s="560"/>
    </row>
    <row r="265" spans="1:20" s="561" customFormat="1" ht="32.25" customHeight="1" x14ac:dyDescent="0.2">
      <c r="A265" s="552">
        <v>333</v>
      </c>
      <c r="B265" s="588">
        <v>45984</v>
      </c>
      <c r="C265" s="314">
        <v>262065541</v>
      </c>
      <c r="D265" s="568"/>
      <c r="E265" s="568">
        <v>1</v>
      </c>
      <c r="F265" s="314" t="s">
        <v>933</v>
      </c>
      <c r="G265" s="568" t="s">
        <v>896</v>
      </c>
      <c r="H265" s="315" t="s">
        <v>172</v>
      </c>
      <c r="I265" s="556" t="s">
        <v>173</v>
      </c>
      <c r="J265" s="597" t="s">
        <v>1637</v>
      </c>
      <c r="K265" s="574" t="s">
        <v>39</v>
      </c>
      <c r="L265" s="605">
        <v>131685</v>
      </c>
      <c r="M265" s="558">
        <v>1450000</v>
      </c>
      <c r="N265" s="518"/>
      <c r="O265" s="532"/>
      <c r="P265" s="558"/>
      <c r="Q265" s="518"/>
      <c r="R265" s="518"/>
      <c r="S265" s="559">
        <v>2700000</v>
      </c>
      <c r="T265" s="560"/>
    </row>
    <row r="266" spans="1:20" s="561" customFormat="1" ht="32.25" customHeight="1" x14ac:dyDescent="0.2">
      <c r="A266" s="552">
        <v>334</v>
      </c>
      <c r="B266" s="588">
        <v>45984</v>
      </c>
      <c r="C266" s="314">
        <v>262065541</v>
      </c>
      <c r="D266" s="568"/>
      <c r="E266" s="568">
        <v>1</v>
      </c>
      <c r="F266" s="314" t="s">
        <v>935</v>
      </c>
      <c r="G266" s="314" t="s">
        <v>758</v>
      </c>
      <c r="H266" s="315" t="s">
        <v>172</v>
      </c>
      <c r="I266" s="556" t="s">
        <v>173</v>
      </c>
      <c r="J266" s="597" t="s">
        <v>1637</v>
      </c>
      <c r="K266" s="574" t="s">
        <v>39</v>
      </c>
      <c r="L266" s="605">
        <v>131686</v>
      </c>
      <c r="M266" s="558">
        <v>1450000</v>
      </c>
      <c r="N266" s="518"/>
      <c r="O266" s="532"/>
      <c r="P266" s="558"/>
      <c r="Q266" s="518"/>
      <c r="R266" s="518"/>
      <c r="S266" s="559">
        <v>2700000</v>
      </c>
      <c r="T266" s="560"/>
    </row>
    <row r="267" spans="1:20" s="561" customFormat="1" ht="32.25" customHeight="1" x14ac:dyDescent="0.2">
      <c r="A267" s="552">
        <v>335</v>
      </c>
      <c r="B267" s="588">
        <v>45984</v>
      </c>
      <c r="C267" s="563">
        <v>258474318</v>
      </c>
      <c r="D267" s="579"/>
      <c r="E267" s="579">
        <v>1</v>
      </c>
      <c r="F267" s="563" t="s">
        <v>937</v>
      </c>
      <c r="G267" s="563" t="s">
        <v>873</v>
      </c>
      <c r="H267" s="563" t="s">
        <v>180</v>
      </c>
      <c r="I267" s="556" t="s">
        <v>181</v>
      </c>
      <c r="J267" s="597" t="s">
        <v>39</v>
      </c>
      <c r="K267" s="574" t="s">
        <v>1646</v>
      </c>
      <c r="L267" s="605">
        <v>8297</v>
      </c>
      <c r="M267" s="558">
        <v>1500000</v>
      </c>
      <c r="N267" s="518"/>
      <c r="O267" s="532"/>
      <c r="P267" s="558"/>
      <c r="Q267" s="518"/>
      <c r="R267" s="518"/>
      <c r="S267" s="559">
        <v>4500000</v>
      </c>
      <c r="T267" s="560"/>
    </row>
    <row r="268" spans="1:20" s="561" customFormat="1" ht="32.25" customHeight="1" x14ac:dyDescent="0.2">
      <c r="A268" s="552">
        <v>336</v>
      </c>
      <c r="B268" s="588">
        <v>45984</v>
      </c>
      <c r="C268" s="568">
        <v>7263969463</v>
      </c>
      <c r="D268" s="616"/>
      <c r="E268" s="568">
        <v>1</v>
      </c>
      <c r="F268" s="314" t="s">
        <v>939</v>
      </c>
      <c r="G268" s="568" t="s">
        <v>440</v>
      </c>
      <c r="H268" s="568" t="s">
        <v>607</v>
      </c>
      <c r="I268" s="556" t="s">
        <v>608</v>
      </c>
      <c r="J268" s="597" t="s">
        <v>1640</v>
      </c>
      <c r="K268" s="574" t="s">
        <v>39</v>
      </c>
      <c r="L268" s="605" t="s">
        <v>940</v>
      </c>
      <c r="M268" s="558">
        <v>1500000</v>
      </c>
      <c r="N268" s="518"/>
      <c r="O268" s="532"/>
      <c r="P268" s="558"/>
      <c r="Q268" s="518"/>
      <c r="R268" s="518"/>
      <c r="S268" s="559">
        <v>3300000</v>
      </c>
      <c r="T268" s="560"/>
    </row>
    <row r="269" spans="1:20" s="561" customFormat="1" ht="32.25" customHeight="1" x14ac:dyDescent="0.2">
      <c r="A269" s="552">
        <v>337</v>
      </c>
      <c r="B269" s="588">
        <v>45984</v>
      </c>
      <c r="C269" s="568">
        <v>7263969463</v>
      </c>
      <c r="D269" s="315"/>
      <c r="E269" s="315">
        <v>1</v>
      </c>
      <c r="F269" s="314" t="s">
        <v>1146</v>
      </c>
      <c r="G269" s="317" t="s">
        <v>591</v>
      </c>
      <c r="H269" s="315" t="s">
        <v>607</v>
      </c>
      <c r="I269" s="556" t="s">
        <v>608</v>
      </c>
      <c r="J269" s="314" t="s">
        <v>1640</v>
      </c>
      <c r="K269" s="552" t="s">
        <v>39</v>
      </c>
      <c r="L269" s="617" t="s">
        <v>941</v>
      </c>
      <c r="M269" s="618">
        <v>1500000</v>
      </c>
      <c r="N269" s="619"/>
      <c r="O269" s="620"/>
      <c r="P269" s="618"/>
      <c r="Q269" s="619"/>
      <c r="R269" s="619"/>
      <c r="S269" s="559">
        <v>3300000</v>
      </c>
      <c r="T269" s="560"/>
    </row>
    <row r="270" spans="1:20" s="561" customFormat="1" ht="32.25" customHeight="1" x14ac:dyDescent="0.2">
      <c r="A270" s="552">
        <v>338</v>
      </c>
      <c r="B270" s="588">
        <v>45984</v>
      </c>
      <c r="C270" s="568">
        <v>7263969463</v>
      </c>
      <c r="D270" s="568"/>
      <c r="E270" s="568">
        <v>1</v>
      </c>
      <c r="F270" s="314" t="s">
        <v>942</v>
      </c>
      <c r="G270" s="314" t="s">
        <v>943</v>
      </c>
      <c r="H270" s="314" t="s">
        <v>607</v>
      </c>
      <c r="I270" s="556" t="s">
        <v>608</v>
      </c>
      <c r="J270" s="597" t="s">
        <v>1640</v>
      </c>
      <c r="K270" s="574" t="s">
        <v>39</v>
      </c>
      <c r="L270" s="605" t="s">
        <v>944</v>
      </c>
      <c r="M270" s="558">
        <v>1500000</v>
      </c>
      <c r="N270" s="518"/>
      <c r="O270" s="532"/>
      <c r="P270" s="558"/>
      <c r="Q270" s="518"/>
      <c r="R270" s="518"/>
      <c r="S270" s="559">
        <v>3300000</v>
      </c>
      <c r="T270" s="560"/>
    </row>
    <row r="271" spans="1:20" s="561" customFormat="1" ht="32.25" customHeight="1" x14ac:dyDescent="0.2">
      <c r="A271" s="552">
        <v>339</v>
      </c>
      <c r="B271" s="588">
        <v>45984</v>
      </c>
      <c r="C271" s="568">
        <v>7263969463</v>
      </c>
      <c r="D271" s="568"/>
      <c r="E271" s="568">
        <v>1</v>
      </c>
      <c r="F271" s="314" t="s">
        <v>945</v>
      </c>
      <c r="G271" s="317" t="s">
        <v>765</v>
      </c>
      <c r="H271" s="314" t="s">
        <v>607</v>
      </c>
      <c r="I271" s="556" t="s">
        <v>608</v>
      </c>
      <c r="J271" s="597" t="s">
        <v>1640</v>
      </c>
      <c r="K271" s="574" t="s">
        <v>39</v>
      </c>
      <c r="L271" s="605">
        <v>309637</v>
      </c>
      <c r="M271" s="558">
        <v>1500000</v>
      </c>
      <c r="N271" s="518"/>
      <c r="O271" s="532"/>
      <c r="P271" s="558"/>
      <c r="Q271" s="518"/>
      <c r="R271" s="518"/>
      <c r="S271" s="559">
        <v>3300000</v>
      </c>
      <c r="T271" s="560"/>
    </row>
    <row r="272" spans="1:20" s="561" customFormat="1" ht="32.25" customHeight="1" x14ac:dyDescent="0.2">
      <c r="A272" s="552">
        <v>340</v>
      </c>
      <c r="B272" s="588">
        <v>45984</v>
      </c>
      <c r="C272" s="568">
        <v>7263969463</v>
      </c>
      <c r="D272" s="568"/>
      <c r="E272" s="568">
        <v>1</v>
      </c>
      <c r="F272" s="595" t="s">
        <v>947</v>
      </c>
      <c r="G272" s="317" t="s">
        <v>763</v>
      </c>
      <c r="H272" s="314" t="s">
        <v>607</v>
      </c>
      <c r="I272" s="556" t="s">
        <v>608</v>
      </c>
      <c r="J272" s="597" t="s">
        <v>1640</v>
      </c>
      <c r="K272" s="574" t="s">
        <v>39</v>
      </c>
      <c r="L272" s="605" t="s">
        <v>948</v>
      </c>
      <c r="M272" s="558">
        <v>1500000</v>
      </c>
      <c r="N272" s="518"/>
      <c r="O272" s="532"/>
      <c r="P272" s="558"/>
      <c r="Q272" s="518"/>
      <c r="R272" s="518"/>
      <c r="S272" s="559">
        <v>3300000</v>
      </c>
      <c r="T272" s="560"/>
    </row>
    <row r="273" spans="1:20" s="561" customFormat="1" ht="32.25" customHeight="1" x14ac:dyDescent="0.2">
      <c r="A273" s="552">
        <v>341</v>
      </c>
      <c r="B273" s="588">
        <v>45984</v>
      </c>
      <c r="C273" s="568">
        <v>7263994220</v>
      </c>
      <c r="D273" s="568"/>
      <c r="E273" s="568">
        <v>1</v>
      </c>
      <c r="F273" s="314" t="s">
        <v>949</v>
      </c>
      <c r="G273" s="566" t="s">
        <v>950</v>
      </c>
      <c r="H273" s="317" t="s">
        <v>298</v>
      </c>
      <c r="I273" s="556" t="s">
        <v>299</v>
      </c>
      <c r="J273" s="597" t="s">
        <v>1640</v>
      </c>
      <c r="K273" s="574" t="s">
        <v>39</v>
      </c>
      <c r="L273" s="605" t="s">
        <v>951</v>
      </c>
      <c r="M273" s="558">
        <v>1500000</v>
      </c>
      <c r="N273" s="518"/>
      <c r="O273" s="532"/>
      <c r="P273" s="558"/>
      <c r="Q273" s="518"/>
      <c r="R273" s="518"/>
      <c r="S273" s="559">
        <v>5300000</v>
      </c>
      <c r="T273" s="560"/>
    </row>
    <row r="274" spans="1:20" s="561" customFormat="1" ht="32.25" customHeight="1" x14ac:dyDescent="0.2">
      <c r="A274" s="552">
        <v>342</v>
      </c>
      <c r="B274" s="588">
        <v>45984</v>
      </c>
      <c r="C274" s="568" t="s">
        <v>952</v>
      </c>
      <c r="D274" s="568"/>
      <c r="E274" s="568">
        <v>1</v>
      </c>
      <c r="F274" s="314" t="s">
        <v>953</v>
      </c>
      <c r="G274" s="317" t="s">
        <v>323</v>
      </c>
      <c r="H274" s="574" t="s">
        <v>180</v>
      </c>
      <c r="I274" s="556" t="s">
        <v>181</v>
      </c>
      <c r="J274" s="597" t="s">
        <v>39</v>
      </c>
      <c r="K274" s="597" t="s">
        <v>1647</v>
      </c>
      <c r="L274" s="621">
        <v>77073</v>
      </c>
      <c r="M274" s="558">
        <v>1512000</v>
      </c>
      <c r="N274" s="518"/>
      <c r="O274" s="532"/>
      <c r="P274" s="558"/>
      <c r="Q274" s="518"/>
      <c r="R274" s="518"/>
      <c r="S274" s="559">
        <v>4500000</v>
      </c>
      <c r="T274" s="560"/>
    </row>
    <row r="275" spans="1:20" s="561" customFormat="1" ht="32.25" customHeight="1" x14ac:dyDescent="0.2">
      <c r="A275" s="552">
        <v>343</v>
      </c>
      <c r="B275" s="588">
        <v>45984</v>
      </c>
      <c r="C275" s="314" t="s">
        <v>952</v>
      </c>
      <c r="D275" s="568"/>
      <c r="E275" s="568">
        <v>1</v>
      </c>
      <c r="F275" s="314" t="s">
        <v>955</v>
      </c>
      <c r="G275" s="314" t="s">
        <v>956</v>
      </c>
      <c r="H275" s="574" t="s">
        <v>180</v>
      </c>
      <c r="I275" s="556" t="s">
        <v>181</v>
      </c>
      <c r="J275" s="597" t="s">
        <v>39</v>
      </c>
      <c r="K275" s="574" t="s">
        <v>1647</v>
      </c>
      <c r="L275" s="605">
        <v>75814</v>
      </c>
      <c r="M275" s="558">
        <v>1512000</v>
      </c>
      <c r="N275" s="518"/>
      <c r="O275" s="532"/>
      <c r="P275" s="558"/>
      <c r="Q275" s="518"/>
      <c r="R275" s="518"/>
      <c r="S275" s="559">
        <v>4500000</v>
      </c>
      <c r="T275" s="560"/>
    </row>
    <row r="276" spans="1:20" s="561" customFormat="1" ht="32.25" customHeight="1" x14ac:dyDescent="0.2">
      <c r="A276" s="552">
        <v>344</v>
      </c>
      <c r="B276" s="588">
        <v>45984</v>
      </c>
      <c r="C276" s="314" t="s">
        <v>952</v>
      </c>
      <c r="D276" s="568"/>
      <c r="E276" s="568">
        <v>1</v>
      </c>
      <c r="F276" s="568" t="s">
        <v>958</v>
      </c>
      <c r="G276" s="314" t="s">
        <v>271</v>
      </c>
      <c r="H276" s="574" t="s">
        <v>180</v>
      </c>
      <c r="I276" s="556" t="s">
        <v>181</v>
      </c>
      <c r="J276" s="597" t="s">
        <v>39</v>
      </c>
      <c r="K276" s="574" t="s">
        <v>1647</v>
      </c>
      <c r="L276" s="605">
        <v>75781</v>
      </c>
      <c r="M276" s="558">
        <v>1512000</v>
      </c>
      <c r="N276" s="518"/>
      <c r="O276" s="532"/>
      <c r="P276" s="558"/>
      <c r="Q276" s="518"/>
      <c r="R276" s="518"/>
      <c r="S276" s="559">
        <v>4500000</v>
      </c>
      <c r="T276" s="560"/>
    </row>
    <row r="277" spans="1:20" s="561" customFormat="1" ht="32.25" customHeight="1" x14ac:dyDescent="0.2">
      <c r="A277" s="552">
        <v>345</v>
      </c>
      <c r="B277" s="588">
        <v>45984</v>
      </c>
      <c r="C277" s="314" t="s">
        <v>952</v>
      </c>
      <c r="D277" s="568"/>
      <c r="E277" s="568">
        <v>1</v>
      </c>
      <c r="F277" s="583" t="s">
        <v>960</v>
      </c>
      <c r="G277" s="314" t="s">
        <v>961</v>
      </c>
      <c r="H277" s="574" t="s">
        <v>180</v>
      </c>
      <c r="I277" s="556" t="s">
        <v>181</v>
      </c>
      <c r="J277" s="597" t="s">
        <v>39</v>
      </c>
      <c r="K277" s="574" t="s">
        <v>1647</v>
      </c>
      <c r="L277" s="605" t="s">
        <v>962</v>
      </c>
      <c r="M277" s="558">
        <v>1500000</v>
      </c>
      <c r="N277" s="518"/>
      <c r="O277" s="532"/>
      <c r="P277" s="558"/>
      <c r="Q277" s="518"/>
      <c r="R277" s="518"/>
      <c r="S277" s="559">
        <v>4500000</v>
      </c>
      <c r="T277" s="560"/>
    </row>
    <row r="278" spans="1:20" s="561" customFormat="1" ht="32.25" customHeight="1" x14ac:dyDescent="0.2">
      <c r="A278" s="552">
        <v>346</v>
      </c>
      <c r="B278" s="553">
        <v>45984</v>
      </c>
      <c r="C278" s="568" t="s">
        <v>952</v>
      </c>
      <c r="D278" s="568"/>
      <c r="E278" s="568">
        <v>1</v>
      </c>
      <c r="F278" s="314" t="s">
        <v>963</v>
      </c>
      <c r="G278" s="622" t="s">
        <v>569</v>
      </c>
      <c r="H278" s="574" t="s">
        <v>180</v>
      </c>
      <c r="I278" s="556" t="s">
        <v>181</v>
      </c>
      <c r="J278" s="597" t="s">
        <v>39</v>
      </c>
      <c r="K278" s="574" t="s">
        <v>1647</v>
      </c>
      <c r="L278" s="605">
        <v>75803</v>
      </c>
      <c r="M278" s="558">
        <v>1512000</v>
      </c>
      <c r="N278" s="518"/>
      <c r="O278" s="532"/>
      <c r="P278" s="558"/>
      <c r="Q278" s="518"/>
      <c r="R278" s="518"/>
      <c r="S278" s="559">
        <v>4500000</v>
      </c>
      <c r="T278" s="560"/>
    </row>
    <row r="279" spans="1:20" s="561" customFormat="1" ht="32.25" customHeight="1" x14ac:dyDescent="0.2">
      <c r="A279" s="552">
        <v>347</v>
      </c>
      <c r="B279" s="588">
        <v>45984</v>
      </c>
      <c r="C279" s="568">
        <v>260181210</v>
      </c>
      <c r="D279" s="568"/>
      <c r="E279" s="568">
        <v>1</v>
      </c>
      <c r="F279" s="583" t="s">
        <v>965</v>
      </c>
      <c r="G279" s="568" t="s">
        <v>453</v>
      </c>
      <c r="H279" s="317" t="s">
        <v>298</v>
      </c>
      <c r="I279" s="556" t="s">
        <v>299</v>
      </c>
      <c r="J279" s="597" t="s">
        <v>617</v>
      </c>
      <c r="K279" s="590" t="s">
        <v>1653</v>
      </c>
      <c r="L279" s="623">
        <v>350752</v>
      </c>
      <c r="M279" s="558">
        <v>1512000</v>
      </c>
      <c r="N279" s="518"/>
      <c r="O279" s="532"/>
      <c r="P279" s="558"/>
      <c r="Q279" s="518"/>
      <c r="R279" s="610">
        <v>260000</v>
      </c>
      <c r="S279" s="559">
        <v>5300000</v>
      </c>
      <c r="T279" s="560"/>
    </row>
    <row r="280" spans="1:20" s="561" customFormat="1" ht="32.25" customHeight="1" x14ac:dyDescent="0.2">
      <c r="A280" s="552">
        <v>348</v>
      </c>
      <c r="B280" s="588">
        <v>45985</v>
      </c>
      <c r="C280" s="568">
        <v>262065541</v>
      </c>
      <c r="D280" s="568"/>
      <c r="E280" s="568">
        <v>1</v>
      </c>
      <c r="F280" s="317" t="s">
        <v>968</v>
      </c>
      <c r="G280" s="568" t="s">
        <v>896</v>
      </c>
      <c r="H280" s="315" t="s">
        <v>172</v>
      </c>
      <c r="I280" s="556" t="s">
        <v>173</v>
      </c>
      <c r="J280" s="597" t="s">
        <v>1654</v>
      </c>
      <c r="K280" s="590" t="s">
        <v>39</v>
      </c>
      <c r="L280" s="605">
        <v>1693</v>
      </c>
      <c r="M280" s="558">
        <v>1450000</v>
      </c>
      <c r="N280" s="518"/>
      <c r="O280" s="532"/>
      <c r="P280" s="558"/>
      <c r="Q280" s="518"/>
      <c r="R280" s="518"/>
      <c r="S280" s="559">
        <v>2700000</v>
      </c>
      <c r="T280" s="560"/>
    </row>
    <row r="281" spans="1:20" s="561" customFormat="1" ht="32.25" customHeight="1" x14ac:dyDescent="0.2">
      <c r="A281" s="552">
        <v>349</v>
      </c>
      <c r="B281" s="588">
        <v>45985</v>
      </c>
      <c r="C281" s="568">
        <v>262065541</v>
      </c>
      <c r="D281" s="568"/>
      <c r="E281" s="568">
        <v>1</v>
      </c>
      <c r="F281" s="314" t="s">
        <v>971</v>
      </c>
      <c r="G281" s="568" t="s">
        <v>899</v>
      </c>
      <c r="H281" s="315" t="s">
        <v>172</v>
      </c>
      <c r="I281" s="556" t="s">
        <v>173</v>
      </c>
      <c r="J281" s="597" t="s">
        <v>1654</v>
      </c>
      <c r="K281" s="590" t="s">
        <v>39</v>
      </c>
      <c r="L281" s="605">
        <v>1694</v>
      </c>
      <c r="M281" s="558">
        <v>1450000</v>
      </c>
      <c r="N281" s="518"/>
      <c r="O281" s="532"/>
      <c r="P281" s="558"/>
      <c r="Q281" s="518"/>
      <c r="R281" s="518"/>
      <c r="S281" s="559">
        <v>2700000</v>
      </c>
      <c r="T281" s="560"/>
    </row>
    <row r="282" spans="1:20" s="561" customFormat="1" ht="32.25" customHeight="1" x14ac:dyDescent="0.2">
      <c r="A282" s="552">
        <v>350</v>
      </c>
      <c r="B282" s="588">
        <v>45985</v>
      </c>
      <c r="C282" s="568">
        <v>262065541</v>
      </c>
      <c r="D282" s="568"/>
      <c r="E282" s="568">
        <v>1</v>
      </c>
      <c r="F282" s="314" t="s">
        <v>890</v>
      </c>
      <c r="G282" s="568" t="s">
        <v>758</v>
      </c>
      <c r="H282" s="555" t="s">
        <v>662</v>
      </c>
      <c r="I282" s="556" t="s">
        <v>173</v>
      </c>
      <c r="J282" s="597" t="s">
        <v>1637</v>
      </c>
      <c r="K282" s="590" t="s">
        <v>39</v>
      </c>
      <c r="L282" s="605">
        <v>132099</v>
      </c>
      <c r="M282" s="558">
        <v>1450000</v>
      </c>
      <c r="N282" s="518"/>
      <c r="O282" s="532"/>
      <c r="P282" s="558"/>
      <c r="Q282" s="518"/>
      <c r="R282" s="518"/>
      <c r="S282" s="559">
        <v>1890000</v>
      </c>
      <c r="T282" s="560"/>
    </row>
    <row r="283" spans="1:20" s="561" customFormat="1" ht="32.25" customHeight="1" x14ac:dyDescent="0.2">
      <c r="A283" s="552">
        <v>351</v>
      </c>
      <c r="B283" s="588">
        <v>45986</v>
      </c>
      <c r="C283" s="568" t="s">
        <v>974</v>
      </c>
      <c r="D283" s="568"/>
      <c r="E283" s="568">
        <v>1</v>
      </c>
      <c r="F283" s="314" t="s">
        <v>975</v>
      </c>
      <c r="G283" s="568" t="s">
        <v>259</v>
      </c>
      <c r="H283" s="574" t="s">
        <v>976</v>
      </c>
      <c r="I283" s="593" t="s">
        <v>181</v>
      </c>
      <c r="J283" s="597" t="s">
        <v>39</v>
      </c>
      <c r="K283" s="590" t="s">
        <v>977</v>
      </c>
      <c r="L283" s="605">
        <v>9509</v>
      </c>
      <c r="M283" s="558">
        <v>1500000</v>
      </c>
      <c r="N283" s="518"/>
      <c r="O283" s="532"/>
      <c r="P283" s="558"/>
      <c r="Q283" s="518"/>
      <c r="R283" s="518"/>
      <c r="S283" s="559">
        <v>4400000</v>
      </c>
      <c r="T283" s="560"/>
    </row>
    <row r="284" spans="1:20" s="561" customFormat="1" ht="32.25" customHeight="1" x14ac:dyDescent="0.2">
      <c r="A284" s="552">
        <v>352</v>
      </c>
      <c r="B284" s="588">
        <v>45986</v>
      </c>
      <c r="C284" s="568">
        <v>259662273</v>
      </c>
      <c r="D284" s="568"/>
      <c r="E284" s="568">
        <v>1</v>
      </c>
      <c r="F284" s="314" t="s">
        <v>979</v>
      </c>
      <c r="G284" s="568" t="s">
        <v>616</v>
      </c>
      <c r="H284" s="317" t="s">
        <v>298</v>
      </c>
      <c r="I284" s="593" t="s">
        <v>299</v>
      </c>
      <c r="J284" s="597" t="s">
        <v>39</v>
      </c>
      <c r="K284" s="590" t="s">
        <v>1655</v>
      </c>
      <c r="L284" s="605">
        <v>14561</v>
      </c>
      <c r="M284" s="558">
        <v>1500000</v>
      </c>
      <c r="N284" s="518"/>
      <c r="O284" s="532"/>
      <c r="P284" s="558"/>
      <c r="Q284" s="518"/>
      <c r="R284" s="518"/>
      <c r="S284" s="559">
        <v>5300000</v>
      </c>
      <c r="T284" s="560"/>
    </row>
    <row r="285" spans="1:20" s="561" customFormat="1" ht="32.25" customHeight="1" x14ac:dyDescent="0.2">
      <c r="A285" s="552">
        <v>353</v>
      </c>
      <c r="B285" s="588">
        <v>45986</v>
      </c>
      <c r="C285" s="590">
        <v>259662273</v>
      </c>
      <c r="D285" s="590"/>
      <c r="E285" s="590">
        <v>1</v>
      </c>
      <c r="F285" s="314" t="s">
        <v>981</v>
      </c>
      <c r="G285" s="568" t="s">
        <v>927</v>
      </c>
      <c r="H285" s="317" t="s">
        <v>298</v>
      </c>
      <c r="I285" s="593" t="s">
        <v>299</v>
      </c>
      <c r="J285" s="597" t="s">
        <v>39</v>
      </c>
      <c r="K285" s="590" t="s">
        <v>1655</v>
      </c>
      <c r="L285" s="605">
        <v>133655</v>
      </c>
      <c r="M285" s="558">
        <v>1450000</v>
      </c>
      <c r="N285" s="518"/>
      <c r="O285" s="532"/>
      <c r="P285" s="558"/>
      <c r="Q285" s="518"/>
      <c r="R285" s="518"/>
      <c r="S285" s="559">
        <v>5300000</v>
      </c>
      <c r="T285" s="560"/>
    </row>
    <row r="286" spans="1:20" s="561" customFormat="1" ht="32.25" customHeight="1" x14ac:dyDescent="0.2">
      <c r="A286" s="552">
        <v>354</v>
      </c>
      <c r="B286" s="588">
        <v>45986</v>
      </c>
      <c r="C286" s="590">
        <v>259662273</v>
      </c>
      <c r="D286" s="590"/>
      <c r="E286" s="590">
        <v>1</v>
      </c>
      <c r="F286" s="314" t="s">
        <v>983</v>
      </c>
      <c r="G286" s="568" t="s">
        <v>619</v>
      </c>
      <c r="H286" s="317" t="s">
        <v>298</v>
      </c>
      <c r="I286" s="593" t="s">
        <v>299</v>
      </c>
      <c r="J286" s="597" t="s">
        <v>39</v>
      </c>
      <c r="K286" s="590" t="s">
        <v>1655</v>
      </c>
      <c r="L286" s="605">
        <v>133452</v>
      </c>
      <c r="M286" s="558">
        <v>1450000</v>
      </c>
      <c r="N286" s="518"/>
      <c r="O286" s="532"/>
      <c r="P286" s="558"/>
      <c r="Q286" s="518"/>
      <c r="R286" s="518"/>
      <c r="S286" s="559">
        <v>5300000</v>
      </c>
      <c r="T286" s="560"/>
    </row>
    <row r="287" spans="1:20" s="561" customFormat="1" ht="32.25" customHeight="1" x14ac:dyDescent="0.2">
      <c r="A287" s="552">
        <v>355</v>
      </c>
      <c r="B287" s="588">
        <v>45986</v>
      </c>
      <c r="C287" s="590">
        <v>259662273</v>
      </c>
      <c r="D287" s="590"/>
      <c r="E287" s="590">
        <v>1</v>
      </c>
      <c r="F287" s="314" t="s">
        <v>985</v>
      </c>
      <c r="G287" s="568" t="s">
        <v>986</v>
      </c>
      <c r="H287" s="317" t="s">
        <v>298</v>
      </c>
      <c r="I287" s="593" t="s">
        <v>299</v>
      </c>
      <c r="J287" s="597" t="s">
        <v>39</v>
      </c>
      <c r="K287" s="590" t="s">
        <v>1655</v>
      </c>
      <c r="L287" s="605">
        <v>133488</v>
      </c>
      <c r="M287" s="558">
        <v>1450000</v>
      </c>
      <c r="N287" s="518"/>
      <c r="O287" s="532"/>
      <c r="P287" s="558"/>
      <c r="Q287" s="518"/>
      <c r="R287" s="518"/>
      <c r="S287" s="559">
        <v>5300000</v>
      </c>
      <c r="T287" s="560"/>
    </row>
    <row r="288" spans="1:20" s="561" customFormat="1" ht="32.25" customHeight="1" x14ac:dyDescent="0.2">
      <c r="A288" s="552">
        <v>356</v>
      </c>
      <c r="B288" s="588">
        <v>45986</v>
      </c>
      <c r="C288" s="590">
        <v>259662273</v>
      </c>
      <c r="D288" s="590"/>
      <c r="E288" s="590">
        <v>1</v>
      </c>
      <c r="F288" s="568" t="s">
        <v>988</v>
      </c>
      <c r="G288" s="568" t="s">
        <v>440</v>
      </c>
      <c r="H288" s="317" t="s">
        <v>298</v>
      </c>
      <c r="I288" s="593" t="s">
        <v>299</v>
      </c>
      <c r="J288" s="597" t="s">
        <v>39</v>
      </c>
      <c r="K288" s="590" t="s">
        <v>1655</v>
      </c>
      <c r="L288" s="605">
        <v>133330</v>
      </c>
      <c r="M288" s="558">
        <v>1450000</v>
      </c>
      <c r="N288" s="518"/>
      <c r="O288" s="532"/>
      <c r="P288" s="558"/>
      <c r="Q288" s="518"/>
      <c r="R288" s="518"/>
      <c r="S288" s="559">
        <v>5300000</v>
      </c>
      <c r="T288" s="560"/>
    </row>
    <row r="289" spans="1:20" s="561" customFormat="1" ht="32.25" customHeight="1" thickBot="1" x14ac:dyDescent="0.25">
      <c r="A289" s="552">
        <v>357</v>
      </c>
      <c r="B289" s="588">
        <v>45986</v>
      </c>
      <c r="C289" s="590">
        <v>259662273</v>
      </c>
      <c r="D289" s="590"/>
      <c r="E289" s="590">
        <v>1</v>
      </c>
      <c r="F289" s="574" t="s">
        <v>990</v>
      </c>
      <c r="G289" s="568" t="s">
        <v>763</v>
      </c>
      <c r="H289" s="317" t="s">
        <v>298</v>
      </c>
      <c r="I289" s="593" t="s">
        <v>299</v>
      </c>
      <c r="J289" s="597" t="s">
        <v>39</v>
      </c>
      <c r="K289" s="590" t="s">
        <v>1655</v>
      </c>
      <c r="L289" s="605">
        <v>133519</v>
      </c>
      <c r="M289" s="558">
        <v>1450000</v>
      </c>
      <c r="N289" s="518"/>
      <c r="O289" s="532"/>
      <c r="P289" s="558"/>
      <c r="Q289" s="518"/>
      <c r="R289" s="518"/>
      <c r="S289" s="559">
        <v>5300000</v>
      </c>
      <c r="T289" s="560"/>
    </row>
    <row r="290" spans="1:20" s="561" customFormat="1" ht="32.25" customHeight="1" thickBot="1" x14ac:dyDescent="0.25">
      <c r="A290" s="624"/>
      <c r="B290" s="625" t="s">
        <v>1620</v>
      </c>
      <c r="C290" s="625" t="s">
        <v>1660</v>
      </c>
      <c r="D290" s="625"/>
      <c r="E290" s="626"/>
      <c r="F290" s="627" t="s">
        <v>1144</v>
      </c>
      <c r="G290" s="628"/>
      <c r="H290" s="629"/>
      <c r="I290" s="630" t="s">
        <v>1663</v>
      </c>
      <c r="J290" s="593"/>
      <c r="K290" s="631"/>
      <c r="L290" s="626"/>
      <c r="M290" s="632">
        <v>0</v>
      </c>
      <c r="N290" s="632"/>
      <c r="O290" s="632"/>
      <c r="P290" s="518"/>
      <c r="Q290" s="518"/>
      <c r="R290" s="518"/>
      <c r="S290" s="559">
        <v>3200000</v>
      </c>
      <c r="T290" s="559"/>
    </row>
    <row r="291" spans="1:20" s="561" customFormat="1" ht="32.25" customHeight="1" thickBot="1" x14ac:dyDescent="0.25">
      <c r="A291" s="624"/>
      <c r="B291" s="633" t="s">
        <v>1620</v>
      </c>
      <c r="C291" s="633" t="s">
        <v>1660</v>
      </c>
      <c r="D291" s="625"/>
      <c r="E291" s="626"/>
      <c r="F291" s="634" t="s">
        <v>1144</v>
      </c>
      <c r="G291" s="628"/>
      <c r="H291" s="629"/>
      <c r="I291" s="630" t="s">
        <v>1663</v>
      </c>
      <c r="J291" s="593"/>
      <c r="K291" s="631"/>
      <c r="L291" s="626"/>
      <c r="M291" s="632">
        <v>0</v>
      </c>
      <c r="N291" s="632"/>
      <c r="O291" s="632"/>
      <c r="P291" s="518"/>
      <c r="Q291" s="518"/>
      <c r="R291" s="518"/>
      <c r="S291" s="559">
        <v>3200000</v>
      </c>
      <c r="T291" s="559"/>
    </row>
    <row r="292" spans="1:20" s="190" customFormat="1" ht="32.25" customHeight="1" x14ac:dyDescent="0.2">
      <c r="A292" s="390">
        <f t="shared" ref="A292:A345" si="0">ROW()-16</f>
        <v>276</v>
      </c>
      <c r="B292" s="433">
        <v>45987</v>
      </c>
      <c r="C292" s="391" t="s">
        <v>994</v>
      </c>
      <c r="D292" s="391"/>
      <c r="E292" s="391">
        <v>1</v>
      </c>
      <c r="F292" s="550" t="s">
        <v>995</v>
      </c>
      <c r="G292" s="393" t="s">
        <v>210</v>
      </c>
      <c r="H292" s="393" t="s">
        <v>298</v>
      </c>
      <c r="I292" s="394" t="s">
        <v>299</v>
      </c>
      <c r="J292" s="395" t="s">
        <v>617</v>
      </c>
      <c r="K292" s="396" t="s">
        <v>732</v>
      </c>
      <c r="L292" s="397" t="s">
        <v>996</v>
      </c>
      <c r="M292" s="398">
        <v>1500000</v>
      </c>
      <c r="N292" s="519"/>
      <c r="O292" s="533"/>
      <c r="P292" s="398"/>
      <c r="Q292" s="519"/>
      <c r="R292" s="551">
        <v>260000</v>
      </c>
      <c r="S292" s="330">
        <v>5300000</v>
      </c>
      <c r="T292" s="331"/>
    </row>
    <row r="293" spans="1:20" s="190" customFormat="1" ht="32.25" customHeight="1" x14ac:dyDescent="0.2">
      <c r="A293" s="390">
        <f t="shared" si="0"/>
        <v>277</v>
      </c>
      <c r="B293" s="433">
        <v>45987</v>
      </c>
      <c r="C293" s="391" t="s">
        <v>997</v>
      </c>
      <c r="D293" s="400"/>
      <c r="E293" s="391">
        <v>1</v>
      </c>
      <c r="F293" s="401" t="s">
        <v>998</v>
      </c>
      <c r="G293" s="393" t="s">
        <v>222</v>
      </c>
      <c r="H293" s="393" t="s">
        <v>999</v>
      </c>
      <c r="I293" s="394" t="s">
        <v>200</v>
      </c>
      <c r="J293" s="396" t="s">
        <v>1000</v>
      </c>
      <c r="K293" s="396" t="s">
        <v>39</v>
      </c>
      <c r="L293" s="402">
        <v>89923</v>
      </c>
      <c r="M293" s="398">
        <v>1500000</v>
      </c>
      <c r="N293" s="519"/>
      <c r="O293" s="533"/>
      <c r="P293" s="398"/>
      <c r="Q293" s="519"/>
      <c r="R293" s="519"/>
      <c r="S293" s="399">
        <v>4500000</v>
      </c>
      <c r="T293" s="331"/>
    </row>
    <row r="294" spans="1:20" s="190" customFormat="1" ht="32.25" customHeight="1" x14ac:dyDescent="0.2">
      <c r="A294" s="390">
        <f t="shared" si="0"/>
        <v>278</v>
      </c>
      <c r="B294" s="433">
        <v>45987</v>
      </c>
      <c r="C294" s="391" t="s">
        <v>997</v>
      </c>
      <c r="D294" s="391"/>
      <c r="E294" s="391">
        <v>1</v>
      </c>
      <c r="F294" s="403" t="s">
        <v>1001</v>
      </c>
      <c r="G294" s="393" t="s">
        <v>207</v>
      </c>
      <c r="H294" s="393" t="s">
        <v>999</v>
      </c>
      <c r="I294" s="394" t="s">
        <v>200</v>
      </c>
      <c r="J294" s="396" t="s">
        <v>1000</v>
      </c>
      <c r="K294" s="396" t="s">
        <v>39</v>
      </c>
      <c r="L294" s="402">
        <v>89917</v>
      </c>
      <c r="M294" s="398">
        <v>1500000</v>
      </c>
      <c r="N294" s="519"/>
      <c r="O294" s="533"/>
      <c r="P294" s="398"/>
      <c r="Q294" s="519"/>
      <c r="R294" s="519"/>
      <c r="S294" s="399">
        <v>4500000</v>
      </c>
      <c r="T294" s="331"/>
    </row>
    <row r="295" spans="1:20" s="190" customFormat="1" ht="32.25" customHeight="1" x14ac:dyDescent="0.2">
      <c r="A295" s="390">
        <f t="shared" si="0"/>
        <v>279</v>
      </c>
      <c r="B295" s="433">
        <v>45987</v>
      </c>
      <c r="C295" s="391" t="s">
        <v>1002</v>
      </c>
      <c r="D295" s="404"/>
      <c r="E295" s="391">
        <v>1</v>
      </c>
      <c r="F295" s="392" t="s">
        <v>1003</v>
      </c>
      <c r="G295" s="393" t="s">
        <v>302</v>
      </c>
      <c r="H295" s="393" t="s">
        <v>172</v>
      </c>
      <c r="I295" s="390" t="s">
        <v>1004</v>
      </c>
      <c r="J295" s="396" t="s">
        <v>174</v>
      </c>
      <c r="K295" s="396" t="s">
        <v>39</v>
      </c>
      <c r="L295" s="402" t="s">
        <v>1005</v>
      </c>
      <c r="M295" s="398">
        <v>1470000</v>
      </c>
      <c r="N295" s="519"/>
      <c r="O295" s="533"/>
      <c r="P295" s="398"/>
      <c r="Q295" s="519"/>
      <c r="R295" s="519"/>
      <c r="S295" s="399">
        <v>2700000</v>
      </c>
      <c r="T295" s="331"/>
    </row>
    <row r="296" spans="1:20" s="190" customFormat="1" ht="32.25" customHeight="1" x14ac:dyDescent="0.2">
      <c r="A296" s="390">
        <f t="shared" si="0"/>
        <v>280</v>
      </c>
      <c r="B296" s="433">
        <v>45987</v>
      </c>
      <c r="C296" s="391" t="s">
        <v>1002</v>
      </c>
      <c r="D296" s="405"/>
      <c r="E296" s="391">
        <v>1</v>
      </c>
      <c r="F296" s="406" t="s">
        <v>1006</v>
      </c>
      <c r="G296" s="393" t="s">
        <v>368</v>
      </c>
      <c r="H296" s="393" t="s">
        <v>172</v>
      </c>
      <c r="I296" s="390" t="s">
        <v>1004</v>
      </c>
      <c r="J296" s="396" t="s">
        <v>174</v>
      </c>
      <c r="K296" s="396" t="s">
        <v>39</v>
      </c>
      <c r="L296" s="397" t="s">
        <v>1007</v>
      </c>
      <c r="M296" s="398">
        <v>1470000</v>
      </c>
      <c r="N296" s="519"/>
      <c r="O296" s="533"/>
      <c r="P296" s="398"/>
      <c r="Q296" s="519"/>
      <c r="R296" s="519"/>
      <c r="S296" s="399">
        <v>2700000</v>
      </c>
      <c r="T296" s="331"/>
    </row>
    <row r="297" spans="1:20" s="190" customFormat="1" ht="32.25" customHeight="1" x14ac:dyDescent="0.2">
      <c r="A297" s="390">
        <f t="shared" si="0"/>
        <v>281</v>
      </c>
      <c r="B297" s="433">
        <v>45987</v>
      </c>
      <c r="C297" s="391" t="s">
        <v>1002</v>
      </c>
      <c r="D297" s="407"/>
      <c r="E297" s="391">
        <v>1</v>
      </c>
      <c r="F297" s="403" t="s">
        <v>1008</v>
      </c>
      <c r="G297" s="393" t="s">
        <v>219</v>
      </c>
      <c r="H297" s="393" t="s">
        <v>172</v>
      </c>
      <c r="I297" s="390" t="s">
        <v>1004</v>
      </c>
      <c r="J297" s="396" t="s">
        <v>174</v>
      </c>
      <c r="K297" s="396" t="s">
        <v>39</v>
      </c>
      <c r="L297" s="397" t="s">
        <v>1009</v>
      </c>
      <c r="M297" s="398">
        <v>1470000</v>
      </c>
      <c r="N297" s="519"/>
      <c r="O297" s="533"/>
      <c r="P297" s="398"/>
      <c r="Q297" s="519"/>
      <c r="R297" s="519"/>
      <c r="S297" s="399">
        <v>2700000</v>
      </c>
      <c r="T297" s="331"/>
    </row>
    <row r="298" spans="1:20" s="190" customFormat="1" ht="32.25" customHeight="1" x14ac:dyDescent="0.2">
      <c r="A298" s="390">
        <f t="shared" si="0"/>
        <v>282</v>
      </c>
      <c r="B298" s="433">
        <v>45987</v>
      </c>
      <c r="C298" s="391" t="s">
        <v>1002</v>
      </c>
      <c r="D298" s="404"/>
      <c r="E298" s="391">
        <v>1</v>
      </c>
      <c r="F298" s="403" t="s">
        <v>1010</v>
      </c>
      <c r="G298" s="393" t="s">
        <v>216</v>
      </c>
      <c r="H298" s="393" t="s">
        <v>172</v>
      </c>
      <c r="I298" s="390" t="s">
        <v>1004</v>
      </c>
      <c r="J298" s="396" t="s">
        <v>174</v>
      </c>
      <c r="K298" s="396" t="s">
        <v>39</v>
      </c>
      <c r="L298" s="397" t="s">
        <v>1011</v>
      </c>
      <c r="M298" s="398">
        <v>1470000</v>
      </c>
      <c r="N298" s="519"/>
      <c r="O298" s="533"/>
      <c r="P298" s="398"/>
      <c r="Q298" s="519"/>
      <c r="R298" s="519"/>
      <c r="S298" s="399">
        <v>2700000</v>
      </c>
      <c r="T298" s="331"/>
    </row>
    <row r="299" spans="1:20" s="190" customFormat="1" ht="32.25" customHeight="1" x14ac:dyDescent="0.2">
      <c r="A299" s="390">
        <f t="shared" si="0"/>
        <v>283</v>
      </c>
      <c r="B299" s="433">
        <v>45987</v>
      </c>
      <c r="C299" s="407" t="s">
        <v>1012</v>
      </c>
      <c r="D299" s="404"/>
      <c r="E299" s="391">
        <v>1</v>
      </c>
      <c r="F299" s="401" t="s">
        <v>1013</v>
      </c>
      <c r="G299" s="393" t="s">
        <v>354</v>
      </c>
      <c r="H299" s="395" t="s">
        <v>1014</v>
      </c>
      <c r="I299" s="390" t="s">
        <v>1015</v>
      </c>
      <c r="J299" s="396" t="s">
        <v>39</v>
      </c>
      <c r="K299" s="408" t="s">
        <v>1016</v>
      </c>
      <c r="L299" s="397" t="s">
        <v>1017</v>
      </c>
      <c r="M299" s="398">
        <v>1500000</v>
      </c>
      <c r="N299" s="519"/>
      <c r="O299" s="533"/>
      <c r="P299" s="398"/>
      <c r="Q299" s="519"/>
      <c r="R299" s="519"/>
      <c r="S299" s="399">
        <v>7500000</v>
      </c>
      <c r="T299" s="331"/>
    </row>
    <row r="300" spans="1:20" s="190" customFormat="1" ht="32.25" customHeight="1" x14ac:dyDescent="0.2">
      <c r="A300" s="390">
        <f t="shared" si="0"/>
        <v>284</v>
      </c>
      <c r="B300" s="433">
        <v>45988</v>
      </c>
      <c r="C300" s="407" t="s">
        <v>1002</v>
      </c>
      <c r="D300" s="404"/>
      <c r="E300" s="391">
        <v>1</v>
      </c>
      <c r="F300" s="401" t="s">
        <v>1018</v>
      </c>
      <c r="G300" s="393" t="s">
        <v>308</v>
      </c>
      <c r="H300" s="395" t="s">
        <v>172</v>
      </c>
      <c r="I300" s="390" t="s">
        <v>1004</v>
      </c>
      <c r="J300" s="396" t="s">
        <v>174</v>
      </c>
      <c r="K300" s="396" t="s">
        <v>39</v>
      </c>
      <c r="L300" s="397" t="s">
        <v>1678</v>
      </c>
      <c r="M300" s="165">
        <v>1500000</v>
      </c>
      <c r="N300" s="517">
        <v>453600</v>
      </c>
      <c r="O300" s="533">
        <v>16186</v>
      </c>
      <c r="P300" s="409"/>
      <c r="Q300" s="520"/>
      <c r="R300" s="520"/>
      <c r="S300" s="399">
        <v>2700000</v>
      </c>
      <c r="T300" s="331"/>
    </row>
    <row r="301" spans="1:20" s="190" customFormat="1" ht="32.25" customHeight="1" x14ac:dyDescent="0.2">
      <c r="A301" s="390">
        <f t="shared" si="0"/>
        <v>285</v>
      </c>
      <c r="B301" s="433">
        <v>45988</v>
      </c>
      <c r="C301" s="407" t="s">
        <v>1019</v>
      </c>
      <c r="D301" s="404"/>
      <c r="E301" s="391">
        <v>1</v>
      </c>
      <c r="F301" s="401" t="s">
        <v>1020</v>
      </c>
      <c r="G301" s="393" t="s">
        <v>290</v>
      </c>
      <c r="H301" s="395" t="s">
        <v>486</v>
      </c>
      <c r="I301" s="390" t="s">
        <v>256</v>
      </c>
      <c r="J301" s="396" t="s">
        <v>39</v>
      </c>
      <c r="K301" s="408" t="s">
        <v>174</v>
      </c>
      <c r="L301" s="397" t="s">
        <v>1021</v>
      </c>
      <c r="M301" s="398">
        <v>1500000</v>
      </c>
      <c r="N301" s="519"/>
      <c r="O301" s="533"/>
      <c r="P301" s="398"/>
      <c r="Q301" s="519"/>
      <c r="R301" s="519"/>
      <c r="S301" s="399">
        <v>4500000</v>
      </c>
      <c r="T301" s="331"/>
    </row>
    <row r="302" spans="1:20" s="190" customFormat="1" ht="32.25" customHeight="1" x14ac:dyDescent="0.2">
      <c r="A302" s="390">
        <f t="shared" si="0"/>
        <v>286</v>
      </c>
      <c r="B302" s="433">
        <v>45988</v>
      </c>
      <c r="C302" s="407" t="s">
        <v>1022</v>
      </c>
      <c r="D302" s="404"/>
      <c r="E302" s="391">
        <v>1</v>
      </c>
      <c r="F302" s="401" t="s">
        <v>1023</v>
      </c>
      <c r="G302" s="393" t="s">
        <v>927</v>
      </c>
      <c r="H302" s="395" t="s">
        <v>298</v>
      </c>
      <c r="I302" s="394" t="s">
        <v>299</v>
      </c>
      <c r="J302" s="396" t="s">
        <v>39</v>
      </c>
      <c r="K302" s="408" t="s">
        <v>174</v>
      </c>
      <c r="L302" s="397" t="s">
        <v>1024</v>
      </c>
      <c r="M302" s="398">
        <v>1500000</v>
      </c>
      <c r="N302" s="519"/>
      <c r="O302" s="533"/>
      <c r="P302" s="398"/>
      <c r="Q302" s="519"/>
      <c r="R302" s="519"/>
      <c r="S302" s="399">
        <v>5300000</v>
      </c>
      <c r="T302" s="331"/>
    </row>
    <row r="303" spans="1:20" s="190" customFormat="1" ht="32.25" customHeight="1" x14ac:dyDescent="0.2">
      <c r="A303" s="390">
        <f t="shared" si="0"/>
        <v>287</v>
      </c>
      <c r="B303" s="433">
        <v>45988</v>
      </c>
      <c r="C303" s="407" t="s">
        <v>1022</v>
      </c>
      <c r="D303" s="404"/>
      <c r="E303" s="391">
        <v>1</v>
      </c>
      <c r="F303" s="410" t="s">
        <v>1025</v>
      </c>
      <c r="G303" s="393" t="s">
        <v>302</v>
      </c>
      <c r="H303" s="395" t="s">
        <v>298</v>
      </c>
      <c r="I303" s="394" t="s">
        <v>299</v>
      </c>
      <c r="J303" s="396" t="s">
        <v>39</v>
      </c>
      <c r="K303" s="408" t="s">
        <v>174</v>
      </c>
      <c r="L303" s="397" t="s">
        <v>1026</v>
      </c>
      <c r="M303" s="398">
        <v>1500000</v>
      </c>
      <c r="N303" s="519"/>
      <c r="O303" s="533"/>
      <c r="P303" s="398"/>
      <c r="Q303" s="519"/>
      <c r="R303" s="519"/>
      <c r="S303" s="399">
        <v>5300000</v>
      </c>
      <c r="T303" s="331"/>
    </row>
    <row r="304" spans="1:20" s="190" customFormat="1" ht="32.25" customHeight="1" x14ac:dyDescent="0.2">
      <c r="A304" s="390">
        <f t="shared" si="0"/>
        <v>288</v>
      </c>
      <c r="B304" s="433">
        <v>45988</v>
      </c>
      <c r="C304" s="391" t="s">
        <v>1027</v>
      </c>
      <c r="D304" s="404"/>
      <c r="E304" s="391">
        <v>1</v>
      </c>
      <c r="F304" s="401" t="s">
        <v>1028</v>
      </c>
      <c r="G304" s="393" t="s">
        <v>308</v>
      </c>
      <c r="H304" s="395" t="s">
        <v>180</v>
      </c>
      <c r="I304" s="396" t="s">
        <v>181</v>
      </c>
      <c r="J304" s="396" t="s">
        <v>39</v>
      </c>
      <c r="K304" s="408" t="s">
        <v>1029</v>
      </c>
      <c r="L304" s="411" t="s">
        <v>1030</v>
      </c>
      <c r="M304" s="398">
        <v>1500000</v>
      </c>
      <c r="N304" s="519"/>
      <c r="O304" s="533"/>
      <c r="P304" s="398"/>
      <c r="Q304" s="519"/>
      <c r="R304" s="519"/>
      <c r="S304" s="399">
        <v>4500000</v>
      </c>
      <c r="T304" s="331"/>
    </row>
    <row r="305" spans="1:20" s="190" customFormat="1" ht="32.25" customHeight="1" x14ac:dyDescent="0.2">
      <c r="A305" s="390">
        <f t="shared" si="0"/>
        <v>289</v>
      </c>
      <c r="B305" s="433">
        <v>45988</v>
      </c>
      <c r="C305" s="391" t="s">
        <v>1027</v>
      </c>
      <c r="D305" s="400"/>
      <c r="E305" s="391">
        <v>1</v>
      </c>
      <c r="F305" s="393" t="s">
        <v>1031</v>
      </c>
      <c r="G305" s="393" t="s">
        <v>335</v>
      </c>
      <c r="H305" s="395" t="s">
        <v>180</v>
      </c>
      <c r="I305" s="396" t="s">
        <v>181</v>
      </c>
      <c r="J305" s="396" t="s">
        <v>39</v>
      </c>
      <c r="K305" s="408" t="s">
        <v>1029</v>
      </c>
      <c r="L305" s="397" t="s">
        <v>1032</v>
      </c>
      <c r="M305" s="398">
        <v>1500000</v>
      </c>
      <c r="N305" s="519"/>
      <c r="O305" s="533"/>
      <c r="P305" s="398"/>
      <c r="Q305" s="519"/>
      <c r="R305" s="519"/>
      <c r="S305" s="399">
        <v>4500000</v>
      </c>
      <c r="T305" s="331"/>
    </row>
    <row r="306" spans="1:20" s="190" customFormat="1" ht="32.25" customHeight="1" x14ac:dyDescent="0.2">
      <c r="A306" s="390">
        <f t="shared" si="0"/>
        <v>290</v>
      </c>
      <c r="B306" s="433">
        <v>45988</v>
      </c>
      <c r="C306" s="391" t="s">
        <v>1033</v>
      </c>
      <c r="D306" s="400"/>
      <c r="E306" s="391">
        <v>1</v>
      </c>
      <c r="F306" s="401" t="s">
        <v>1034</v>
      </c>
      <c r="G306" s="393" t="s">
        <v>225</v>
      </c>
      <c r="H306" s="395" t="s">
        <v>180</v>
      </c>
      <c r="I306" s="396" t="s">
        <v>181</v>
      </c>
      <c r="J306" s="396" t="s">
        <v>537</v>
      </c>
      <c r="K306" s="408" t="s">
        <v>39</v>
      </c>
      <c r="L306" s="397" t="s">
        <v>1035</v>
      </c>
      <c r="M306" s="398">
        <v>1512000</v>
      </c>
      <c r="N306" s="519"/>
      <c r="O306" s="533"/>
      <c r="P306" s="398"/>
      <c r="Q306" s="519"/>
      <c r="R306" s="519"/>
      <c r="S306" s="399">
        <v>4500000</v>
      </c>
      <c r="T306" s="331"/>
    </row>
    <row r="307" spans="1:20" s="190" customFormat="1" ht="32.25" customHeight="1" x14ac:dyDescent="0.2">
      <c r="A307" s="390">
        <f t="shared" si="0"/>
        <v>291</v>
      </c>
      <c r="B307" s="433">
        <v>45988</v>
      </c>
      <c r="C307" s="395" t="s">
        <v>1036</v>
      </c>
      <c r="D307" s="400"/>
      <c r="E307" s="391">
        <v>1</v>
      </c>
      <c r="F307" s="401" t="s">
        <v>1037</v>
      </c>
      <c r="G307" s="393" t="s">
        <v>194</v>
      </c>
      <c r="H307" s="395" t="s">
        <v>999</v>
      </c>
      <c r="I307" s="394" t="s">
        <v>200</v>
      </c>
      <c r="J307" s="396" t="s">
        <v>853</v>
      </c>
      <c r="K307" s="408" t="s">
        <v>39</v>
      </c>
      <c r="L307" s="397" t="s">
        <v>1038</v>
      </c>
      <c r="M307" s="398">
        <v>1512000</v>
      </c>
      <c r="N307" s="519"/>
      <c r="O307" s="533"/>
      <c r="P307" s="398"/>
      <c r="Q307" s="519"/>
      <c r="R307" s="519"/>
      <c r="S307" s="399">
        <v>4500000</v>
      </c>
      <c r="T307" s="331"/>
    </row>
    <row r="308" spans="1:20" s="190" customFormat="1" ht="32.25" customHeight="1" x14ac:dyDescent="0.2">
      <c r="A308" s="390">
        <f t="shared" si="0"/>
        <v>292</v>
      </c>
      <c r="B308" s="433">
        <v>45988</v>
      </c>
      <c r="C308" s="395" t="s">
        <v>1036</v>
      </c>
      <c r="D308" s="400"/>
      <c r="E308" s="391">
        <v>1</v>
      </c>
      <c r="F308" s="401" t="s">
        <v>1039</v>
      </c>
      <c r="G308" s="393" t="s">
        <v>210</v>
      </c>
      <c r="H308" s="395" t="s">
        <v>999</v>
      </c>
      <c r="I308" s="394" t="s">
        <v>200</v>
      </c>
      <c r="J308" s="396" t="s">
        <v>853</v>
      </c>
      <c r="K308" s="408" t="s">
        <v>39</v>
      </c>
      <c r="L308" s="397" t="s">
        <v>1040</v>
      </c>
      <c r="M308" s="398">
        <v>1512000</v>
      </c>
      <c r="N308" s="519"/>
      <c r="O308" s="533"/>
      <c r="P308" s="409"/>
      <c r="Q308" s="520"/>
      <c r="R308" s="520"/>
      <c r="S308" s="399">
        <v>4500000</v>
      </c>
      <c r="T308" s="331"/>
    </row>
    <row r="309" spans="1:20" s="190" customFormat="1" ht="32.25" customHeight="1" x14ac:dyDescent="0.2">
      <c r="A309" s="390">
        <f t="shared" si="0"/>
        <v>293</v>
      </c>
      <c r="B309" s="433">
        <v>45988</v>
      </c>
      <c r="C309" s="395" t="s">
        <v>1036</v>
      </c>
      <c r="D309" s="400"/>
      <c r="E309" s="391">
        <v>1</v>
      </c>
      <c r="F309" s="401" t="s">
        <v>1041</v>
      </c>
      <c r="G309" s="393" t="s">
        <v>207</v>
      </c>
      <c r="H309" s="395" t="s">
        <v>999</v>
      </c>
      <c r="I309" s="394" t="s">
        <v>200</v>
      </c>
      <c r="J309" s="396" t="s">
        <v>853</v>
      </c>
      <c r="K309" s="408" t="s">
        <v>39</v>
      </c>
      <c r="L309" s="397" t="s">
        <v>1042</v>
      </c>
      <c r="M309" s="398">
        <v>1512000</v>
      </c>
      <c r="N309" s="519"/>
      <c r="O309" s="533"/>
      <c r="P309" s="398"/>
      <c r="Q309" s="519"/>
      <c r="R309" s="519"/>
      <c r="S309" s="399">
        <v>4500000</v>
      </c>
      <c r="T309" s="331"/>
    </row>
    <row r="310" spans="1:20" s="190" customFormat="1" ht="32.25" customHeight="1" x14ac:dyDescent="0.2">
      <c r="A310" s="390">
        <f t="shared" si="0"/>
        <v>294</v>
      </c>
      <c r="B310" s="433">
        <v>45988</v>
      </c>
      <c r="C310" s="395" t="s">
        <v>1036</v>
      </c>
      <c r="D310" s="400"/>
      <c r="E310" s="391">
        <v>1</v>
      </c>
      <c r="F310" s="401" t="s">
        <v>1043</v>
      </c>
      <c r="G310" s="393" t="s">
        <v>222</v>
      </c>
      <c r="H310" s="395" t="s">
        <v>999</v>
      </c>
      <c r="I310" s="394" t="s">
        <v>200</v>
      </c>
      <c r="J310" s="396" t="s">
        <v>853</v>
      </c>
      <c r="K310" s="408" t="s">
        <v>39</v>
      </c>
      <c r="L310" s="397" t="s">
        <v>1044</v>
      </c>
      <c r="M310" s="398">
        <v>1512000</v>
      </c>
      <c r="N310" s="519"/>
      <c r="O310" s="533"/>
      <c r="P310" s="398"/>
      <c r="Q310" s="519"/>
      <c r="R310" s="519"/>
      <c r="S310" s="399">
        <v>4500000</v>
      </c>
      <c r="T310" s="331"/>
    </row>
    <row r="311" spans="1:20" s="190" customFormat="1" ht="32.25" customHeight="1" x14ac:dyDescent="0.2">
      <c r="A311" s="390">
        <f t="shared" si="0"/>
        <v>295</v>
      </c>
      <c r="B311" s="433">
        <v>45988</v>
      </c>
      <c r="C311" s="395" t="s">
        <v>1036</v>
      </c>
      <c r="D311" s="400"/>
      <c r="E311" s="391">
        <v>1</v>
      </c>
      <c r="F311" s="410" t="s">
        <v>1045</v>
      </c>
      <c r="G311" s="393" t="s">
        <v>204</v>
      </c>
      <c r="H311" s="395" t="s">
        <v>999</v>
      </c>
      <c r="I311" s="394" t="s">
        <v>200</v>
      </c>
      <c r="J311" s="396" t="s">
        <v>853</v>
      </c>
      <c r="K311" s="408" t="s">
        <v>39</v>
      </c>
      <c r="L311" s="397" t="s">
        <v>1046</v>
      </c>
      <c r="M311" s="398">
        <v>1512000</v>
      </c>
      <c r="N311" s="519"/>
      <c r="O311" s="533"/>
      <c r="P311" s="398"/>
      <c r="Q311" s="519"/>
      <c r="R311" s="519"/>
      <c r="S311" s="399">
        <v>4500000</v>
      </c>
      <c r="T311" s="331"/>
    </row>
    <row r="312" spans="1:20" s="190" customFormat="1" ht="32.25" customHeight="1" x14ac:dyDescent="0.2">
      <c r="A312" s="390">
        <f t="shared" si="0"/>
        <v>296</v>
      </c>
      <c r="B312" s="433">
        <v>45989</v>
      </c>
      <c r="C312" s="395" t="s">
        <v>1022</v>
      </c>
      <c r="D312" s="400"/>
      <c r="E312" s="391">
        <v>1</v>
      </c>
      <c r="F312" s="393" t="s">
        <v>1047</v>
      </c>
      <c r="G312" s="395" t="s">
        <v>943</v>
      </c>
      <c r="H312" s="389" t="s">
        <v>1048</v>
      </c>
      <c r="I312" s="396" t="s">
        <v>1049</v>
      </c>
      <c r="J312" s="408" t="s">
        <v>39</v>
      </c>
      <c r="K312" s="395" t="s">
        <v>683</v>
      </c>
      <c r="L312" s="397" t="s">
        <v>1050</v>
      </c>
      <c r="M312" s="398">
        <v>1500000</v>
      </c>
      <c r="N312" s="519"/>
      <c r="O312" s="533"/>
      <c r="P312" s="398"/>
      <c r="Q312" s="519"/>
      <c r="R312" s="519"/>
      <c r="S312" s="399">
        <v>3100000</v>
      </c>
      <c r="T312" s="331"/>
    </row>
    <row r="313" spans="1:20" s="190" customFormat="1" ht="32.25" customHeight="1" x14ac:dyDescent="0.2">
      <c r="A313" s="390">
        <f t="shared" si="0"/>
        <v>297</v>
      </c>
      <c r="B313" s="433">
        <v>45989</v>
      </c>
      <c r="C313" s="395" t="s">
        <v>1022</v>
      </c>
      <c r="D313" s="400"/>
      <c r="E313" s="391">
        <v>1</v>
      </c>
      <c r="F313" s="412" t="s">
        <v>1051</v>
      </c>
      <c r="G313" s="393" t="s">
        <v>210</v>
      </c>
      <c r="H313" s="389" t="s">
        <v>1048</v>
      </c>
      <c r="I313" s="396" t="s">
        <v>1049</v>
      </c>
      <c r="J313" s="408" t="s">
        <v>39</v>
      </c>
      <c r="K313" s="413" t="s">
        <v>683</v>
      </c>
      <c r="L313" s="397" t="s">
        <v>1052</v>
      </c>
      <c r="M313" s="398">
        <v>1500000</v>
      </c>
      <c r="N313" s="519"/>
      <c r="O313" s="533"/>
      <c r="P313" s="398"/>
      <c r="Q313" s="519"/>
      <c r="R313" s="519"/>
      <c r="S313" s="399">
        <v>3100000</v>
      </c>
      <c r="T313" s="331"/>
    </row>
    <row r="314" spans="1:20" s="190" customFormat="1" ht="32.25" customHeight="1" x14ac:dyDescent="0.2">
      <c r="A314" s="390">
        <f t="shared" si="0"/>
        <v>298</v>
      </c>
      <c r="B314" s="433">
        <v>45989</v>
      </c>
      <c r="C314" s="395" t="s">
        <v>1053</v>
      </c>
      <c r="D314" s="414"/>
      <c r="E314" s="391">
        <v>1</v>
      </c>
      <c r="F314" s="412" t="s">
        <v>1054</v>
      </c>
      <c r="G314" s="393" t="s">
        <v>207</v>
      </c>
      <c r="H314" s="389" t="s">
        <v>1055</v>
      </c>
      <c r="I314" s="390" t="s">
        <v>1056</v>
      </c>
      <c r="J314" s="408" t="s">
        <v>39</v>
      </c>
      <c r="K314" s="396" t="s">
        <v>461</v>
      </c>
      <c r="L314" s="411" t="s">
        <v>1057</v>
      </c>
      <c r="M314" s="398">
        <v>1500000</v>
      </c>
      <c r="N314" s="519"/>
      <c r="O314" s="533"/>
      <c r="P314" s="398"/>
      <c r="Q314" s="519"/>
      <c r="R314" s="519"/>
      <c r="S314" s="399">
        <v>4000000</v>
      </c>
      <c r="T314" s="331"/>
    </row>
    <row r="315" spans="1:20" s="190" customFormat="1" ht="32.25" customHeight="1" x14ac:dyDescent="0.2">
      <c r="A315" s="390">
        <f t="shared" si="0"/>
        <v>299</v>
      </c>
      <c r="B315" s="433">
        <v>45989</v>
      </c>
      <c r="C315" s="395" t="s">
        <v>1053</v>
      </c>
      <c r="D315" s="414"/>
      <c r="E315" s="391">
        <v>1</v>
      </c>
      <c r="F315" s="412" t="s">
        <v>1058</v>
      </c>
      <c r="G315" s="393" t="s">
        <v>191</v>
      </c>
      <c r="H315" s="389" t="s">
        <v>1055</v>
      </c>
      <c r="I315" s="390" t="s">
        <v>1056</v>
      </c>
      <c r="J315" s="408" t="s">
        <v>39</v>
      </c>
      <c r="K315" s="396" t="s">
        <v>461</v>
      </c>
      <c r="L315" s="397" t="s">
        <v>1059</v>
      </c>
      <c r="M315" s="398">
        <v>1500000</v>
      </c>
      <c r="N315" s="519"/>
      <c r="O315" s="533"/>
      <c r="P315" s="398"/>
      <c r="Q315" s="519"/>
      <c r="R315" s="519"/>
      <c r="S315" s="399">
        <v>4000000</v>
      </c>
      <c r="T315" s="331"/>
    </row>
    <row r="316" spans="1:20" s="190" customFormat="1" ht="32.25" customHeight="1" x14ac:dyDescent="0.2">
      <c r="A316" s="390">
        <f t="shared" si="0"/>
        <v>300</v>
      </c>
      <c r="B316" s="433">
        <v>45989</v>
      </c>
      <c r="C316" s="395" t="s">
        <v>1053</v>
      </c>
      <c r="D316" s="414"/>
      <c r="E316" s="415">
        <v>1</v>
      </c>
      <c r="F316" s="416" t="s">
        <v>1060</v>
      </c>
      <c r="G316" s="393" t="s">
        <v>216</v>
      </c>
      <c r="H316" s="389" t="s">
        <v>1055</v>
      </c>
      <c r="I316" s="390" t="s">
        <v>1056</v>
      </c>
      <c r="J316" s="408" t="s">
        <v>39</v>
      </c>
      <c r="K316" s="396" t="s">
        <v>461</v>
      </c>
      <c r="L316" s="397" t="s">
        <v>1061</v>
      </c>
      <c r="M316" s="398">
        <v>1500000</v>
      </c>
      <c r="N316" s="519"/>
      <c r="O316" s="533"/>
      <c r="P316" s="398"/>
      <c r="Q316" s="519"/>
      <c r="R316" s="519"/>
      <c r="S316" s="399">
        <v>4000000</v>
      </c>
      <c r="T316" s="331"/>
    </row>
    <row r="317" spans="1:20" s="190" customFormat="1" ht="32.25" customHeight="1" x14ac:dyDescent="0.2">
      <c r="A317" s="390">
        <f t="shared" si="0"/>
        <v>301</v>
      </c>
      <c r="B317" s="433">
        <v>45989</v>
      </c>
      <c r="C317" s="395" t="s">
        <v>1053</v>
      </c>
      <c r="D317" s="417"/>
      <c r="E317" s="415">
        <v>1</v>
      </c>
      <c r="F317" s="412" t="s">
        <v>1062</v>
      </c>
      <c r="G317" s="393" t="s">
        <v>222</v>
      </c>
      <c r="H317" s="389" t="s">
        <v>1055</v>
      </c>
      <c r="I317" s="390" t="s">
        <v>1056</v>
      </c>
      <c r="J317" s="408" t="s">
        <v>39</v>
      </c>
      <c r="K317" s="396" t="s">
        <v>461</v>
      </c>
      <c r="L317" s="418" t="s">
        <v>1063</v>
      </c>
      <c r="M317" s="409">
        <v>1500000</v>
      </c>
      <c r="N317" s="520"/>
      <c r="O317" s="534"/>
      <c r="P317" s="409"/>
      <c r="Q317" s="520"/>
      <c r="R317" s="520"/>
      <c r="S317" s="399">
        <v>4000000</v>
      </c>
      <c r="T317" s="331"/>
    </row>
    <row r="318" spans="1:20" s="190" customFormat="1" ht="32.25" customHeight="1" x14ac:dyDescent="0.2">
      <c r="A318" s="390">
        <f t="shared" si="0"/>
        <v>302</v>
      </c>
      <c r="B318" s="433">
        <v>45989</v>
      </c>
      <c r="C318" s="395" t="s">
        <v>1053</v>
      </c>
      <c r="D318" s="414"/>
      <c r="E318" s="415">
        <v>1</v>
      </c>
      <c r="F318" s="412" t="s">
        <v>1064</v>
      </c>
      <c r="G318" s="393" t="s">
        <v>207</v>
      </c>
      <c r="H318" s="389" t="s">
        <v>1055</v>
      </c>
      <c r="I318" s="390" t="s">
        <v>1056</v>
      </c>
      <c r="J318" s="408" t="s">
        <v>39</v>
      </c>
      <c r="K318" s="396" t="s">
        <v>461</v>
      </c>
      <c r="L318" s="418" t="s">
        <v>1065</v>
      </c>
      <c r="M318" s="409">
        <v>1500000</v>
      </c>
      <c r="N318" s="520"/>
      <c r="O318" s="534"/>
      <c r="P318" s="409"/>
      <c r="Q318" s="520"/>
      <c r="R318" s="520"/>
      <c r="S318" s="399">
        <v>4000000</v>
      </c>
      <c r="T318" s="331"/>
    </row>
    <row r="319" spans="1:20" s="190" customFormat="1" ht="32.25" customHeight="1" x14ac:dyDescent="0.2">
      <c r="A319" s="390">
        <f t="shared" si="0"/>
        <v>303</v>
      </c>
      <c r="B319" s="433">
        <v>45989</v>
      </c>
      <c r="C319" s="395" t="s">
        <v>1053</v>
      </c>
      <c r="D319" s="414"/>
      <c r="E319" s="415">
        <v>1</v>
      </c>
      <c r="F319" s="412" t="s">
        <v>1066</v>
      </c>
      <c r="G319" s="393" t="s">
        <v>335</v>
      </c>
      <c r="H319" s="389" t="s">
        <v>1055</v>
      </c>
      <c r="I319" s="390" t="s">
        <v>1056</v>
      </c>
      <c r="J319" s="408" t="s">
        <v>39</v>
      </c>
      <c r="K319" s="396" t="s">
        <v>461</v>
      </c>
      <c r="L319" s="418" t="s">
        <v>1067</v>
      </c>
      <c r="M319" s="409">
        <v>1500000</v>
      </c>
      <c r="N319" s="520"/>
      <c r="O319" s="534"/>
      <c r="P319" s="409"/>
      <c r="Q319" s="520"/>
      <c r="R319" s="520"/>
      <c r="S319" s="399">
        <v>4000000</v>
      </c>
      <c r="T319" s="331"/>
    </row>
    <row r="320" spans="1:20" s="190" customFormat="1" ht="32.25" customHeight="1" x14ac:dyDescent="0.2">
      <c r="A320" s="390">
        <f t="shared" si="0"/>
        <v>304</v>
      </c>
      <c r="B320" s="433">
        <v>45990</v>
      </c>
      <c r="C320" s="395" t="s">
        <v>1022</v>
      </c>
      <c r="D320" s="414"/>
      <c r="E320" s="415">
        <v>1</v>
      </c>
      <c r="F320" s="412" t="s">
        <v>1068</v>
      </c>
      <c r="G320" s="393" t="s">
        <v>308</v>
      </c>
      <c r="H320" s="389" t="s">
        <v>298</v>
      </c>
      <c r="I320" s="394" t="s">
        <v>299</v>
      </c>
      <c r="J320" s="408" t="s">
        <v>39</v>
      </c>
      <c r="K320" s="396" t="s">
        <v>683</v>
      </c>
      <c r="L320" s="418" t="s">
        <v>1069</v>
      </c>
      <c r="M320" s="409">
        <v>1500000</v>
      </c>
      <c r="N320" s="520"/>
      <c r="O320" s="534"/>
      <c r="P320" s="409"/>
      <c r="Q320" s="520"/>
      <c r="R320" s="520"/>
      <c r="S320" s="399">
        <v>5300000</v>
      </c>
      <c r="T320" s="331"/>
    </row>
    <row r="321" spans="1:20" s="190" customFormat="1" ht="32.25" customHeight="1" x14ac:dyDescent="0.2">
      <c r="A321" s="390">
        <f t="shared" si="0"/>
        <v>305</v>
      </c>
      <c r="B321" s="433">
        <v>45990</v>
      </c>
      <c r="C321" s="395" t="s">
        <v>1070</v>
      </c>
      <c r="D321" s="414"/>
      <c r="E321" s="415">
        <v>1</v>
      </c>
      <c r="F321" s="416" t="s">
        <v>1071</v>
      </c>
      <c r="G321" s="393" t="s">
        <v>207</v>
      </c>
      <c r="H321" s="549" t="s">
        <v>298</v>
      </c>
      <c r="I321" s="394" t="s">
        <v>608</v>
      </c>
      <c r="J321" s="408" t="s">
        <v>39</v>
      </c>
      <c r="K321" s="396" t="s">
        <v>433</v>
      </c>
      <c r="L321" s="418" t="s">
        <v>1072</v>
      </c>
      <c r="M321" s="409">
        <v>1500000</v>
      </c>
      <c r="N321" s="520"/>
      <c r="O321" s="534"/>
      <c r="P321" s="409"/>
      <c r="Q321" s="520"/>
      <c r="R321" s="520"/>
      <c r="S321" s="399">
        <v>5300000</v>
      </c>
      <c r="T321" s="331"/>
    </row>
    <row r="322" spans="1:20" s="190" customFormat="1" ht="32.25" customHeight="1" x14ac:dyDescent="0.2">
      <c r="A322" s="390">
        <f t="shared" si="0"/>
        <v>306</v>
      </c>
      <c r="B322" s="433">
        <v>45990</v>
      </c>
      <c r="C322" s="395" t="s">
        <v>1070</v>
      </c>
      <c r="D322" s="419"/>
      <c r="E322" s="420">
        <v>1</v>
      </c>
      <c r="F322" s="412" t="s">
        <v>1073</v>
      </c>
      <c r="G322" s="393" t="s">
        <v>198</v>
      </c>
      <c r="H322" s="549" t="s">
        <v>298</v>
      </c>
      <c r="I322" s="394" t="s">
        <v>608</v>
      </c>
      <c r="J322" s="408" t="s">
        <v>39</v>
      </c>
      <c r="K322" s="396" t="s">
        <v>433</v>
      </c>
      <c r="L322" s="418" t="s">
        <v>1074</v>
      </c>
      <c r="M322" s="409">
        <v>1500000</v>
      </c>
      <c r="N322" s="520"/>
      <c r="O322" s="534"/>
      <c r="P322" s="409"/>
      <c r="Q322" s="520"/>
      <c r="R322" s="520"/>
      <c r="S322" s="399">
        <v>5300000</v>
      </c>
      <c r="T322" s="331"/>
    </row>
    <row r="323" spans="1:20" s="190" customFormat="1" ht="32.25" customHeight="1" x14ac:dyDescent="0.2">
      <c r="A323" s="390">
        <f t="shared" si="0"/>
        <v>307</v>
      </c>
      <c r="B323" s="433">
        <v>45990</v>
      </c>
      <c r="C323" s="395" t="s">
        <v>1070</v>
      </c>
      <c r="D323" s="400"/>
      <c r="E323" s="420">
        <v>1</v>
      </c>
      <c r="F323" s="412" t="s">
        <v>1075</v>
      </c>
      <c r="G323" s="393" t="s">
        <v>305</v>
      </c>
      <c r="H323" s="549" t="s">
        <v>298</v>
      </c>
      <c r="I323" s="394" t="s">
        <v>608</v>
      </c>
      <c r="J323" s="408" t="s">
        <v>39</v>
      </c>
      <c r="K323" s="396" t="s">
        <v>433</v>
      </c>
      <c r="L323" s="418" t="s">
        <v>1076</v>
      </c>
      <c r="M323" s="409">
        <v>1500000</v>
      </c>
      <c r="N323" s="520"/>
      <c r="O323" s="534"/>
      <c r="P323" s="409"/>
      <c r="Q323" s="520"/>
      <c r="R323" s="520"/>
      <c r="S323" s="399">
        <v>5300000</v>
      </c>
      <c r="T323" s="331"/>
    </row>
    <row r="324" spans="1:20" s="190" customFormat="1" ht="32.25" customHeight="1" x14ac:dyDescent="0.2">
      <c r="A324" s="390">
        <f t="shared" si="0"/>
        <v>308</v>
      </c>
      <c r="B324" s="433">
        <v>45990</v>
      </c>
      <c r="C324" s="395" t="s">
        <v>1070</v>
      </c>
      <c r="D324" s="400"/>
      <c r="E324" s="420">
        <v>1</v>
      </c>
      <c r="F324" s="412" t="s">
        <v>1077</v>
      </c>
      <c r="G324" s="393" t="s">
        <v>341</v>
      </c>
      <c r="H324" s="549" t="s">
        <v>298</v>
      </c>
      <c r="I324" s="394" t="s">
        <v>608</v>
      </c>
      <c r="J324" s="408" t="s">
        <v>39</v>
      </c>
      <c r="K324" s="396" t="s">
        <v>433</v>
      </c>
      <c r="L324" s="397" t="s">
        <v>1078</v>
      </c>
      <c r="M324" s="398">
        <v>1500000</v>
      </c>
      <c r="N324" s="519"/>
      <c r="O324" s="533"/>
      <c r="P324" s="398"/>
      <c r="Q324" s="519"/>
      <c r="R324" s="519"/>
      <c r="S324" s="399">
        <v>5300000</v>
      </c>
      <c r="T324" s="331"/>
    </row>
    <row r="325" spans="1:20" s="190" customFormat="1" ht="32.25" customHeight="1" x14ac:dyDescent="0.2">
      <c r="A325" s="390">
        <f t="shared" si="0"/>
        <v>309</v>
      </c>
      <c r="B325" s="433">
        <v>45990</v>
      </c>
      <c r="C325" s="395" t="s">
        <v>1070</v>
      </c>
      <c r="D325" s="421"/>
      <c r="E325" s="420">
        <v>1</v>
      </c>
      <c r="F325" s="416" t="s">
        <v>1079</v>
      </c>
      <c r="G325" s="393" t="s">
        <v>213</v>
      </c>
      <c r="H325" s="549" t="s">
        <v>298</v>
      </c>
      <c r="I325" s="394" t="s">
        <v>608</v>
      </c>
      <c r="J325" s="408" t="s">
        <v>39</v>
      </c>
      <c r="K325" s="396" t="s">
        <v>433</v>
      </c>
      <c r="L325" s="418" t="s">
        <v>1080</v>
      </c>
      <c r="M325" s="398">
        <v>1500000</v>
      </c>
      <c r="N325" s="519"/>
      <c r="O325" s="533"/>
      <c r="P325" s="409"/>
      <c r="Q325" s="520"/>
      <c r="R325" s="520"/>
      <c r="S325" s="399">
        <v>5300000</v>
      </c>
      <c r="T325" s="331"/>
    </row>
    <row r="326" spans="1:20" s="190" customFormat="1" ht="32.25" customHeight="1" x14ac:dyDescent="0.2">
      <c r="A326" s="390">
        <f t="shared" si="0"/>
        <v>310</v>
      </c>
      <c r="B326" s="433">
        <v>45990</v>
      </c>
      <c r="C326" s="395" t="s">
        <v>1070</v>
      </c>
      <c r="D326" s="400"/>
      <c r="E326" s="420">
        <v>1</v>
      </c>
      <c r="F326" s="412" t="s">
        <v>1081</v>
      </c>
      <c r="G326" s="393" t="s">
        <v>194</v>
      </c>
      <c r="H326" s="549" t="s">
        <v>298</v>
      </c>
      <c r="I326" s="394" t="s">
        <v>608</v>
      </c>
      <c r="J326" s="408" t="s">
        <v>39</v>
      </c>
      <c r="K326" s="396" t="s">
        <v>433</v>
      </c>
      <c r="L326" s="397" t="s">
        <v>1082</v>
      </c>
      <c r="M326" s="398">
        <v>1500000</v>
      </c>
      <c r="N326" s="519"/>
      <c r="O326" s="533"/>
      <c r="P326" s="398"/>
      <c r="Q326" s="519"/>
      <c r="R326" s="519"/>
      <c r="S326" s="399">
        <v>5300000</v>
      </c>
      <c r="T326" s="331"/>
    </row>
    <row r="327" spans="1:20" s="190" customFormat="1" ht="32.25" customHeight="1" x14ac:dyDescent="0.2">
      <c r="A327" s="390">
        <f t="shared" si="0"/>
        <v>311</v>
      </c>
      <c r="B327" s="433">
        <v>45990</v>
      </c>
      <c r="C327" s="422" t="s">
        <v>1083</v>
      </c>
      <c r="D327" s="423"/>
      <c r="E327" s="415">
        <v>1</v>
      </c>
      <c r="F327" s="413" t="s">
        <v>1084</v>
      </c>
      <c r="G327" s="393" t="s">
        <v>349</v>
      </c>
      <c r="H327" s="424" t="s">
        <v>976</v>
      </c>
      <c r="I327" s="425" t="s">
        <v>38</v>
      </c>
      <c r="J327" s="408" t="s">
        <v>39</v>
      </c>
      <c r="K327" s="395" t="s">
        <v>1085</v>
      </c>
      <c r="L327" s="397" t="s">
        <v>1086</v>
      </c>
      <c r="M327" s="398">
        <v>1500000</v>
      </c>
      <c r="N327" s="519"/>
      <c r="O327" s="533"/>
      <c r="P327" s="398">
        <v>1500000</v>
      </c>
      <c r="Q327" s="519"/>
      <c r="R327" s="519"/>
      <c r="S327" s="399">
        <v>4400000</v>
      </c>
      <c r="T327" s="331"/>
    </row>
    <row r="328" spans="1:20" s="190" customFormat="1" ht="32.25" customHeight="1" x14ac:dyDescent="0.2">
      <c r="A328" s="390">
        <f t="shared" si="0"/>
        <v>312</v>
      </c>
      <c r="B328" s="433">
        <v>45990</v>
      </c>
      <c r="C328" s="395" t="s">
        <v>1083</v>
      </c>
      <c r="D328" s="404"/>
      <c r="E328" s="391">
        <v>1</v>
      </c>
      <c r="F328" s="412" t="s">
        <v>1087</v>
      </c>
      <c r="G328" s="393" t="s">
        <v>768</v>
      </c>
      <c r="H328" s="424" t="s">
        <v>976</v>
      </c>
      <c r="I328" s="394" t="s">
        <v>38</v>
      </c>
      <c r="J328" s="408" t="s">
        <v>39</v>
      </c>
      <c r="K328" s="395" t="s">
        <v>1085</v>
      </c>
      <c r="L328" s="397" t="s">
        <v>1088</v>
      </c>
      <c r="M328" s="398">
        <v>1500000</v>
      </c>
      <c r="N328" s="519"/>
      <c r="O328" s="533"/>
      <c r="P328" s="398">
        <v>1500000</v>
      </c>
      <c r="Q328" s="519"/>
      <c r="R328" s="519"/>
      <c r="S328" s="399">
        <v>4400000</v>
      </c>
      <c r="T328" s="331"/>
    </row>
    <row r="329" spans="1:20" s="190" customFormat="1" ht="32.25" customHeight="1" x14ac:dyDescent="0.2">
      <c r="A329" s="390">
        <f t="shared" si="0"/>
        <v>313</v>
      </c>
      <c r="B329" s="433">
        <v>45991</v>
      </c>
      <c r="C329" s="395" t="s">
        <v>1089</v>
      </c>
      <c r="D329" s="404"/>
      <c r="E329" s="391">
        <v>1</v>
      </c>
      <c r="F329" s="416" t="s">
        <v>1090</v>
      </c>
      <c r="G329" s="393" t="s">
        <v>210</v>
      </c>
      <c r="H329" s="393" t="s">
        <v>486</v>
      </c>
      <c r="I329" s="390" t="s">
        <v>256</v>
      </c>
      <c r="J329" s="408" t="s">
        <v>39</v>
      </c>
      <c r="K329" s="396" t="s">
        <v>461</v>
      </c>
      <c r="L329" s="397" t="s">
        <v>1091</v>
      </c>
      <c r="M329" s="398">
        <v>1500000</v>
      </c>
      <c r="N329" s="519"/>
      <c r="O329" s="533"/>
      <c r="P329" s="398"/>
      <c r="Q329" s="519"/>
      <c r="R329" s="519"/>
      <c r="S329" s="399">
        <v>4500000</v>
      </c>
      <c r="T329" s="331"/>
    </row>
    <row r="330" spans="1:20" s="190" customFormat="1" ht="32.25" customHeight="1" x14ac:dyDescent="0.2">
      <c r="A330" s="390">
        <f t="shared" si="0"/>
        <v>314</v>
      </c>
      <c r="B330" s="433">
        <v>45991</v>
      </c>
      <c r="C330" s="395" t="s">
        <v>1089</v>
      </c>
      <c r="D330" s="400"/>
      <c r="E330" s="391">
        <v>1</v>
      </c>
      <c r="F330" s="412" t="s">
        <v>1092</v>
      </c>
      <c r="G330" s="393" t="s">
        <v>302</v>
      </c>
      <c r="H330" s="393" t="s">
        <v>486</v>
      </c>
      <c r="I330" s="390" t="s">
        <v>256</v>
      </c>
      <c r="J330" s="408" t="s">
        <v>39</v>
      </c>
      <c r="K330" s="396" t="s">
        <v>461</v>
      </c>
      <c r="L330" s="397" t="s">
        <v>1093</v>
      </c>
      <c r="M330" s="398">
        <v>1500000</v>
      </c>
      <c r="N330" s="519"/>
      <c r="O330" s="533"/>
      <c r="P330" s="398"/>
      <c r="Q330" s="519"/>
      <c r="R330" s="519"/>
      <c r="S330" s="399">
        <v>4500000</v>
      </c>
      <c r="T330" s="331"/>
    </row>
    <row r="331" spans="1:20" s="190" customFormat="1" ht="32.25" customHeight="1" x14ac:dyDescent="0.2">
      <c r="A331" s="390">
        <f t="shared" si="0"/>
        <v>315</v>
      </c>
      <c r="B331" s="433">
        <v>45991</v>
      </c>
      <c r="C331" s="395" t="s">
        <v>1094</v>
      </c>
      <c r="D331" s="400"/>
      <c r="E331" s="391">
        <v>1</v>
      </c>
      <c r="F331" s="416" t="s">
        <v>1095</v>
      </c>
      <c r="G331" s="393" t="s">
        <v>305</v>
      </c>
      <c r="H331" s="393" t="s">
        <v>486</v>
      </c>
      <c r="I331" s="390" t="s">
        <v>256</v>
      </c>
      <c r="J331" s="408" t="s">
        <v>39</v>
      </c>
      <c r="K331" s="396" t="s">
        <v>174</v>
      </c>
      <c r="L331" s="397" t="s">
        <v>1096</v>
      </c>
      <c r="M331" s="398">
        <v>1500000</v>
      </c>
      <c r="N331" s="519"/>
      <c r="O331" s="533"/>
      <c r="P331" s="398"/>
      <c r="Q331" s="519"/>
      <c r="R331" s="519"/>
      <c r="S331" s="399">
        <v>4500000</v>
      </c>
      <c r="T331" s="331"/>
    </row>
    <row r="332" spans="1:20" s="190" customFormat="1" ht="32.25" customHeight="1" x14ac:dyDescent="0.2">
      <c r="A332" s="390">
        <f t="shared" si="0"/>
        <v>316</v>
      </c>
      <c r="B332" s="433">
        <v>45991</v>
      </c>
      <c r="C332" s="395" t="s">
        <v>1094</v>
      </c>
      <c r="D332" s="400"/>
      <c r="E332" s="391">
        <v>1</v>
      </c>
      <c r="F332" s="412" t="s">
        <v>1097</v>
      </c>
      <c r="G332" s="393" t="s">
        <v>341</v>
      </c>
      <c r="H332" s="393" t="s">
        <v>486</v>
      </c>
      <c r="I332" s="390" t="s">
        <v>256</v>
      </c>
      <c r="J332" s="408" t="s">
        <v>39</v>
      </c>
      <c r="K332" s="396" t="s">
        <v>174</v>
      </c>
      <c r="L332" s="397" t="s">
        <v>1098</v>
      </c>
      <c r="M332" s="398">
        <v>1500000</v>
      </c>
      <c r="N332" s="519"/>
      <c r="O332" s="533"/>
      <c r="P332" s="398">
        <v>1400000</v>
      </c>
      <c r="Q332" s="519"/>
      <c r="R332" s="519"/>
      <c r="S332" s="399">
        <v>4500000</v>
      </c>
      <c r="T332" s="331"/>
    </row>
    <row r="333" spans="1:20" s="190" customFormat="1" ht="32.25" customHeight="1" x14ac:dyDescent="0.2">
      <c r="A333" s="390">
        <f t="shared" si="0"/>
        <v>317</v>
      </c>
      <c r="B333" s="433">
        <v>45991</v>
      </c>
      <c r="C333" s="395" t="s">
        <v>1094</v>
      </c>
      <c r="D333" s="400"/>
      <c r="E333" s="391">
        <v>1</v>
      </c>
      <c r="F333" s="412" t="s">
        <v>1099</v>
      </c>
      <c r="G333" s="393" t="s">
        <v>194</v>
      </c>
      <c r="H333" s="393" t="s">
        <v>486</v>
      </c>
      <c r="I333" s="390" t="s">
        <v>256</v>
      </c>
      <c r="J333" s="408" t="s">
        <v>39</v>
      </c>
      <c r="K333" s="396" t="s">
        <v>174</v>
      </c>
      <c r="L333" s="397" t="s">
        <v>1100</v>
      </c>
      <c r="M333" s="398">
        <v>1500000</v>
      </c>
      <c r="N333" s="519"/>
      <c r="O333" s="533"/>
      <c r="P333" s="398"/>
      <c r="Q333" s="519"/>
      <c r="R333" s="519"/>
      <c r="S333" s="399">
        <v>4500000</v>
      </c>
      <c r="T333" s="331"/>
    </row>
    <row r="334" spans="1:20" s="190" customFormat="1" ht="32.25" customHeight="1" x14ac:dyDescent="0.2">
      <c r="A334" s="390">
        <f t="shared" si="0"/>
        <v>318</v>
      </c>
      <c r="B334" s="433">
        <v>45991</v>
      </c>
      <c r="C334" s="395" t="s">
        <v>1094</v>
      </c>
      <c r="D334" s="400"/>
      <c r="E334" s="391">
        <v>1</v>
      </c>
      <c r="F334" s="416" t="s">
        <v>1101</v>
      </c>
      <c r="G334" s="393" t="s">
        <v>213</v>
      </c>
      <c r="H334" s="393" t="s">
        <v>486</v>
      </c>
      <c r="I334" s="390" t="s">
        <v>256</v>
      </c>
      <c r="J334" s="408" t="s">
        <v>39</v>
      </c>
      <c r="K334" s="396" t="s">
        <v>174</v>
      </c>
      <c r="L334" s="397" t="s">
        <v>1102</v>
      </c>
      <c r="M334" s="398">
        <v>1500000</v>
      </c>
      <c r="N334" s="519"/>
      <c r="O334" s="533"/>
      <c r="P334" s="398"/>
      <c r="Q334" s="519"/>
      <c r="R334" s="519"/>
      <c r="S334" s="399">
        <v>4500000</v>
      </c>
      <c r="T334" s="331"/>
    </row>
    <row r="335" spans="1:20" s="190" customFormat="1" ht="32.25" customHeight="1" x14ac:dyDescent="0.2">
      <c r="A335" s="390">
        <f t="shared" si="0"/>
        <v>319</v>
      </c>
      <c r="B335" s="433">
        <v>45991</v>
      </c>
      <c r="C335" s="395" t="s">
        <v>1070</v>
      </c>
      <c r="D335" s="400"/>
      <c r="E335" s="391">
        <v>1</v>
      </c>
      <c r="F335" s="412" t="s">
        <v>1103</v>
      </c>
      <c r="G335" s="393" t="s">
        <v>368</v>
      </c>
      <c r="H335" s="393" t="s">
        <v>607</v>
      </c>
      <c r="I335" s="394" t="s">
        <v>608</v>
      </c>
      <c r="J335" s="408" t="s">
        <v>39</v>
      </c>
      <c r="K335" s="396" t="s">
        <v>433</v>
      </c>
      <c r="L335" s="397" t="s">
        <v>1104</v>
      </c>
      <c r="M335" s="398">
        <v>1500000</v>
      </c>
      <c r="N335" s="519"/>
      <c r="O335" s="533"/>
      <c r="P335" s="398"/>
      <c r="Q335" s="519"/>
      <c r="R335" s="519"/>
      <c r="S335" s="399">
        <v>3300000</v>
      </c>
      <c r="T335" s="331"/>
    </row>
    <row r="336" spans="1:20" s="190" customFormat="1" ht="32.25" customHeight="1" x14ac:dyDescent="0.2">
      <c r="A336" s="390">
        <f t="shared" si="0"/>
        <v>320</v>
      </c>
      <c r="B336" s="433">
        <v>45991</v>
      </c>
      <c r="C336" s="395" t="s">
        <v>1070</v>
      </c>
      <c r="D336" s="400"/>
      <c r="E336" s="391">
        <v>1</v>
      </c>
      <c r="F336" s="412" t="s">
        <v>1105</v>
      </c>
      <c r="G336" s="393" t="s">
        <v>222</v>
      </c>
      <c r="H336" s="393" t="s">
        <v>607</v>
      </c>
      <c r="I336" s="394" t="s">
        <v>608</v>
      </c>
      <c r="J336" s="408" t="s">
        <v>39</v>
      </c>
      <c r="K336" s="396" t="s">
        <v>433</v>
      </c>
      <c r="L336" s="397" t="s">
        <v>1106</v>
      </c>
      <c r="M336" s="398">
        <v>1500000</v>
      </c>
      <c r="N336" s="519"/>
      <c r="O336" s="533"/>
      <c r="P336" s="398"/>
      <c r="Q336" s="519"/>
      <c r="R336" s="519"/>
      <c r="S336" s="399">
        <v>3300000</v>
      </c>
      <c r="T336" s="331"/>
    </row>
    <row r="337" spans="1:20" s="190" customFormat="1" ht="32.25" customHeight="1" x14ac:dyDescent="0.2">
      <c r="A337" s="390">
        <f t="shared" si="0"/>
        <v>321</v>
      </c>
      <c r="B337" s="433">
        <v>45991</v>
      </c>
      <c r="C337" s="395" t="s">
        <v>1107</v>
      </c>
      <c r="D337" s="404"/>
      <c r="E337" s="391">
        <v>1</v>
      </c>
      <c r="F337" s="416" t="s">
        <v>1108</v>
      </c>
      <c r="G337" s="393" t="s">
        <v>308</v>
      </c>
      <c r="H337" s="393" t="s">
        <v>298</v>
      </c>
      <c r="I337" s="394" t="s">
        <v>299</v>
      </c>
      <c r="J337" s="408" t="s">
        <v>39</v>
      </c>
      <c r="K337" s="396" t="s">
        <v>233</v>
      </c>
      <c r="L337" s="397" t="s">
        <v>1109</v>
      </c>
      <c r="M337" s="398">
        <v>1500000</v>
      </c>
      <c r="N337" s="519"/>
      <c r="O337" s="533"/>
      <c r="P337" s="398"/>
      <c r="Q337" s="519"/>
      <c r="R337" s="519"/>
      <c r="S337" s="399">
        <v>5300000</v>
      </c>
      <c r="T337" s="331"/>
    </row>
    <row r="338" spans="1:20" s="190" customFormat="1" ht="32.25" customHeight="1" x14ac:dyDescent="0.2">
      <c r="A338" s="390">
        <f t="shared" si="0"/>
        <v>322</v>
      </c>
      <c r="B338" s="433">
        <v>45991</v>
      </c>
      <c r="C338" s="395" t="s">
        <v>1107</v>
      </c>
      <c r="D338" s="400"/>
      <c r="E338" s="391">
        <v>1</v>
      </c>
      <c r="F338" s="412" t="s">
        <v>1130</v>
      </c>
      <c r="G338" s="393" t="s">
        <v>228</v>
      </c>
      <c r="H338" s="393" t="s">
        <v>298</v>
      </c>
      <c r="I338" s="394" t="s">
        <v>299</v>
      </c>
      <c r="J338" s="408" t="s">
        <v>39</v>
      </c>
      <c r="K338" s="396" t="s">
        <v>233</v>
      </c>
      <c r="L338" s="397" t="s">
        <v>1110</v>
      </c>
      <c r="M338" s="398">
        <v>1500000</v>
      </c>
      <c r="N338" s="519"/>
      <c r="O338" s="533"/>
      <c r="P338" s="398"/>
      <c r="Q338" s="519"/>
      <c r="R338" s="519"/>
      <c r="S338" s="399">
        <v>5300000</v>
      </c>
      <c r="T338" s="331"/>
    </row>
    <row r="339" spans="1:20" s="190" customFormat="1" ht="32.25" customHeight="1" x14ac:dyDescent="0.2">
      <c r="A339" s="390">
        <f t="shared" si="0"/>
        <v>323</v>
      </c>
      <c r="B339" s="433">
        <v>45991</v>
      </c>
      <c r="C339" s="395" t="s">
        <v>1107</v>
      </c>
      <c r="D339" s="400"/>
      <c r="E339" s="391">
        <v>1</v>
      </c>
      <c r="F339" s="392" t="s">
        <v>1111</v>
      </c>
      <c r="G339" s="393" t="s">
        <v>191</v>
      </c>
      <c r="H339" s="393" t="s">
        <v>298</v>
      </c>
      <c r="I339" s="394" t="s">
        <v>299</v>
      </c>
      <c r="J339" s="408" t="s">
        <v>39</v>
      </c>
      <c r="K339" s="396" t="s">
        <v>233</v>
      </c>
      <c r="L339" s="397" t="s">
        <v>1112</v>
      </c>
      <c r="M339" s="398">
        <v>1500000</v>
      </c>
      <c r="N339" s="519"/>
      <c r="O339" s="533"/>
      <c r="P339" s="398"/>
      <c r="Q339" s="519"/>
      <c r="R339" s="519"/>
      <c r="S339" s="399">
        <v>5300000</v>
      </c>
      <c r="T339" s="331"/>
    </row>
    <row r="340" spans="1:20" s="190" customFormat="1" ht="32.25" customHeight="1" x14ac:dyDescent="0.2">
      <c r="A340" s="390">
        <f t="shared" si="0"/>
        <v>324</v>
      </c>
      <c r="B340" s="433">
        <v>45991</v>
      </c>
      <c r="C340" s="395" t="s">
        <v>1107</v>
      </c>
      <c r="D340" s="391"/>
      <c r="E340" s="391">
        <v>1</v>
      </c>
      <c r="F340" s="412" t="s">
        <v>1113</v>
      </c>
      <c r="G340" s="393" t="s">
        <v>207</v>
      </c>
      <c r="H340" s="393" t="s">
        <v>298</v>
      </c>
      <c r="I340" s="394" t="s">
        <v>299</v>
      </c>
      <c r="J340" s="408" t="s">
        <v>39</v>
      </c>
      <c r="K340" s="396" t="s">
        <v>233</v>
      </c>
      <c r="L340" s="426" t="s">
        <v>1114</v>
      </c>
      <c r="M340" s="398">
        <v>1500000</v>
      </c>
      <c r="N340" s="519"/>
      <c r="O340" s="533"/>
      <c r="P340" s="398"/>
      <c r="Q340" s="519"/>
      <c r="R340" s="519"/>
      <c r="S340" s="399">
        <v>5300000</v>
      </c>
      <c r="T340" s="331"/>
    </row>
    <row r="341" spans="1:20" s="190" customFormat="1" ht="32.25" customHeight="1" x14ac:dyDescent="0.2">
      <c r="A341" s="390">
        <f t="shared" si="0"/>
        <v>325</v>
      </c>
      <c r="B341" s="433">
        <v>45991</v>
      </c>
      <c r="C341" s="395" t="s">
        <v>1115</v>
      </c>
      <c r="D341" s="400"/>
      <c r="E341" s="391">
        <v>1</v>
      </c>
      <c r="F341" s="392" t="s">
        <v>1116</v>
      </c>
      <c r="G341" s="393" t="s">
        <v>210</v>
      </c>
      <c r="H341" s="427" t="s">
        <v>1055</v>
      </c>
      <c r="I341" s="390" t="s">
        <v>1056</v>
      </c>
      <c r="J341" s="408" t="s">
        <v>39</v>
      </c>
      <c r="K341" s="395" t="s">
        <v>697</v>
      </c>
      <c r="L341" s="426" t="s">
        <v>1117</v>
      </c>
      <c r="M341" s="398">
        <v>1512000</v>
      </c>
      <c r="N341" s="519"/>
      <c r="O341" s="533"/>
      <c r="P341" s="398"/>
      <c r="Q341" s="519"/>
      <c r="R341" s="519"/>
      <c r="S341" s="399">
        <v>4000000</v>
      </c>
      <c r="T341" s="331"/>
    </row>
    <row r="342" spans="1:20" s="190" customFormat="1" ht="32.25" customHeight="1" x14ac:dyDescent="0.2">
      <c r="A342" s="390">
        <f t="shared" si="0"/>
        <v>326</v>
      </c>
      <c r="B342" s="433">
        <v>45991</v>
      </c>
      <c r="C342" s="395" t="s">
        <v>1115</v>
      </c>
      <c r="D342" s="400"/>
      <c r="E342" s="391">
        <v>1</v>
      </c>
      <c r="F342" s="416" t="s">
        <v>1118</v>
      </c>
      <c r="G342" s="393" t="s">
        <v>194</v>
      </c>
      <c r="H342" s="427" t="s">
        <v>1055</v>
      </c>
      <c r="I342" s="390" t="s">
        <v>1056</v>
      </c>
      <c r="J342" s="408" t="s">
        <v>39</v>
      </c>
      <c r="K342" s="395" t="s">
        <v>697</v>
      </c>
      <c r="L342" s="426" t="s">
        <v>1119</v>
      </c>
      <c r="M342" s="398">
        <v>1512000</v>
      </c>
      <c r="N342" s="519"/>
      <c r="O342" s="533"/>
      <c r="P342" s="398"/>
      <c r="Q342" s="519"/>
      <c r="R342" s="519"/>
      <c r="S342" s="399">
        <v>4000000</v>
      </c>
      <c r="T342" s="331"/>
    </row>
    <row r="343" spans="1:20" s="190" customFormat="1" ht="32.25" customHeight="1" x14ac:dyDescent="0.2">
      <c r="A343" s="390">
        <f t="shared" si="0"/>
        <v>327</v>
      </c>
      <c r="B343" s="433">
        <v>45991</v>
      </c>
      <c r="C343" s="395" t="s">
        <v>1115</v>
      </c>
      <c r="D343" s="400"/>
      <c r="E343" s="391">
        <v>1</v>
      </c>
      <c r="F343" s="412" t="s">
        <v>1120</v>
      </c>
      <c r="G343" s="393" t="s">
        <v>341</v>
      </c>
      <c r="H343" s="427" t="s">
        <v>1055</v>
      </c>
      <c r="I343" s="390" t="s">
        <v>1056</v>
      </c>
      <c r="J343" s="408" t="s">
        <v>39</v>
      </c>
      <c r="K343" s="395" t="s">
        <v>697</v>
      </c>
      <c r="L343" s="428" t="s">
        <v>1121</v>
      </c>
      <c r="M343" s="409">
        <v>1512000</v>
      </c>
      <c r="N343" s="520"/>
      <c r="O343" s="534"/>
      <c r="P343" s="409"/>
      <c r="Q343" s="520"/>
      <c r="R343" s="520"/>
      <c r="S343" s="399">
        <v>4000000</v>
      </c>
      <c r="T343" s="331"/>
    </row>
    <row r="344" spans="1:20" s="190" customFormat="1" ht="32.25" customHeight="1" x14ac:dyDescent="0.2">
      <c r="A344" s="390">
        <f t="shared" si="0"/>
        <v>328</v>
      </c>
      <c r="B344" s="433">
        <v>45991</v>
      </c>
      <c r="C344" s="395" t="s">
        <v>1115</v>
      </c>
      <c r="D344" s="400"/>
      <c r="E344" s="391">
        <v>1</v>
      </c>
      <c r="F344" s="412" t="s">
        <v>1122</v>
      </c>
      <c r="G344" s="393" t="s">
        <v>198</v>
      </c>
      <c r="H344" s="427" t="s">
        <v>1055</v>
      </c>
      <c r="I344" s="390" t="s">
        <v>1056</v>
      </c>
      <c r="J344" s="408" t="s">
        <v>39</v>
      </c>
      <c r="K344" s="395" t="s">
        <v>697</v>
      </c>
      <c r="L344" s="429" t="s">
        <v>1123</v>
      </c>
      <c r="M344" s="430">
        <v>1500000</v>
      </c>
      <c r="N344" s="521"/>
      <c r="O344" s="535"/>
      <c r="P344" s="430"/>
      <c r="Q344" s="521"/>
      <c r="R344" s="521"/>
      <c r="S344" s="399">
        <v>4000000</v>
      </c>
      <c r="T344" s="331"/>
    </row>
    <row r="345" spans="1:20" s="190" customFormat="1" ht="32.25" customHeight="1" x14ac:dyDescent="0.2">
      <c r="A345" s="390">
        <f t="shared" si="0"/>
        <v>329</v>
      </c>
      <c r="B345" s="433">
        <v>45991</v>
      </c>
      <c r="C345" s="395" t="s">
        <v>1115</v>
      </c>
      <c r="D345" s="400"/>
      <c r="E345" s="391">
        <v>1</v>
      </c>
      <c r="F345" s="412" t="s">
        <v>1124</v>
      </c>
      <c r="G345" s="393" t="s">
        <v>305</v>
      </c>
      <c r="H345" s="427" t="s">
        <v>1055</v>
      </c>
      <c r="I345" s="390" t="s">
        <v>1056</v>
      </c>
      <c r="J345" s="408" t="s">
        <v>39</v>
      </c>
      <c r="K345" s="395" t="s">
        <v>697</v>
      </c>
      <c r="L345" s="418" t="s">
        <v>1125</v>
      </c>
      <c r="M345" s="409">
        <v>1512000</v>
      </c>
      <c r="N345" s="520"/>
      <c r="O345" s="534"/>
      <c r="P345" s="409"/>
      <c r="Q345" s="520"/>
      <c r="R345" s="520"/>
      <c r="S345" s="399">
        <v>4000000</v>
      </c>
      <c r="T345" s="331"/>
    </row>
    <row r="346" spans="1:20" s="190" customFormat="1" ht="32.25" customHeight="1" x14ac:dyDescent="0.2">
      <c r="A346" s="484">
        <v>55</v>
      </c>
      <c r="B346" s="485">
        <v>45988</v>
      </c>
      <c r="C346" s="486" t="s">
        <v>1019</v>
      </c>
      <c r="D346" s="484"/>
      <c r="E346" s="487">
        <v>1</v>
      </c>
      <c r="F346" s="488" t="s">
        <v>1126</v>
      </c>
      <c r="G346" s="489" t="s">
        <v>1127</v>
      </c>
      <c r="H346" s="488" t="s">
        <v>486</v>
      </c>
      <c r="I346" s="484" t="s">
        <v>256</v>
      </c>
      <c r="J346" s="490" t="s">
        <v>39</v>
      </c>
      <c r="K346" s="491" t="s">
        <v>174</v>
      </c>
      <c r="L346" s="492" t="s">
        <v>1128</v>
      </c>
      <c r="M346" s="493">
        <v>1500000</v>
      </c>
      <c r="N346" s="493"/>
      <c r="O346" s="490"/>
      <c r="P346" s="494"/>
      <c r="Q346" s="494"/>
      <c r="R346" s="494"/>
      <c r="S346" s="495">
        <v>4500000</v>
      </c>
      <c r="T346" s="496"/>
    </row>
    <row r="347" spans="1:20" s="153" customFormat="1" ht="25.5" customHeight="1" x14ac:dyDescent="0.2">
      <c r="A347" s="477"/>
      <c r="B347" s="503" t="s">
        <v>1625</v>
      </c>
      <c r="C347" s="503" t="s">
        <v>1660</v>
      </c>
      <c r="D347" s="477"/>
      <c r="E347" s="479"/>
      <c r="F347" s="504" t="s">
        <v>1144</v>
      </c>
      <c r="G347" s="501"/>
      <c r="H347" s="478"/>
      <c r="I347" s="503" t="s">
        <v>1661</v>
      </c>
      <c r="J347" s="479"/>
      <c r="K347" s="480"/>
      <c r="L347" s="481"/>
      <c r="M347" s="482">
        <v>0</v>
      </c>
      <c r="N347" s="482"/>
      <c r="O347" s="479"/>
      <c r="P347" s="482"/>
      <c r="Q347" s="482"/>
      <c r="R347" s="482"/>
      <c r="S347" s="483">
        <v>4200000</v>
      </c>
      <c r="T347" s="502"/>
    </row>
    <row r="348" spans="1:20" s="153" customFormat="1" ht="25.5" customHeight="1" x14ac:dyDescent="0.2">
      <c r="A348" s="477"/>
      <c r="B348" s="503" t="s">
        <v>1625</v>
      </c>
      <c r="C348" s="503" t="s">
        <v>1660</v>
      </c>
      <c r="D348" s="477"/>
      <c r="E348" s="479"/>
      <c r="F348" s="504" t="s">
        <v>1144</v>
      </c>
      <c r="G348" s="501"/>
      <c r="H348" s="478"/>
      <c r="I348" s="503" t="s">
        <v>1662</v>
      </c>
      <c r="J348" s="479"/>
      <c r="K348" s="480"/>
      <c r="L348" s="481"/>
      <c r="M348" s="482">
        <v>0</v>
      </c>
      <c r="N348" s="482"/>
      <c r="O348" s="479"/>
      <c r="P348" s="482"/>
      <c r="Q348" s="482"/>
      <c r="R348" s="482"/>
      <c r="S348" s="483">
        <v>3000000</v>
      </c>
      <c r="T348" s="502"/>
    </row>
    <row r="349" spans="1:20" ht="32.25" customHeight="1" x14ac:dyDescent="0.2">
      <c r="A349" s="786" t="s">
        <v>52</v>
      </c>
      <c r="B349" s="786"/>
      <c r="C349" s="786"/>
      <c r="D349" s="474"/>
      <c r="E349" s="474">
        <f>SUM(E17:E289)</f>
        <v>272</v>
      </c>
      <c r="F349" s="474"/>
      <c r="G349" s="497"/>
      <c r="H349" s="498"/>
      <c r="I349" s="474"/>
      <c r="J349" s="432"/>
      <c r="K349" s="474"/>
      <c r="L349" s="719">
        <f>SUM(M349:S349)</f>
        <v>1901190800</v>
      </c>
      <c r="M349" s="500">
        <f>SUM(M17:M348)</f>
        <v>481580000</v>
      </c>
      <c r="N349" s="500">
        <f>SUM(N17:N348)</f>
        <v>1360800</v>
      </c>
      <c r="O349" s="531"/>
      <c r="P349" s="500">
        <f>SUM(P17:P348)</f>
        <v>29850000</v>
      </c>
      <c r="Q349" s="500">
        <f>SUM(Q17:Q348)</f>
        <v>9000000</v>
      </c>
      <c r="R349" s="500">
        <f>SUM(R17:R348)</f>
        <v>4420000</v>
      </c>
      <c r="S349" s="500">
        <f>SUM(S17:S348)</f>
        <v>1374980000</v>
      </c>
      <c r="T349" s="500">
        <f>SUM(T17:T348)</f>
        <v>0</v>
      </c>
    </row>
    <row r="350" spans="1:20" s="232" customFormat="1" ht="32.25" customHeight="1" x14ac:dyDescent="0.2"/>
    <row r="351" spans="1:20" s="232" customFormat="1" ht="32.25" customHeight="1" x14ac:dyDescent="0.2"/>
    <row r="352" spans="1:20" s="236" customFormat="1" ht="20.25" customHeight="1" x14ac:dyDescent="0.2">
      <c r="A352" s="178"/>
      <c r="B352" s="230"/>
      <c r="C352" s="178"/>
      <c r="D352" s="231"/>
      <c r="E352" s="231"/>
      <c r="F352" s="231"/>
      <c r="G352" s="231"/>
      <c r="H352" s="232"/>
      <c r="I352" s="233"/>
      <c r="J352" s="233"/>
      <c r="K352" s="233"/>
      <c r="L352" s="234"/>
      <c r="M352" s="242" t="s">
        <v>1600</v>
      </c>
      <c r="N352" s="242"/>
      <c r="O352" s="536"/>
      <c r="P352" s="242">
        <f>S349</f>
        <v>1374980000</v>
      </c>
      <c r="Q352" s="242"/>
      <c r="R352" s="242">
        <f>P352+P356</f>
        <v>1901190800</v>
      </c>
      <c r="S352" s="239"/>
      <c r="T352" s="233"/>
    </row>
    <row r="353" spans="1:20" ht="20.25" customHeight="1" x14ac:dyDescent="0.2">
      <c r="A353" s="237"/>
      <c r="B353" s="238"/>
      <c r="C353" s="233"/>
      <c r="D353" s="237"/>
      <c r="E353" s="237"/>
      <c r="F353" s="239"/>
      <c r="G353" s="239"/>
      <c r="H353" s="240"/>
      <c r="I353" s="237"/>
      <c r="J353" s="237"/>
      <c r="K353" s="237"/>
      <c r="L353" s="241"/>
      <c r="M353" s="242" t="s">
        <v>1601</v>
      </c>
      <c r="N353" s="242"/>
      <c r="O353" s="536"/>
      <c r="P353" s="242">
        <f>P352*8%</f>
        <v>109998400</v>
      </c>
      <c r="Q353" s="242"/>
      <c r="R353" s="242">
        <f>'26.11-30.11'!S80+'26.10-25.11'!L379</f>
        <v>1901450800</v>
      </c>
      <c r="S353" s="445"/>
      <c r="T353" s="237"/>
    </row>
    <row r="354" spans="1:20" ht="20.25" customHeight="1" x14ac:dyDescent="0.2">
      <c r="A354" s="237"/>
      <c r="B354" s="238"/>
      <c r="C354" s="233"/>
      <c r="D354" s="237"/>
      <c r="E354" s="237"/>
      <c r="F354" s="239"/>
      <c r="G354" s="239"/>
      <c r="H354" s="240"/>
      <c r="I354" s="237"/>
      <c r="J354" s="237"/>
      <c r="K354" s="237"/>
      <c r="L354" s="241"/>
      <c r="M354" s="235" t="s">
        <v>52</v>
      </c>
      <c r="N354" s="235"/>
      <c r="O354" s="537"/>
      <c r="P354" s="235">
        <f>P353+P352</f>
        <v>1484978400</v>
      </c>
      <c r="Q354" s="235"/>
      <c r="R354" s="235">
        <f>R353-R352</f>
        <v>260000</v>
      </c>
      <c r="S354" s="327"/>
      <c r="T354" s="237"/>
    </row>
    <row r="355" spans="1:20" ht="20.25" customHeight="1" x14ac:dyDescent="0.2">
      <c r="A355" s="237"/>
      <c r="B355" s="238"/>
      <c r="C355" s="233"/>
      <c r="D355" s="237"/>
      <c r="E355" s="237"/>
      <c r="F355" s="239"/>
      <c r="G355" s="431" t="s">
        <v>1664</v>
      </c>
      <c r="H355" s="240"/>
      <c r="I355" s="237"/>
      <c r="J355" s="237"/>
      <c r="K355" s="237"/>
      <c r="L355" s="241"/>
      <c r="M355" s="242"/>
      <c r="N355" s="242"/>
      <c r="O355" s="536"/>
      <c r="P355" s="242"/>
      <c r="Q355" s="242"/>
      <c r="R355" s="242"/>
      <c r="S355" s="237"/>
      <c r="T355" s="237"/>
    </row>
    <row r="356" spans="1:20" ht="20.25" customHeight="1" x14ac:dyDescent="0.2">
      <c r="A356" s="237"/>
      <c r="B356" s="238"/>
      <c r="C356" s="233"/>
      <c r="D356" s="237"/>
      <c r="E356" s="237"/>
      <c r="F356" s="239"/>
      <c r="G356" s="431" t="s">
        <v>1665</v>
      </c>
      <c r="H356" s="240"/>
      <c r="I356" s="237"/>
      <c r="J356" s="237"/>
      <c r="K356" s="237"/>
      <c r="L356" s="241"/>
      <c r="M356" s="235" t="s">
        <v>1602</v>
      </c>
      <c r="N356" s="235"/>
      <c r="O356" s="537"/>
      <c r="P356" s="235">
        <f>SUM(P357:P361)</f>
        <v>526210800</v>
      </c>
      <c r="Q356" s="235"/>
      <c r="R356" s="235"/>
      <c r="S356" s="237"/>
      <c r="T356" s="237"/>
    </row>
    <row r="357" spans="1:20" ht="20.25" customHeight="1" x14ac:dyDescent="0.2">
      <c r="A357" s="763"/>
      <c r="B357" s="763"/>
      <c r="C357" s="763"/>
      <c r="D357" s="763"/>
      <c r="E357" s="763"/>
      <c r="F357" s="763"/>
      <c r="G357" s="431" t="s">
        <v>1666</v>
      </c>
      <c r="H357" s="240"/>
      <c r="I357" s="237"/>
      <c r="J357" s="244"/>
      <c r="K357" s="173"/>
      <c r="L357" s="233"/>
      <c r="M357" s="237" t="s">
        <v>1603</v>
      </c>
      <c r="N357" s="237"/>
      <c r="O357" s="237"/>
      <c r="P357" s="327">
        <f>P349</f>
        <v>29850000</v>
      </c>
      <c r="Q357" s="327"/>
      <c r="R357" s="327"/>
      <c r="S357" s="233"/>
      <c r="T357" s="233"/>
    </row>
    <row r="358" spans="1:20" ht="20.25" customHeight="1" x14ac:dyDescent="0.2">
      <c r="A358" s="245"/>
      <c r="B358" s="246"/>
      <c r="C358" s="245"/>
      <c r="D358" s="245"/>
      <c r="E358" s="245"/>
      <c r="G358" s="431"/>
      <c r="H358" s="240"/>
      <c r="I358" s="237"/>
      <c r="J358" s="245"/>
      <c r="K358" s="245"/>
      <c r="L358" s="248"/>
      <c r="M358" s="237" t="s">
        <v>1604</v>
      </c>
      <c r="N358" s="129"/>
      <c r="O358" s="527"/>
      <c r="P358" s="129">
        <f>R349</f>
        <v>4420000</v>
      </c>
      <c r="Q358" s="129"/>
      <c r="R358" s="129"/>
      <c r="S358" s="245"/>
      <c r="T358" s="245"/>
    </row>
    <row r="359" spans="1:20" ht="20.25" customHeight="1" x14ac:dyDescent="0.2">
      <c r="A359" s="245"/>
      <c r="B359" s="246"/>
      <c r="C359" s="245"/>
      <c r="D359" s="245"/>
      <c r="E359" s="245"/>
      <c r="G359" s="431"/>
      <c r="H359" s="240"/>
      <c r="I359" s="237"/>
      <c r="J359" s="245"/>
      <c r="K359" s="245"/>
      <c r="L359" s="248"/>
      <c r="M359" s="129" t="s">
        <v>1680</v>
      </c>
      <c r="N359" s="129"/>
      <c r="O359" s="527"/>
      <c r="P359" s="129">
        <f>N349</f>
        <v>1360800</v>
      </c>
      <c r="Q359" s="129"/>
      <c r="R359" s="129"/>
      <c r="S359" s="245"/>
      <c r="T359" s="245"/>
    </row>
    <row r="360" spans="1:20" ht="20.25" customHeight="1" x14ac:dyDescent="0.2">
      <c r="A360" s="245"/>
      <c r="B360" s="246"/>
      <c r="C360" s="245"/>
      <c r="D360" s="245"/>
      <c r="E360" s="245"/>
      <c r="G360" s="245"/>
      <c r="H360" s="240"/>
      <c r="I360" s="237"/>
      <c r="J360" s="245"/>
      <c r="K360" s="245"/>
      <c r="L360" s="248"/>
      <c r="M360" s="129" t="s">
        <v>1607</v>
      </c>
      <c r="N360" s="545"/>
      <c r="O360" s="527"/>
      <c r="P360" s="129">
        <f>M349</f>
        <v>481580000</v>
      </c>
      <c r="Q360" s="129"/>
      <c r="R360" s="129"/>
      <c r="S360" s="245"/>
      <c r="T360" s="245"/>
    </row>
    <row r="361" spans="1:20" ht="16" x14ac:dyDescent="0.2">
      <c r="A361" s="245"/>
      <c r="B361" s="246"/>
      <c r="C361" s="245"/>
      <c r="D361" s="245"/>
      <c r="E361" s="245"/>
      <c r="G361" s="245"/>
      <c r="H361" s="240"/>
      <c r="I361" s="237"/>
      <c r="J361" s="245"/>
      <c r="K361" s="245"/>
      <c r="L361" s="248"/>
      <c r="M361" s="129" t="s">
        <v>1682</v>
      </c>
      <c r="N361" s="129"/>
      <c r="O361" s="527"/>
      <c r="P361" s="129">
        <f>Q349</f>
        <v>9000000</v>
      </c>
      <c r="Q361" s="129"/>
      <c r="R361" s="129"/>
      <c r="S361" s="245"/>
      <c r="T361" s="245"/>
    </row>
    <row r="362" spans="1:20" s="438" customFormat="1" ht="25.5" customHeight="1" x14ac:dyDescent="0.2">
      <c r="A362" s="173"/>
      <c r="B362" s="434"/>
      <c r="C362" s="173"/>
      <c r="D362" s="173"/>
      <c r="E362" s="173"/>
      <c r="F362" s="173"/>
      <c r="G362" s="173"/>
      <c r="H362" s="240"/>
      <c r="I362" s="237"/>
      <c r="J362" s="173"/>
      <c r="K362" s="173"/>
      <c r="L362" s="436"/>
      <c r="M362" s="437" t="s">
        <v>1606</v>
      </c>
      <c r="N362" s="437"/>
      <c r="O362" s="538"/>
      <c r="P362" s="437">
        <f>P356+P354</f>
        <v>2011189200</v>
      </c>
      <c r="Q362" s="129"/>
      <c r="R362" s="129"/>
      <c r="S362" s="173"/>
      <c r="T362" s="173"/>
    </row>
    <row r="363" spans="1:20" ht="17" thickBot="1" x14ac:dyDescent="0.25">
      <c r="H363" s="240"/>
      <c r="I363" s="237"/>
      <c r="J363" s="251"/>
      <c r="Q363" s="129"/>
      <c r="R363" s="129"/>
    </row>
    <row r="364" spans="1:20" ht="17" thickBot="1" x14ac:dyDescent="0.25">
      <c r="G364" s="471" t="s">
        <v>1137</v>
      </c>
      <c r="H364" s="240"/>
      <c r="I364" s="237"/>
      <c r="J364" s="251"/>
      <c r="L364" s="512"/>
    </row>
    <row r="365" spans="1:20" ht="17" thickBot="1" x14ac:dyDescent="0.25">
      <c r="G365" s="472" t="s">
        <v>612</v>
      </c>
      <c r="H365" s="240"/>
      <c r="I365" s="237"/>
      <c r="J365" s="251"/>
      <c r="L365" s="512"/>
    </row>
    <row r="366" spans="1:20" ht="17" thickBot="1" x14ac:dyDescent="0.25">
      <c r="G366" s="472" t="s">
        <v>603</v>
      </c>
      <c r="H366" s="240"/>
      <c r="I366" s="237"/>
      <c r="J366" s="251"/>
    </row>
    <row r="367" spans="1:20" ht="17" thickBot="1" x14ac:dyDescent="0.25">
      <c r="G367" s="472" t="s">
        <v>610</v>
      </c>
      <c r="H367" s="240"/>
      <c r="I367" s="237"/>
      <c r="J367" s="251"/>
      <c r="L367" s="512"/>
    </row>
    <row r="368" spans="1:20" ht="17" thickBot="1" x14ac:dyDescent="0.25">
      <c r="G368" s="472" t="s">
        <v>601</v>
      </c>
      <c r="H368" s="240"/>
      <c r="I368" s="237"/>
      <c r="J368" s="251"/>
    </row>
    <row r="369" spans="8:10" ht="16" x14ac:dyDescent="0.2">
      <c r="H369" s="240"/>
      <c r="I369" s="237"/>
      <c r="J369" s="251"/>
    </row>
    <row r="370" spans="8:10" ht="16" x14ac:dyDescent="0.2">
      <c r="H370" s="240"/>
      <c r="I370" s="237"/>
      <c r="J370" s="251"/>
    </row>
    <row r="371" spans="8:10" ht="16" x14ac:dyDescent="0.2">
      <c r="H371" s="240"/>
      <c r="I371" s="237"/>
      <c r="J371" s="251"/>
    </row>
    <row r="372" spans="8:10" ht="16" x14ac:dyDescent="0.2">
      <c r="H372" s="240"/>
      <c r="I372" s="237"/>
      <c r="J372" s="251"/>
    </row>
    <row r="373" spans="8:10" ht="16" x14ac:dyDescent="0.2">
      <c r="H373" s="240"/>
      <c r="I373" s="237"/>
      <c r="J373" s="251"/>
    </row>
    <row r="374" spans="8:10" ht="16" x14ac:dyDescent="0.2">
      <c r="H374" s="250"/>
      <c r="J374" s="251"/>
    </row>
    <row r="375" spans="8:10" ht="16" x14ac:dyDescent="0.2">
      <c r="H375" s="250"/>
      <c r="J375" s="251"/>
    </row>
    <row r="376" spans="8:10" ht="16" x14ac:dyDescent="0.2">
      <c r="H376" s="250"/>
      <c r="J376" s="251"/>
    </row>
    <row r="377" spans="8:10" ht="16" x14ac:dyDescent="0.2">
      <c r="H377" s="250"/>
      <c r="J377" s="251"/>
    </row>
    <row r="378" spans="8:10" ht="16" x14ac:dyDescent="0.2">
      <c r="H378" s="250"/>
      <c r="J378" s="251"/>
    </row>
    <row r="379" spans="8:10" ht="16" x14ac:dyDescent="0.2">
      <c r="H379" s="250"/>
      <c r="J379" s="251"/>
    </row>
    <row r="380" spans="8:10" ht="16" x14ac:dyDescent="0.2">
      <c r="H380" s="250"/>
      <c r="J380" s="251"/>
    </row>
    <row r="381" spans="8:10" ht="16" x14ac:dyDescent="0.2">
      <c r="H381" s="250"/>
      <c r="J381" s="251"/>
    </row>
    <row r="382" spans="8:10" ht="16" x14ac:dyDescent="0.2">
      <c r="H382" s="250"/>
      <c r="J382" s="251"/>
    </row>
    <row r="383" spans="8:10" ht="16" x14ac:dyDescent="0.2">
      <c r="H383" s="250"/>
      <c r="J383" s="251"/>
    </row>
    <row r="384" spans="8:10" ht="16" x14ac:dyDescent="0.2">
      <c r="H384" s="250"/>
      <c r="J384" s="251"/>
    </row>
    <row r="385" spans="8:10" ht="16" x14ac:dyDescent="0.2">
      <c r="H385" s="250"/>
      <c r="J385" s="251"/>
    </row>
    <row r="386" spans="8:10" ht="16" x14ac:dyDescent="0.2">
      <c r="H386" s="250"/>
      <c r="J386" s="251"/>
    </row>
    <row r="387" spans="8:10" ht="16" x14ac:dyDescent="0.2">
      <c r="H387" s="250"/>
      <c r="J387" s="251"/>
    </row>
    <row r="388" spans="8:10" ht="16" x14ac:dyDescent="0.2">
      <c r="H388" s="250"/>
      <c r="J388" s="251"/>
    </row>
    <row r="389" spans="8:10" ht="16" x14ac:dyDescent="0.2">
      <c r="H389" s="250"/>
      <c r="J389" s="251"/>
    </row>
    <row r="390" spans="8:10" ht="60" customHeight="1" x14ac:dyDescent="0.2">
      <c r="H390" s="250"/>
      <c r="J390" s="251"/>
    </row>
    <row r="391" spans="8:10" ht="60" customHeight="1" x14ac:dyDescent="0.2">
      <c r="H391" s="250"/>
      <c r="J391" s="251"/>
    </row>
    <row r="392" spans="8:10" ht="60" customHeight="1" x14ac:dyDescent="0.2">
      <c r="H392" s="250"/>
      <c r="J392" s="251"/>
    </row>
    <row r="393" spans="8:10" ht="60" customHeight="1" x14ac:dyDescent="0.2">
      <c r="H393" s="250"/>
      <c r="J393" s="251"/>
    </row>
    <row r="394" spans="8:10" ht="60" customHeight="1" x14ac:dyDescent="0.2">
      <c r="H394" s="250"/>
      <c r="J394" s="251"/>
    </row>
    <row r="395" spans="8:10" ht="60" customHeight="1" x14ac:dyDescent="0.2">
      <c r="H395" s="250"/>
      <c r="J395" s="251"/>
    </row>
    <row r="396" spans="8:10" ht="60" customHeight="1" x14ac:dyDescent="0.2">
      <c r="H396" s="250"/>
      <c r="J396" s="251"/>
    </row>
    <row r="397" spans="8:10" ht="60" customHeight="1" x14ac:dyDescent="0.2">
      <c r="H397" s="250"/>
      <c r="J397" s="251"/>
    </row>
    <row r="428" spans="19:19" ht="60" customHeight="1" x14ac:dyDescent="0.2">
      <c r="S428" s="548"/>
    </row>
  </sheetData>
  <autoFilter ref="A15:T427" xr:uid="{776B5A49-D4CC-4F0E-AAAC-579F588606C4}">
    <filterColumn colId="3" showButton="0"/>
  </autoFilter>
  <mergeCells count="31">
    <mergeCell ref="A8:F8"/>
    <mergeCell ref="N15:N16"/>
    <mergeCell ref="O15:O16"/>
    <mergeCell ref="L31:L32"/>
    <mergeCell ref="Q15:Q16"/>
    <mergeCell ref="A9:I9"/>
    <mergeCell ref="A11:H11"/>
    <mergeCell ref="A12:K12"/>
    <mergeCell ref="A13:F13"/>
    <mergeCell ref="A15:A16"/>
    <mergeCell ref="B15:B16"/>
    <mergeCell ref="C15:C16"/>
    <mergeCell ref="D15:E15"/>
    <mergeCell ref="F15:F16"/>
    <mergeCell ref="G15:G16"/>
    <mergeCell ref="A2:T2"/>
    <mergeCell ref="A3:T3"/>
    <mergeCell ref="A4:T4"/>
    <mergeCell ref="A6:H6"/>
    <mergeCell ref="A7:K7"/>
    <mergeCell ref="A357:F357"/>
    <mergeCell ref="H15:H16"/>
    <mergeCell ref="I15:I16"/>
    <mergeCell ref="J15:J16"/>
    <mergeCell ref="K15:K16"/>
    <mergeCell ref="S15:S16"/>
    <mergeCell ref="T15:T16"/>
    <mergeCell ref="P15:P16"/>
    <mergeCell ref="A349:C349"/>
    <mergeCell ref="L15:L16"/>
    <mergeCell ref="M15:M16"/>
  </mergeCells>
  <conditionalFormatting sqref="F1:F349 F352:F1048576">
    <cfRule type="duplicateValues" dxfId="9" priority="2"/>
  </conditionalFormatting>
  <conditionalFormatting sqref="F292:F346">
    <cfRule type="duplicateValues" dxfId="8" priority="9"/>
  </conditionalFormatting>
  <conditionalFormatting sqref="F349 F1:F289 F352:F1048576">
    <cfRule type="duplicateValues" dxfId="7" priority="10"/>
  </conditionalFormatting>
  <conditionalFormatting sqref="L90">
    <cfRule type="duplicateValues" dxfId="6" priority="4"/>
  </conditionalFormatting>
  <conditionalFormatting sqref="L160">
    <cfRule type="duplicateValues" dxfId="5" priority="5"/>
  </conditionalFormatting>
  <conditionalFormatting sqref="L292:L346">
    <cfRule type="duplicateValues" dxfId="4" priority="8"/>
  </conditionalFormatting>
  <conditionalFormatting sqref="L347:L348">
    <cfRule type="duplicateValues" dxfId="3" priority="13"/>
  </conditionalFormatting>
  <conditionalFormatting sqref="L366 L349 L1:L31 L368:L1048576 L91:L159 L33:L89 L161:L289 L352:L363">
    <cfRule type="duplicateValues" dxfId="2" priority="11"/>
  </conditionalFormatting>
  <conditionalFormatting sqref="M290:O291">
    <cfRule type="duplicateValues" dxfId="1" priority="6"/>
  </conditionalFormatting>
  <pageMargins left="0.2" right="0.2" top="0.32" bottom="0.32" header="0.2" footer="0.2"/>
  <pageSetup paperSize="9" scale="36" fitToHeight="0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B2D7-AD3E-4CDB-8723-725DB590D81B}">
  <dimension ref="D7:J15"/>
  <sheetViews>
    <sheetView topLeftCell="A9" workbookViewId="0">
      <selection activeCell="E19" sqref="E19"/>
    </sheetView>
  </sheetViews>
  <sheetFormatPr baseColWidth="10" defaultColWidth="8.83203125" defaultRowHeight="15" x14ac:dyDescent="0.2"/>
  <cols>
    <col min="4" max="4" width="10.6640625" bestFit="1" customWidth="1"/>
    <col min="5" max="6" width="16.6640625" customWidth="1"/>
    <col min="7" max="7" width="14.1640625" customWidth="1"/>
    <col min="8" max="8" width="11" style="547" bestFit="1" customWidth="1"/>
    <col min="10" max="10" width="33.33203125" customWidth="1"/>
  </cols>
  <sheetData>
    <row r="7" spans="4:10" s="725" customFormat="1" ht="17" x14ac:dyDescent="0.2">
      <c r="E7" s="726" t="s">
        <v>1698</v>
      </c>
      <c r="F7" s="726" t="s">
        <v>1697</v>
      </c>
      <c r="G7" s="727" t="s">
        <v>1694</v>
      </c>
      <c r="H7" s="728" t="s">
        <v>1669</v>
      </c>
      <c r="I7" s="724"/>
      <c r="J7" s="729" t="s">
        <v>1695</v>
      </c>
    </row>
    <row r="8" spans="4:10" ht="34" x14ac:dyDescent="0.2">
      <c r="D8" s="513"/>
      <c r="E8" s="511" t="s">
        <v>1137</v>
      </c>
      <c r="F8" s="511" t="s">
        <v>1696</v>
      </c>
      <c r="G8" s="514" t="s">
        <v>1667</v>
      </c>
      <c r="H8" s="546">
        <v>2000000</v>
      </c>
      <c r="I8" s="251"/>
      <c r="J8" s="723" t="s">
        <v>1670</v>
      </c>
    </row>
    <row r="9" spans="4:10" ht="34" x14ac:dyDescent="0.2">
      <c r="D9" s="513"/>
      <c r="E9" s="511" t="s">
        <v>612</v>
      </c>
      <c r="F9" s="511" t="s">
        <v>1696</v>
      </c>
      <c r="G9" s="514" t="s">
        <v>1667</v>
      </c>
      <c r="H9" s="546">
        <v>2000000</v>
      </c>
      <c r="I9" s="251"/>
      <c r="J9" s="723" t="s">
        <v>1670</v>
      </c>
    </row>
    <row r="10" spans="4:10" ht="34" x14ac:dyDescent="0.2">
      <c r="D10" s="513"/>
      <c r="E10" s="511" t="s">
        <v>603</v>
      </c>
      <c r="F10" s="511" t="s">
        <v>486</v>
      </c>
      <c r="G10" s="514" t="s">
        <v>1668</v>
      </c>
      <c r="H10" s="546">
        <v>500000</v>
      </c>
      <c r="I10" s="251"/>
      <c r="J10" s="723" t="s">
        <v>1672</v>
      </c>
    </row>
    <row r="11" spans="4:10" ht="34" x14ac:dyDescent="0.2">
      <c r="D11" s="513"/>
      <c r="E11" s="511" t="s">
        <v>610</v>
      </c>
      <c r="F11" s="511" t="s">
        <v>1696</v>
      </c>
      <c r="G11" s="514" t="s">
        <v>1667</v>
      </c>
      <c r="H11" s="546">
        <v>2000000</v>
      </c>
      <c r="I11" s="251"/>
      <c r="J11" s="723" t="s">
        <v>1670</v>
      </c>
    </row>
    <row r="12" spans="4:10" ht="34" x14ac:dyDescent="0.2">
      <c r="D12" s="513"/>
      <c r="E12" s="511" t="s">
        <v>601</v>
      </c>
      <c r="F12" s="511" t="s">
        <v>486</v>
      </c>
      <c r="G12" s="514" t="s">
        <v>1668</v>
      </c>
      <c r="H12" s="546">
        <v>500000</v>
      </c>
      <c r="I12" s="251"/>
      <c r="J12" s="723" t="s">
        <v>1672</v>
      </c>
    </row>
    <row r="13" spans="4:10" ht="34" x14ac:dyDescent="0.2">
      <c r="D13" s="513"/>
      <c r="E13" s="515" t="s">
        <v>606</v>
      </c>
      <c r="F13" s="511" t="s">
        <v>1696</v>
      </c>
      <c r="G13" s="514" t="s">
        <v>1667</v>
      </c>
      <c r="H13" s="546">
        <v>2000000</v>
      </c>
      <c r="J13" s="723" t="s">
        <v>1671</v>
      </c>
    </row>
    <row r="14" spans="4:10" x14ac:dyDescent="0.2">
      <c r="H14" s="730">
        <f>SUM(H8:H13)</f>
        <v>9000000</v>
      </c>
    </row>
    <row r="15" spans="4:10" x14ac:dyDescent="0.2">
      <c r="H15"/>
    </row>
  </sheetData>
  <conditionalFormatting sqref="J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</vt:i4>
      </vt:variant>
    </vt:vector>
  </HeadingPairs>
  <TitlesOfParts>
    <vt:vector size="26" baseType="lpstr">
      <vt:lpstr>6cont</vt:lpstr>
      <vt:lpstr>17 cont</vt:lpstr>
      <vt:lpstr>20 cont</vt:lpstr>
      <vt:lpstr>BK T4 NPL</vt:lpstr>
      <vt:lpstr>26.10-25.11</vt:lpstr>
      <vt:lpstr>Sheet1</vt:lpstr>
      <vt:lpstr>26.10-25.11 TĐ</vt:lpstr>
      <vt:lpstr>26.11-30.11</vt:lpstr>
      <vt:lpstr>01-30.11-GUI KH</vt:lpstr>
      <vt:lpstr>npl</vt:lpstr>
      <vt:lpstr>'01-30.11-GUI KH'!Print_Area</vt:lpstr>
      <vt:lpstr>'17 cont'!Print_Area</vt:lpstr>
      <vt:lpstr>'20 cont'!Print_Area</vt:lpstr>
      <vt:lpstr>'26.10-25.11'!Print_Area</vt:lpstr>
      <vt:lpstr>'26.10-25.11 TĐ'!Print_Area</vt:lpstr>
      <vt:lpstr>'26.11-30.11'!Print_Area</vt:lpstr>
      <vt:lpstr>'6cont'!Print_Area</vt:lpstr>
      <vt:lpstr>'BK T4 NPL'!Print_Area</vt:lpstr>
      <vt:lpstr>'01-30.11-GUI KH'!Print_Titles</vt:lpstr>
      <vt:lpstr>'17 cont'!Print_Titles</vt:lpstr>
      <vt:lpstr>'20 cont'!Print_Titles</vt:lpstr>
      <vt:lpstr>'26.10-25.11'!Print_Titles</vt:lpstr>
      <vt:lpstr>'26.10-25.11 TĐ'!Print_Titles</vt:lpstr>
      <vt:lpstr>'26.11-30.11'!Print_Titles</vt:lpstr>
      <vt:lpstr>'6cont'!Print_Titles</vt:lpstr>
      <vt:lpstr>'BK T4 NPL'!Print_Titles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kinhdoanh_05</dc:creator>
  <cp:lastModifiedBy>Vu Pham</cp:lastModifiedBy>
  <cp:lastPrinted>2025-11-12T03:04:00Z</cp:lastPrinted>
  <dcterms:created xsi:type="dcterms:W3CDTF">2021-03-15T06:11:00Z</dcterms:created>
  <dcterms:modified xsi:type="dcterms:W3CDTF">2025-12-08T06:07:18Z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2BCD46C35A3744F399C069B6AC54EB56_13</vt:lpwstr>
  </property>
  <property fmtid="{D5CDD505-2E9C-101B-9397-08002B2CF9AE}" pid="3" name="KSOProductBuildVer">
    <vt:lpwstr>1033-12.2.0.23155</vt:lpwstr>
  </property>
</Properties>
</file>